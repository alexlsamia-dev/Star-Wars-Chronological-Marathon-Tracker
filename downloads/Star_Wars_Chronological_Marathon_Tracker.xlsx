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b0f10e3c93b4be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arathon Tracker" sheetId="1" r:id="R5cf8526da4d74494"/>
    <x:sheet xmlns:r="http://schemas.openxmlformats.org/officeDocument/2006/relationships" name="Forces of Destiny" sheetId="2" r:id="R64a65f6f51084474"/>
    <x:sheet xmlns:r="http://schemas.openxmlformats.org/officeDocument/2006/relationships" name="Clone Wars Order" sheetId="3" r:id="Re707383ccf144be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color rgb="FF000000"/>
      <x:name val="Carlito"/>
      <x:scheme val="minor"/>
    </x:font>
    <x:font>
      <x:sz val="10"/>
      <x:color rgb="FF111827"/>
      <x:name val="Arial"/>
    </x:font>
    <x:font>
      <x:b/>
      <x:sz val="16"/>
      <x:color rgb="FF111827"/>
      <x:name val="Arial"/>
    </x:font>
    <x:font>
      <x:i/>
      <x:sz val="10"/>
      <x:color rgb="FF6B7280"/>
      <x:name val="Arial"/>
    </x:font>
    <x:font>
      <x:b/>
      <x:sz val="10"/>
      <x:color rgb="FF111827"/>
      <x:name val="Arial"/>
    </x:font>
    <x:font>
      <x:u val="single"/>
      <x:sz val="9"/>
      <x:color rgb="FF2563EB"/>
      <x:name val="Arial"/>
    </x:font>
    <x:font>
      <x:sz val="9"/>
      <x:color rgb="FF2563EB"/>
      <x:name val="Arial"/>
    </x:font>
    <x:font>
      <x:u val="single"/>
      <x:sz val="9"/>
      <x:color rgb="FF2563EB"/>
      <x:name val="Arial"/>
    </x:font>
    <x:font>
      <x:u val="single"/>
      <x:sz val="10"/>
      <x:color rgb="FF111827"/>
      <x:name val="Arial"/>
    </x:font>
  </x:fonts>
  <x:fills count="3">
    <x:fill>
      <x:patternFill patternType="none"/>
    </x:fill>
    <x:fill>
      <x:patternFill patternType="lightGray"/>
    </x:fill>
    <x:fill>
      <x:patternFill patternType="solid">
        <x:fgColor rgb="FFE5E7EB"/>
      </x:patternFill>
    </x:fill>
  </x:fills>
  <x:borders count="2">
    <x:border/>
    <x:border>
      <x:left/>
      <x:right/>
      <x:top/>
      <x:bottom style="medium">
        <x:color rgb="FFD1D5DB"/>
      </x:bottom>
    </x:border>
  </x:borders>
  <x:cellStyleXfs count="1">
    <x:xf numFmtId="0" fontId="0" fillId="0" borderId="0"/>
  </x:cellStyleXfs>
  <x:cellXfs count="29">
    <x:xf numFmtId="0" fontId="0" fillId="0" borderId="0" xfId="0" applyAlignment="1">
      <x:alignment vertical="bottom"/>
    </x:xf>
    <x:xf numFmtId="0" fontId="1" fillId="0" borderId="0" xfId="0"/>
    <x:xf numFmtId="0" fontId="2" fillId="0" borderId="0" xfId="0"/>
    <x:xf numFmtId="0" fontId="3" fillId="0" borderId="0" xfId="0"/>
    <x:xf numFmtId="0" fontId="1" fillId="0" borderId="0" xfId="0"/>
    <x:xf numFmtId="0" fontId="3" fillId="0" borderId="0" xfId="0"/>
    <x:xf numFmtId="0" fontId="4" fillId="0" borderId="0" xfId="0"/>
    <x:xf numFmtId="0" fontId="4" fillId="0" borderId="0" xfId="0"/>
    <x:xf numFmtId="9" fontId="4" fillId="0" borderId="0" xfId="0"/>
    <x:xf numFmtId="0" fontId="4" fillId="2" borderId="1" xfId="0" applyAlignment="1">
      <x:alignment horizontal="center" vertical="center"/>
    </x:xf>
    <x:xf numFmtId="0" fontId="1" fillId="0" borderId="0" xfId="0" applyAlignment="1">
      <x:alignment horizontal="center" vertical="center"/>
    </x:xf>
    <x:xf numFmtId="0" fontId="1" fillId="0" borderId="0" xfId="0" applyAlignment="1">
      <x:alignment vertical="center"/>
    </x:xf>
    <x:xf numFmtId="0" fontId="4" fillId="2" borderId="1" xfId="0" applyAlignment="1">
      <x:alignment horizontal="center" vertical="center"/>
    </x:xf>
    <x:xf numFmtId="0" fontId="1" fillId="0" borderId="0" xfId="0" applyAlignment="1">
      <x:alignment horizontal="center" vertical="center"/>
    </x:xf>
    <x:xf numFmtId="0" fontId="1" fillId="0" borderId="0" xfId="0" applyAlignment="1">
      <x:alignment vertical="center"/>
    </x:xf>
    <x:xf numFmtId="0" fontId="1" fillId="0" borderId="0" xfId="0" applyAlignment="1">
      <x:alignment vertical="center" wrapText="1"/>
    </x:xf>
    <x:xf numFmtId="0" fontId="1" fillId="0" borderId="0" xfId="0" applyAlignment="1">
      <x:alignment horizontal="center" vertical="center" wrapText="1"/>
    </x:xf>
    <x:xf numFmtId="0" fontId="1" fillId="0" borderId="0" xfId="0" applyAlignment="1">
      <x:alignment vertical="center" wrapText="1"/>
    </x:xf>
    <x:xf numFmtId="0" fontId="5" fillId="0" borderId="0" xfId="0" applyAlignment="1">
      <x:alignment vertical="center" wrapText="1"/>
    </x:xf>
    <x:xf numFmtId="0" fontId="6" fillId="0" borderId="0" xfId="0" applyAlignment="1">
      <x:alignment vertical="center" wrapText="1"/>
    </x:xf>
    <x:xf numFmtId="0" fontId="7" fillId="0" borderId="0" xfId="0" applyAlignment="1">
      <x:alignment vertical="center"/>
    </x:xf>
    <x:xf numFmtId="0" fontId="1" fillId="0" borderId="0" xfId="0" applyAlignment="1">
      <x:alignment horizontal="center" vertical="center"/>
    </x:xf>
    <x:xf numFmtId="0" fontId="8" fillId="0" borderId="0" xfId="0" applyAlignment="1">
      <x:alignment vertical="center" wrapText="1"/>
    </x:xf>
    <x:xf numFmtId="0" fontId="0" fillId="0" borderId="0" xfId="0"/>
    <x:xf numFmtId="0" fontId="1" fillId="0" borderId="0" xfId="0" applyAlignment="1">
      <x:alignment vertical="center" wrapText="1"/>
    </x:xf>
    <x:xf numFmtId="0" fontId="1" fillId="0" borderId="0" xfId="0" applyAlignment="1">
      <x:alignment horizontal="center" vertical="center" wrapText="1"/>
    </x:xf>
    <x:xf numFmtId="0" fontId="1" fillId="0" borderId="0" xfId="0" applyAlignment="1">
      <x:alignment vertical="center" wrapText="1"/>
    </x:xf>
    <x:xf numFmtId="0" fontId="5" fillId="0" borderId="0" xfId="0" applyAlignment="1">
      <x:alignment vertical="center" wrapText="1"/>
    </x:xf>
    <x:xf numFmtId="0" fontId="1" fillId="0" borderId="0" xfId="0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1">
    <x:dxf>
      <x:font>
        <x:color rgb="FF166534"/>
      </x:font>
      <x:fill>
        <x:patternFill>
          <x:bgColor rgb="FFDCFCE7"/>
        </x:patternFill>
      </x:fill>
      <x:border/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6059ff5f16a4d9c" /><Relationship Type="http://schemas.openxmlformats.org/officeDocument/2006/relationships/theme" Target="/xl/theme/theme1.xml" Id="R56cb497b23c740c2" /><Relationship Type="http://schemas.microsoft.com/office/2022/11/relationships/FeaturePropertyBag" Target="/xl/featurePropertyBag/featurePropertyBag.xml" Id="Ra257e09c1d334ccd" /><Relationship Type="http://schemas.openxmlformats.org/officeDocument/2006/relationships/sharedStrings" Target="/xl/sharedStrings.xml" Id="R6cbd90fd66114d58" /><Relationship Type="http://schemas.openxmlformats.org/officeDocument/2006/relationships/worksheet" Target="/xl/worksheets/sheet1.xml" Id="R5cf8526da4d74494" /><Relationship Type="http://schemas.openxmlformats.org/officeDocument/2006/relationships/worksheet" Target="/xl/worksheets/sheet2.xml" Id="R64a65f6f51084474" /><Relationship Type="http://schemas.openxmlformats.org/officeDocument/2006/relationships/worksheet" Target="/xl/worksheets/sheet3.xml" Id="Re707383ccf144be1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F2937"/>
  </x:sheetPr>
  <x:sheetViews>
    <x:sheetView showGridLines="0" workbookViewId="0">
      <x:pane xSplit="2" ySplit="6" topLeftCell="C7" activePane="bottomRight" state="frozen"/>
    </x:sheetView>
  </x:sheetViews>
  <x:sheetFormatPr baseColWidth="8" defaultColWidth="12.630000114440918" defaultRowHeight="15"/>
  <x:cols>
    <x:col min="1" max="2" width="8" style="23" customWidth="1"/>
    <x:col min="3" max="3" width="24" style="23" customWidth="1"/>
    <x:col min="4" max="4" width="42" style="23" customWidth="1"/>
    <x:col min="5" max="5" width="18.25" style="23" customWidth="1"/>
    <x:col min="6" max="6" width="24" style="23" customWidth="1"/>
    <x:col min="7" max="8" width="18" style="23" customWidth="1"/>
    <x:col min="9" max="9" width="22" style="23" customWidth="1"/>
    <x:col min="10" max="10" width="11.380000114440918" style="23" customWidth="1"/>
    <x:col min="11" max="11" width="54" style="23" customWidth="1"/>
    <x:col min="12" max="27" width="8.630000114440918" style="23" customWidth="1"/>
  </x:cols>
  <x:sheetData>
    <x:row r="1">
      <x:c r="A1" s="4" t="n"/>
      <x:c r="B1" s="4" t="n"/>
      <x:c r="C1" s="4" t="n"/>
      <x:c r="D1" s="4" t="n"/>
      <x:c r="E1" s="4" t="n"/>
      <x:c r="F1" s="4" t="n"/>
      <x:c r="G1" s="4" t="n"/>
      <x:c r="H1" s="4" t="n"/>
      <x:c r="I1" s="4" t="n"/>
      <x:c r="J1" s="4" t="n"/>
      <x:c r="K1" s="4" t="n"/>
    </x:row>
    <x:row r="2">
      <x:c r="A2" s="2" t="inlineStr">
        <x:is>
          <x:t xml:space="preserve">Star Wars Chronological Marathon Tracker</x:t>
        </x:is>
      </x:c>
      <x:c r="B2" s="4" t="n"/>
      <x:c r="C2" s="4" t="n"/>
      <x:c r="D2" s="4" t="n"/>
      <x:c r="E2" s="4" t="n"/>
      <x:c r="F2" s="4" t="n"/>
      <x:c r="G2" s="4" t="n"/>
      <x:c r="H2" s="4" t="n"/>
      <x:c r="I2" s="4" t="n"/>
      <x:c r="J2" s="4" t="n"/>
      <x:c r="K2" s="4" t="n"/>
    </x:row>
    <x:row r="3">
      <x:c r="A3" s="5" t="inlineStr">
        <x:is>
          <x:t xml:space="preserve">One unified chronological checklist, including every Clone Wars episode, Forces of Destiny short, and Skywalker Stories fan film</x:t>
        </x:is>
      </x:c>
      <x:c r="B3" s="4" t="inlineStr">
        <x:is>
          <x:t xml:space="preserve"/>
        </x:is>
      </x:c>
      <x:c r="C3" s="4" t="n"/>
      <x:c r="D3" s="4" t="n"/>
      <x:c r="E3" s="4" t="n"/>
      <x:c r="F3" s="4" t="n"/>
      <x:c r="G3" s="4" t="n"/>
      <x:c r="H3" s="4" t="n"/>
      <x:c r="I3" s="4" t="n"/>
      <x:c r="J3" s="4" t="n"/>
      <x:c r="K3" s="4" t="n"/>
    </x:row>
    <x:row r="4">
      <x:c r="A4" s="7" t="inlineStr">
        <x:is>
          <x:t xml:space="preserve">Completed</x:t>
        </x:is>
      </x:c>
      <x:c r="B4" s="7" t="n">
        <x:f>COUNTIF(A7:A382,TRUE)</x:f>
        <x:v>0</x:v>
      </x:c>
      <x:c r="C4" s="7" t="inlineStr">
        <x:is>
          <x:t xml:space="preserve">Total</x:t>
        </x:is>
      </x:c>
      <x:c r="D4" s="7" t="n">
        <x:f>COUNTA(D7:D382)</x:f>
        <x:v>376</x:v>
      </x:c>
      <x:c r="E4" s="7" t="n"/>
      <x:c r="F4" s="7" t="inlineStr">
        <x:is>
          <x:t xml:space="preserve">Progress</x:t>
        </x:is>
      </x:c>
      <x:c r="G4" s="8" t="n">
        <x:f>IF(D4=0,0,B4/D4)</x:f>
        <x:v>0</x:v>
      </x:c>
      <x:c r="H4" s="4" t="n"/>
      <x:c r="I4" s="6" t="str">
        <x:v>Last updated: October 17, 2026</x:v>
      </x:c>
      <x:c r="J4" s="4"/>
      <x:c r="K4" s="4" t="n"/>
    </x:row>
    <x:row r="5">
      <x:c r="A5" s="4" t="n"/>
      <x:c r="B5" s="4" t="n"/>
      <x:c r="C5" s="4" t="n"/>
      <x:c r="D5" s="4" t="n"/>
      <x:c r="E5" s="4" t="n"/>
      <x:c r="F5" s="4" t="n"/>
      <x:c r="G5" s="4" t="n"/>
      <x:c r="H5" s="4" t="n"/>
      <x:c r="I5" s="4" t="n"/>
      <x:c r="J5" s="4" t="n"/>
      <x:c r="K5" s="4" t="n"/>
    </x:row>
    <x:row r="6">
      <x:c r="A6" s="12" t="inlineStr">
        <x:is>
          <x:t xml:space="preserve">Done</x:t>
        </x:is>
      </x:c>
      <x:c r="B6" s="12" t="inlineStr">
        <x:is>
          <x:t xml:space="preserve">#</x:t>
        </x:is>
      </x:c>
      <x:c r="C6" s="12" t="inlineStr">
        <x:is>
          <x:t xml:space="preserve">Era</x:t>
        </x:is>
      </x:c>
      <x:c r="D6" s="12" t="inlineStr">
        <x:is>
          <x:t xml:space="preserve">Title</x:t>
        </x:is>
      </x:c>
      <x:c r="E6" s="12" t="inlineStr">
        <x:is>
          <x:t xml:space="preserve">Season / Episode</x:t>
        </x:is>
      </x:c>
      <x:c r="F6" s="12" t="inlineStr">
        <x:is>
          <x:t xml:space="preserve">Release date</x:t>
        </x:is>
      </x:c>
      <x:c r="G6" s="12" t="inlineStr">
        <x:is>
          <x:t xml:space="preserve">Continuity</x:t>
        </x:is>
      </x:c>
      <x:c r="H6" s="12" t="inlineStr">
        <x:is>
          <x:t xml:space="preserve">Format</x:t>
        </x:is>
      </x:c>
      <x:c r="I6" s="12" t="inlineStr">
        <x:is>
          <x:t xml:space="preserve">Where to watch</x:t>
        </x:is>
      </x:c>
      <x:c r="J6" s="12" t="inlineStr">
        <x:is>
          <x:t xml:space="preserve">Link</x:t>
        </x:is>
      </x:c>
      <x:c r="K6" s="12" t="inlineStr">
        <x:is>
          <x:t xml:space="preserve">Notes</x:t>
        </x:is>
      </x:c>
    </x:row>
    <x:row r="7" s="23" customFormat="1" ht="36" customHeight="1">
      <x:c r="A7" s="28" t="b">
        <x:v>0</x:v>
      </x:c>
      <x:c r="B7" s="21" t="n">
        <x:v>1</x:v>
      </x:c>
      <x:c r="C7" s="14" t="inlineStr">
        <x:is>
          <x:t xml:space="preserve">Old Republic and High Republic</x:t>
        </x:is>
      </x:c>
      <x:c r="D7" s="15" t="inlineStr">
        <x:is>
          <x:t xml:space="preserve">Knights of the Old Republic</x:t>
        </x:is>
      </x:c>
      <x:c r="E7" s="16" t="inlineStr">
        <x:is>
          <x:t xml:space="preserve"/>
        </x:is>
      </x:c>
      <x:c r="F7" s="17" t="inlineStr">
        <x:is>
          <x:t xml:space="preserve">July 15, 2003</x:t>
        </x:is>
      </x:c>
      <x:c r="G7" s="15" t="inlineStr">
        <x:is>
          <x:t xml:space="preserve">Legends</x:t>
        </x:is>
      </x:c>
      <x:c r="H7" s="15" t="inlineStr">
        <x:is>
          <x:t xml:space="preserve">Game movie</x:t>
        </x:is>
      </x:c>
      <x:c r="I7" s="15" t="inlineStr">
        <x:is>
          <x:t xml:space="preserve">YouTube</x:t>
        </x:is>
      </x:c>
      <x:c r="J7" s="18" t="e">
        <x:f>HYPERLINK("https://www.youtube.com/watch?v=9N_Banq8Kuc","Open")</x:f>
        <x:v>HYPERLINK is not implemented. linkLocation=https://www.youtube.com/watch?v=9N_Banq8Kuc, friendlyName=Open</x:v>
      </x:c>
      <x:c r="K7" s="15" t="inlineStr">
        <x:is>
          <x:t xml:space="preserve">Full game movie, about 15 hours</x:t>
        </x:is>
      </x:c>
    </x:row>
    <x:row r="8" s="23" customFormat="1" ht="36" customHeight="1">
      <x:c r="A8" s="28" t="b">
        <x:v>0</x:v>
      </x:c>
      <x:c r="B8" s="21" t="n">
        <x:v>2</x:v>
      </x:c>
      <x:c r="C8" s="14" t="inlineStr">
        <x:is>
          <x:t xml:space="preserve">Old Republic and High Republic</x:t>
        </x:is>
      </x:c>
      <x:c r="D8" s="15" t="inlineStr">
        <x:is>
          <x:t xml:space="preserve">Knights of the Old Republic II: The Sith Lords</x:t>
        </x:is>
      </x:c>
      <x:c r="E8" s="16" t="inlineStr">
        <x:is>
          <x:t xml:space="preserve"/>
        </x:is>
      </x:c>
      <x:c r="F8" s="17" t="inlineStr">
        <x:is>
          <x:t xml:space="preserve">December 6, 2004</x:t>
        </x:is>
      </x:c>
      <x:c r="G8" s="15" t="inlineStr">
        <x:is>
          <x:t xml:space="preserve">Legends</x:t>
        </x:is>
      </x:c>
      <x:c r="H8" s="15" t="inlineStr">
        <x:is>
          <x:t xml:space="preserve">Game movie</x:t>
        </x:is>
      </x:c>
      <x:c r="I8" s="15" t="inlineStr">
        <x:is>
          <x:t xml:space="preserve">YouTube</x:t>
        </x:is>
      </x:c>
      <x:c r="J8" s="18" t="e">
        <x:f>HYPERLINK("https://www.youtube.com/watch?v=Ut6qGIEkLx8","Open")</x:f>
        <x:v>HYPERLINK is not implemented. linkLocation=https://www.youtube.com/watch?v=Ut6qGIEkLx8, friendlyName=Open</x:v>
      </x:c>
      <x:c r="K8" s="15" t="inlineStr">
        <x:is>
          <x:t xml:space="preserve">Restored Content version; choices change the story</x:t>
        </x:is>
      </x:c>
    </x:row>
    <x:row r="9" s="23" customFormat="1" ht="36" customHeight="1">
      <x:c r="A9" s="28" t="b">
        <x:v>0</x:v>
      </x:c>
      <x:c r="B9" s="21" t="n">
        <x:v>3</x:v>
      </x:c>
      <x:c r="C9" s="14" t="inlineStr">
        <x:is>
          <x:t xml:space="preserve">Old Republic and High Republic</x:t>
        </x:is>
      </x:c>
      <x:c r="D9" s="15" t="inlineStr">
        <x:is>
          <x:t xml:space="preserve">Star Wars: The Old Republic</x:t>
        </x:is>
      </x:c>
      <x:c r="E9" s="16" t="inlineStr">
        <x:is>
          <x:t xml:space="preserve"/>
        </x:is>
      </x:c>
      <x:c r="F9" s="17" t="inlineStr">
        <x:is>
          <x:t xml:space="preserve">December 20, 2011</x:t>
        </x:is>
      </x:c>
      <x:c r="G9" s="15" t="inlineStr">
        <x:is>
          <x:t xml:space="preserve">Legends</x:t>
        </x:is>
      </x:c>
      <x:c r="H9" s="15" t="inlineStr">
        <x:is>
          <x:t xml:space="preserve">Game / cinematics</x:t>
        </x:is>
      </x:c>
      <x:c r="I9" s="15" t="inlineStr">
        <x:is>
          <x:t xml:space="preserve">YouTube / SWTOR</x:t>
        </x:is>
      </x:c>
      <x:c r="J9" s="18" t="e">
        <x:f>HYPERLINK("https://www.youtube.com/watch?v=nfjWANrhl5g","Open")</x:f>
        <x:v>HYPERLINK is not implemented. linkLocation=https://www.youtube.com/watch?v=nfjWANrhl5g, friendlyName=Open</x:v>
      </x:c>
      <x:c r="K9" s="15" t="inlineStr">
        <x:is>
          <x:t xml:space="preserve">Start with the cinematic trailers, then choose class-story compilations</x:t>
        </x:is>
      </x:c>
    </x:row>
    <x:row r="10" s="23" customFormat="1" ht="36" customHeight="1">
      <x:c r="A10" s="28" t="b">
        <x:v>0</x:v>
      </x:c>
      <x:c r="B10" s="21" t="n">
        <x:v>4</x:v>
      </x:c>
      <x:c r="C10" s="14" t="inlineStr">
        <x:is>
          <x:t xml:space="preserve">Old Republic and High Republic</x:t>
        </x:is>
      </x:c>
      <x:c r="D10" s="15" t="inlineStr">
        <x:is>
          <x:t xml:space="preserve">Star Wars: Fate of the Old Republic teaser</x:t>
        </x:is>
      </x:c>
      <x:c r="E10" s="16" t="inlineStr">
        <x:is>
          <x:t xml:space="preserve"/>
        </x:is>
      </x:c>
      <x:c r="F10" s="17" t="inlineStr">
        <x:is>
          <x:t xml:space="preserve">December 11, 2025</x:t>
        </x:is>
      </x:c>
      <x:c r="G10" s="15" t="inlineStr">
        <x:is>
          <x:t xml:space="preserve">Unreleased</x:t>
        </x:is>
      </x:c>
      <x:c r="H10" s="15" t="inlineStr">
        <x:is>
          <x:t xml:space="preserve">Trailer</x:t>
        </x:is>
      </x:c>
      <x:c r="I10" s="15" t="inlineStr">
        <x:is>
          <x:t xml:space="preserve">YouTube</x:t>
        </x:is>
      </x:c>
      <x:c r="J10" s="18" t="e">
        <x:f>HYPERLINK("https://www.youtube.com/watch?v=lAmkl1jL0fo","Open")</x:f>
        <x:v>HYPERLINK is not implemented. linkLocation=https://www.youtube.com/watch?v=lAmkl1jL0fo, friendlyName=Open</x:v>
      </x:c>
      <x:c r="K10" s="15" t="inlineStr">
        <x:is>
          <x:t xml:space="preserve">Game unreleased; timeline placement provisional</x:t>
        </x:is>
      </x:c>
    </x:row>
    <x:row r="11" s="23" customFormat="1" ht="36" customHeight="1">
      <x:c r="A11" s="28" t="b">
        <x:v>0</x:v>
      </x:c>
      <x:c r="B11" s="21" t="n">
        <x:v>5</x:v>
      </x:c>
      <x:c r="C11" s="14" t="inlineStr">
        <x:is>
          <x:t xml:space="preserve">Old Republic and High Republic</x:t>
        </x:is>
      </x:c>
      <x:c r="D11" s="15" t="inlineStr">
        <x:is>
          <x:t xml:space="preserve">Young Jedi Adventures shorts</x:t>
        </x:is>
      </x:c>
      <x:c r="E11" s="16" t="inlineStr">
        <x:is>
          <x:t xml:space="preserve"/>
        </x:is>
      </x:c>
      <x:c r="F11" s="15" t="inlineStr">
        <x:is>
          <x:t xml:space="preserve">March 27, 2023; August 2, 2024</x:t>
        </x:is>
      </x:c>
      <x:c r="G11" s="15" t="inlineStr">
        <x:is>
          <x:t xml:space="preserve">Canon</x:t>
        </x:is>
      </x:c>
      <x:c r="H11" s="15" t="inlineStr">
        <x:is>
          <x:t xml:space="preserve">Shorts</x:t>
        </x:is>
      </x:c>
      <x:c r="I11" s="15" t="inlineStr">
        <x:is>
          <x:t xml:space="preserve">Disney+ / Star Wars Kids</x:t>
        </x:is>
      </x:c>
      <x:c r="J11" s="19" t="inlineStr">
        <x:is>
          <x:t xml:space="preserve"/>
        </x:is>
      </x:c>
      <x:c r="K11" s="15" t="inlineStr">
        <x:is>
          <x:t xml:space="preserve"/>
        </x:is>
      </x:c>
    </x:row>
    <x:row r="12" s="23" customFormat="1" ht="36" customHeight="1">
      <x:c r="A12" s="28" t="b">
        <x:v>0</x:v>
      </x:c>
      <x:c r="B12" s="21" t="n">
        <x:v>6</x:v>
      </x:c>
      <x:c r="C12" s="14" t="inlineStr">
        <x:is>
          <x:t xml:space="preserve">Old Republic and High Republic</x:t>
        </x:is>
      </x:c>
      <x:c r="D12" s="15" t="inlineStr">
        <x:is>
          <x:t xml:space="preserve">Young Jedi Adventures</x:t>
        </x:is>
      </x:c>
      <x:c r="E12" s="16" t="inlineStr">
        <x:is>
          <x:t xml:space="preserve"/>
        </x:is>
      </x:c>
      <x:c r="F12" s="15" t="inlineStr">
        <x:is>
          <x:t xml:space="preserve">S1 May 4, 2023; S2 Aug. 14, 2024; S3 Dec. 8, 2025</x:t>
        </x:is>
      </x:c>
      <x:c r="G12" s="15" t="inlineStr">
        <x:is>
          <x:t xml:space="preserve">Canon</x:t>
        </x:is>
      </x:c>
      <x:c r="H12" s="15" t="inlineStr">
        <x:is>
          <x:t xml:space="preserve">Series</x:t>
        </x:is>
      </x:c>
      <x:c r="I12" s="15" t="inlineStr">
        <x:is>
          <x:t xml:space="preserve">Disney+</x:t>
        </x:is>
      </x:c>
      <x:c r="J12" s="19" t="inlineStr">
        <x:is>
          <x:t xml:space="preserve"/>
        </x:is>
      </x:c>
      <x:c r="K12" s="15" t="inlineStr">
        <x:is>
          <x:t xml:space="preserve"/>
        </x:is>
      </x:c>
    </x:row>
    <x:row r="13" s="23" customFormat="1" ht="36" customHeight="1">
      <x:c r="A13" s="28" t="b">
        <x:v>0</x:v>
      </x:c>
      <x:c r="B13" s="21" t="n">
        <x:v>7</x:v>
      </x:c>
      <x:c r="C13" s="14" t="inlineStr">
        <x:is>
          <x:t xml:space="preserve">Old Republic and High Republic</x:t>
        </x:is>
      </x:c>
      <x:c r="D13" s="15" t="inlineStr">
        <x:is>
          <x:t xml:space="preserve">Star Wars Eclipse reveal trailer</x:t>
        </x:is>
      </x:c>
      <x:c r="E13" s="16" t="inlineStr">
        <x:is>
          <x:t xml:space="preserve"/>
        </x:is>
      </x:c>
      <x:c r="F13" s="17" t="inlineStr">
        <x:is>
          <x:t xml:space="preserve">December 9, 2021</x:t>
        </x:is>
      </x:c>
      <x:c r="G13" s="15" t="inlineStr">
        <x:is>
          <x:t xml:space="preserve">Unreleased</x:t>
        </x:is>
      </x:c>
      <x:c r="H13" s="15" t="inlineStr">
        <x:is>
          <x:t xml:space="preserve">Trailer</x:t>
        </x:is>
      </x:c>
      <x:c r="I13" s="15" t="inlineStr">
        <x:is>
          <x:t xml:space="preserve">YouTube</x:t>
        </x:is>
      </x:c>
      <x:c r="J13" s="18" t="e">
        <x:f>HYPERLINK("https://www.youtube.com/watch?v=4cJpiOPKH14","Open")</x:f>
        <x:v>HYPERLINK is not implemented. linkLocation=https://www.youtube.com/watch?v=4cJpiOPKH14, friendlyName=Open</x:v>
      </x:c>
      <x:c r="K13" s="15" t="inlineStr">
        <x:is>
          <x:t xml:space="preserve">Game unreleased; precise placement provisional</x:t>
        </x:is>
      </x:c>
    </x:row>
    <x:row r="14" s="23" customFormat="1" ht="36" customHeight="1">
      <x:c r="A14" s="28" t="b">
        <x:v>0</x:v>
      </x:c>
      <x:c r="B14" s="21" t="n">
        <x:v>8</x:v>
      </x:c>
      <x:c r="C14" s="14" t="inlineStr">
        <x:is>
          <x:t xml:space="preserve">Old Republic and High Republic</x:t>
        </x:is>
      </x:c>
      <x:c r="D14" s="15" t="inlineStr">
        <x:is>
          <x:t xml:space="preserve">The Acolyte</x:t>
        </x:is>
      </x:c>
      <x:c r="E14" s="16" t="inlineStr">
        <x:is>
          <x:t xml:space="preserve"/>
        </x:is>
      </x:c>
      <x:c r="F14" s="15" t="inlineStr">
        <x:is>
          <x:t xml:space="preserve">June 4–July 16, 2024</x:t>
        </x:is>
      </x:c>
      <x:c r="G14" s="15" t="inlineStr">
        <x:is>
          <x:t xml:space="preserve">Canon</x:t>
        </x:is>
      </x:c>
      <x:c r="H14" s="15" t="inlineStr">
        <x:is>
          <x:t xml:space="preserve">Series</x:t>
        </x:is>
      </x:c>
      <x:c r="I14" s="15" t="inlineStr">
        <x:is>
          <x:t xml:space="preserve">Disney+</x:t>
        </x:is>
      </x:c>
      <x:c r="J14" s="19" t="inlineStr">
        <x:is>
          <x:t xml:space="preserve"/>
        </x:is>
      </x:c>
      <x:c r="K14" s="15" t="inlineStr">
        <x:is>
          <x:t xml:space="preserve"/>
        </x:is>
      </x:c>
    </x:row>
    <x:row r="15" s="23" customFormat="1" ht="36" customHeight="1">
      <x:c r="A15" s="28" t="b">
        <x:v>0</x:v>
      </x:c>
      <x:c r="B15" s="21" t="n">
        <x:v>9</x:v>
      </x:c>
      <x:c r="C15" s="14" t="inlineStr">
        <x:is>
          <x:t xml:space="preserve">Fall of the Jedi</x:t>
        </x:is>
      </x:c>
      <x:c r="D15" s="15" t="inlineStr">
        <x:is>
          <x:t xml:space="preserve">Tales of the Jedi: Justice</x:t>
        </x:is>
      </x:c>
      <x:c r="E15" s="16" t="inlineStr">
        <x:is>
          <x:t xml:space="preserve"/>
        </x:is>
      </x:c>
      <x:c r="F15" s="17" t="inlineStr">
        <x:is>
          <x:t xml:space="preserve">October 26, 2022</x:t>
        </x:is>
      </x:c>
      <x:c r="G15" s="15" t="inlineStr">
        <x:is>
          <x:t xml:space="preserve">Canon</x:t>
        </x:is>
      </x:c>
      <x:c r="H15" s="15" t="inlineStr">
        <x:is>
          <x:t xml:space="preserve">Episode</x:t>
        </x:is>
      </x:c>
      <x:c r="I15" s="15" t="inlineStr">
        <x:is>
          <x:t xml:space="preserve">Disney+</x:t>
        </x:is>
      </x:c>
      <x:c r="J15" s="19" t="inlineStr">
        <x:is>
          <x:t xml:space="preserve"/>
        </x:is>
      </x:c>
      <x:c r="K15" s="15" t="inlineStr">
        <x:is>
          <x:t xml:space="preserve"/>
        </x:is>
      </x:c>
    </x:row>
    <x:row r="16" s="23" customFormat="1" ht="36" customHeight="1">
      <x:c r="A16" s="28" t="b">
        <x:v>0</x:v>
      </x:c>
      <x:c r="B16" s="21" t="n">
        <x:v>10</x:v>
      </x:c>
      <x:c r="C16" s="14" t="inlineStr">
        <x:is>
          <x:t xml:space="preserve">Fall of the Jedi</x:t>
        </x:is>
      </x:c>
      <x:c r="D16" s="15" t="inlineStr">
        <x:is>
          <x:t xml:space="preserve">Tales of the Jedi: Choices</x:t>
        </x:is>
      </x:c>
      <x:c r="E16" s="16" t="inlineStr">
        <x:is>
          <x:t xml:space="preserve"/>
        </x:is>
      </x:c>
      <x:c r="F16" s="17" t="inlineStr">
        <x:is>
          <x:t xml:space="preserve">October 26, 2022</x:t>
        </x:is>
      </x:c>
      <x:c r="G16" s="15" t="inlineStr">
        <x:is>
          <x:t xml:space="preserve">Canon</x:t>
        </x:is>
      </x:c>
      <x:c r="H16" s="15" t="inlineStr">
        <x:is>
          <x:t xml:space="preserve">Episode</x:t>
        </x:is>
      </x:c>
      <x:c r="I16" s="15" t="inlineStr">
        <x:is>
          <x:t xml:space="preserve">Disney+</x:t>
        </x:is>
      </x:c>
      <x:c r="J16" s="19" t="inlineStr">
        <x:is>
          <x:t xml:space="preserve"/>
        </x:is>
      </x:c>
      <x:c r="K16" s="15" t="inlineStr">
        <x:is>
          <x:t xml:space="preserve"/>
        </x:is>
      </x:c>
    </x:row>
    <x:row r="17" s="23" customFormat="1" ht="36" customHeight="1">
      <x:c r="A17" s="28" t="b">
        <x:v>0</x:v>
      </x:c>
      <x:c r="B17" s="21" t="n">
        <x:v>11</x:v>
      </x:c>
      <x:c r="C17" s="14" t="inlineStr">
        <x:is>
          <x:t xml:space="preserve">Fall of the Jedi</x:t>
        </x:is>
      </x:c>
      <x:c r="D17" s="15" t="inlineStr">
        <x:is>
          <x:t xml:space="preserve">Tales of the Jedi: Life and Death</x:t>
        </x:is>
      </x:c>
      <x:c r="E17" s="16" t="inlineStr">
        <x:is>
          <x:t xml:space="preserve"/>
        </x:is>
      </x:c>
      <x:c r="F17" s="17" t="inlineStr">
        <x:is>
          <x:t xml:space="preserve">October 26, 2022</x:t>
        </x:is>
      </x:c>
      <x:c r="G17" s="15" t="inlineStr">
        <x:is>
          <x:t xml:space="preserve">Canon</x:t>
        </x:is>
      </x:c>
      <x:c r="H17" s="15" t="inlineStr">
        <x:is>
          <x:t xml:space="preserve">Episode</x:t>
        </x:is>
      </x:c>
      <x:c r="I17" s="15" t="inlineStr">
        <x:is>
          <x:t xml:space="preserve">Disney+</x:t>
        </x:is>
      </x:c>
      <x:c r="J17" s="19" t="inlineStr">
        <x:is>
          <x:t xml:space="preserve"/>
        </x:is>
      </x:c>
      <x:c r="K17" s="15" t="inlineStr">
        <x:is>
          <x:t xml:space="preserve"/>
        </x:is>
      </x:c>
    </x:row>
    <x:row r="18" s="23" customFormat="1" ht="36" customHeight="1">
      <x:c r="A18" s="28" t="b">
        <x:v>0</x:v>
      </x:c>
      <x:c r="B18" s="21" t="n">
        <x:v>12</x:v>
      </x:c>
      <x:c r="C18" s="14" t="inlineStr">
        <x:is>
          <x:t xml:space="preserve">Fall of the Jedi</x:t>
        </x:is>
      </x:c>
      <x:c r="D18" s="15" t="inlineStr">
        <x:is>
          <x:t xml:space="preserve">Episode I: The Phantom Menace</x:t>
        </x:is>
      </x:c>
      <x:c r="E18" s="16" t="inlineStr">
        <x:is>
          <x:t xml:space="preserve"/>
        </x:is>
      </x:c>
      <x:c r="F18" s="17" t="inlineStr">
        <x:is>
          <x:t xml:space="preserve">May 19, 1999</x:t>
        </x:is>
      </x:c>
      <x:c r="G18" s="15" t="inlineStr">
        <x:is>
          <x:t xml:space="preserve">Canon</x:t>
        </x:is>
      </x:c>
      <x:c r="H18" s="15" t="inlineStr">
        <x:is>
          <x:t xml:space="preserve">Movie</x:t>
        </x:is>
      </x:c>
      <x:c r="I18" s="15" t="inlineStr">
        <x:is>
          <x:t xml:space="preserve">Disney+</x:t>
        </x:is>
      </x:c>
      <x:c r="J18" s="19" t="inlineStr">
        <x:is>
          <x:t xml:space="preserve"/>
        </x:is>
      </x:c>
      <x:c r="K18" s="15" t="inlineStr">
        <x:is>
          <x:t xml:space="preserve"/>
        </x:is>
      </x:c>
    </x:row>
    <x:row r="19" s="23" customFormat="1" ht="36" customHeight="1">
      <x:c r="A19" s="28" t="b">
        <x:v>0</x:v>
      </x:c>
      <x:c r="B19" s="21" t="n">
        <x:v>13</x:v>
      </x:c>
      <x:c r="C19" s="14" t="inlineStr">
        <x:is>
          <x:t xml:space="preserve">Fall of the Jedi</x:t>
        </x:is>
      </x:c>
      <x:c r="D19" s="15" t="inlineStr">
        <x:is>
          <x:t xml:space="preserve">Forces of Destiny: Monster Misunderstanding</x:t>
        </x:is>
      </x:c>
      <x:c r="E19" s="16" t="inlineStr">
        <x:is>
          <x:t xml:space="preserve">Season 2, Episode 10</x:t>
        </x:is>
      </x:c>
      <x:c r="F19" s="17" t="inlineStr">
        <x:is>
          <x:t xml:space="preserve">May 4, 2018</x:t>
        </x:is>
      </x:c>
      <x:c r="G19" s="15" t="inlineStr">
        <x:is>
          <x:t xml:space="preserve">Canon</x:t>
        </x:is>
      </x:c>
      <x:c r="H19" s="15" t="inlineStr">
        <x:is>
          <x:t xml:space="preserve">Short</x:t>
        </x:is>
      </x:c>
      <x:c r="I19" s="15" t="inlineStr">
        <x:is>
          <x:t xml:space="preserve">Disney+ / official YouTube</x:t>
        </x:is>
      </x:c>
      <x:c r="J19" s="18" t="e">
        <x:f>HYPERLINK("https://www.youtube.com/results?search_query=Star%20Wars%20Forces%20of%20Destiny%20Monster%20Misunderstanding%20official","Open")</x:f>
        <x:v>HYPERLINK is not implemented. linkLocation=https://www.youtube.com/results?search_query=Star%20Wars%20Forces%20of%20Destiny%20Monster%20Misunderstanding%20official, friendlyName=Open</x:v>
      </x:c>
      <x:c r="K19" s="15" t="inlineStr">
        <x:is>
          <x:t xml:space="preserve">After The Phantom Menace</x:t>
        </x:is>
      </x:c>
    </x:row>
    <x:row r="20" s="23" customFormat="1" ht="36" customHeight="1">
      <x:c r="A20" s="28" t="b">
        <x:v>0</x:v>
      </x:c>
      <x:c r="B20" s="21" t="n">
        <x:v>14</x:v>
      </x:c>
      <x:c r="C20" s="14" t="inlineStr">
        <x:is>
          <x:t xml:space="preserve">Fall of the Jedi</x:t>
        </x:is>
      </x:c>
      <x:c r="D20" s="15" t="inlineStr">
        <x:is>
          <x:t xml:space="preserve">Tales of the Jedi: The Sith Lord</x:t>
        </x:is>
      </x:c>
      <x:c r="E20" s="16" t="inlineStr">
        <x:is>
          <x:t xml:space="preserve"/>
        </x:is>
      </x:c>
      <x:c r="F20" s="17" t="inlineStr">
        <x:is>
          <x:t xml:space="preserve">October 26, 2022</x:t>
        </x:is>
      </x:c>
      <x:c r="G20" s="15" t="inlineStr">
        <x:is>
          <x:t xml:space="preserve">Canon</x:t>
        </x:is>
      </x:c>
      <x:c r="H20" s="15" t="inlineStr">
        <x:is>
          <x:t xml:space="preserve">Episode</x:t>
        </x:is>
      </x:c>
      <x:c r="I20" s="15" t="inlineStr">
        <x:is>
          <x:t xml:space="preserve">Disney+</x:t>
        </x:is>
      </x:c>
      <x:c r="J20" s="19" t="inlineStr">
        <x:is>
          <x:t xml:space="preserve"/>
        </x:is>
      </x:c>
      <x:c r="K20" s="15" t="inlineStr">
        <x:is>
          <x:t xml:space="preserve"/>
        </x:is>
      </x:c>
    </x:row>
    <x:row r="21" s="23" customFormat="1" ht="36" customHeight="1">
      <x:c r="A21" s="28" t="b">
        <x:v>0</x:v>
      </x:c>
      <x:c r="B21" s="21" t="n">
        <x:v>15</x:v>
      </x:c>
      <x:c r="C21" s="14" t="inlineStr">
        <x:is>
          <x:t xml:space="preserve">Fall of the Jedi</x:t>
        </x:is>
      </x:c>
      <x:c r="D21" s="15" t="inlineStr">
        <x:is>
          <x:t xml:space="preserve">Star Wars: Bounty Hunter</x:t>
        </x:is>
      </x:c>
      <x:c r="E21" s="16" t="inlineStr">
        <x:is>
          <x:t xml:space="preserve"/>
        </x:is>
      </x:c>
      <x:c r="F21" s="15" t="inlineStr">
        <x:is>
          <x:t xml:space="preserve">Original Nov. 19, 2002; remaster Aug. 1, 2024</x:t>
        </x:is>
      </x:c>
      <x:c r="G21" s="15" t="inlineStr">
        <x:is>
          <x:t xml:space="preserve">Legends-adjacent</x:t>
        </x:is>
      </x:c>
      <x:c r="H21" s="15" t="inlineStr">
        <x:is>
          <x:t xml:space="preserve">Game movie</x:t>
        </x:is>
      </x:c>
      <x:c r="I21" s="15" t="inlineStr">
        <x:is>
          <x:t xml:space="preserve">YouTube</x:t>
        </x:is>
      </x:c>
      <x:c r="J21" s="18" t="e">
        <x:f>HYPERLINK("https://www.youtube.com/watch?v=1fCk6ZANZBc","Open")</x:f>
        <x:v>HYPERLINK is not implemented. linkLocation=https://www.youtube.com/watch?v=1fCk6ZANZBc, friendlyName=Open</x:v>
      </x:c>
      <x:c r="K21" s="15" t="inlineStr">
        <x:is>
          <x:t xml:space="preserve">Remastered complete game movie in 4K</x:t>
        </x:is>
      </x:c>
    </x:row>
    <x:row r="22" s="23" customFormat="1" ht="36" customHeight="1">
      <x:c r="A22" s="28" t="b">
        <x:v>0</x:v>
      </x:c>
      <x:c r="B22" s="21" t="n">
        <x:v>16</x:v>
      </x:c>
      <x:c r="C22" s="14" t="inlineStr">
        <x:is>
          <x:t xml:space="preserve">Fall of the Jedi</x:t>
        </x:is>
      </x:c>
      <x:c r="D22" s="15" t="inlineStr">
        <x:is>
          <x:t xml:space="preserve">Episode II: Attack of the Clones</x:t>
        </x:is>
      </x:c>
      <x:c r="E22" s="16" t="inlineStr">
        <x:is>
          <x:t xml:space="preserve"/>
        </x:is>
      </x:c>
      <x:c r="F22" s="17" t="inlineStr">
        <x:is>
          <x:t xml:space="preserve">May 16, 2002</x:t>
        </x:is>
      </x:c>
      <x:c r="G22" s="15" t="inlineStr">
        <x:is>
          <x:t xml:space="preserve">Canon</x:t>
        </x:is>
      </x:c>
      <x:c r="H22" s="15" t="inlineStr">
        <x:is>
          <x:t xml:space="preserve">Movie</x:t>
        </x:is>
      </x:c>
      <x:c r="I22" s="15" t="inlineStr">
        <x:is>
          <x:t xml:space="preserve">Disney+</x:t>
        </x:is>
      </x:c>
      <x:c r="J22" s="19" t="inlineStr">
        <x:is>
          <x:t xml:space="preserve"/>
        </x:is>
      </x:c>
      <x:c r="K22" s="15" t="inlineStr">
        <x:is>
          <x:t xml:space="preserve"/>
        </x:is>
      </x:c>
    </x:row>
    <x:row r="23" s="23" customFormat="1" ht="36" customHeight="1">
      <x:c r="A23" s="28" t="b">
        <x:v>0</x:v>
      </x:c>
      <x:c r="B23" s="21" t="n">
        <x:v>17</x:v>
      </x:c>
      <x:c r="C23" s="14" t="inlineStr">
        <x:is>
          <x:t xml:space="preserve">Fall of the Jedi</x:t>
        </x:is>
      </x:c>
      <x:c r="D23" s="15" t="inlineStr">
        <x:is>
          <x:t xml:space="preserve">The Clone Wars: Cat and Mouse</x:t>
        </x:is>
      </x:c>
      <x:c r="E23" s="16" t="inlineStr">
        <x:is>
          <x:t xml:space="preserve">Season 2, Episode 16</x:t>
        </x:is>
      </x:c>
      <x:c r="F23" s="15" t="inlineStr">
        <x:is>
          <x:t xml:space="preserve">Series aired October 3, 2008–May 4, 2020</x:t>
        </x:is>
      </x:c>
      <x:c r="G23" s="15" t="inlineStr">
        <x:is>
          <x:t xml:space="preserve">Canon</x:t>
        </x:is>
      </x:c>
      <x:c r="H23" s="15" t="inlineStr">
        <x:is>
          <x:t xml:space="preserve">Episode</x:t>
        </x:is>
      </x:c>
      <x:c r="I23" s="15" t="inlineStr">
        <x:is>
          <x:t xml:space="preserve">Disney+</x:t>
        </x:is>
      </x:c>
      <x:c r="J23" s="18" t="e">
        <x:f>HYPERLINK("https://www.disneyplus.com/video/5faf61af-2ce0-4baa-a647-a4f4363eba0e?cid=DTCI-Synergy-DDN-Site-Acquisition-StarWars-US-StarWars-StarWarsTheCloneWars-EN-BlogArticleEmbed-TCWChronological_StreamOnDisneyPlusCTA-NA","Watch")</x:f>
        <x:v>HYPERLINK is not implemented. linkLocation=https://www.disneyplus.com/video/5faf61af-2ce0-4baa-a647-a4f4363eba0e?cid=DTCI-Synergy-DDN-Site-Acquisition-StarWars-US-StarWars-StarWarsTheCloneWars-EN-BlogArticleEmbed-TCWChronological_StreamOnDisneyPlusCTA-NA, friendlyName=Watch</x:v>
      </x:c>
      <x:c r="K23" s="22" t="e">
        <x:f>HYPERLINK("https://www.starwars.com/tv-shows/clone-wars/cat-and-mouse-episode-guide","Season 2, Episode 16 · Episode guide")</x:f>
        <x:v>HYPERLINK is not implemented. linkLocation=https://www.starwars.com/tv-shows/clone-wars/cat-and-mouse-episode-guide, friendlyName=Season 2, Episode 16 · Episode guide</x:v>
      </x:c>
    </x:row>
    <x:row r="24" s="23" customFormat="1" ht="36" customHeight="1">
      <x:c r="A24" s="28" t="b">
        <x:v>0</x:v>
      </x:c>
      <x:c r="B24" s="21" t="n">
        <x:v>18</x:v>
      </x:c>
      <x:c r="C24" s="14" t="inlineStr">
        <x:is>
          <x:t xml:space="preserve">Fall of the Jedi</x:t>
        </x:is>
      </x:c>
      <x:c r="D24" s="15" t="inlineStr">
        <x:is>
          <x:t xml:space="preserve">The Clone Wars: Hidden Enemy</x:t>
        </x:is>
      </x:c>
      <x:c r="E24" s="16" t="inlineStr">
        <x:is>
          <x:t xml:space="preserve">Season 1, Episode 16</x:t>
        </x:is>
      </x:c>
      <x:c r="F24" s="15" t="inlineStr">
        <x:is>
          <x:t xml:space="preserve">Series aired October 3, 2008–May 4, 2020</x:t>
        </x:is>
      </x:c>
      <x:c r="G24" s="15" t="inlineStr">
        <x:is>
          <x:t xml:space="preserve">Canon</x:t>
        </x:is>
      </x:c>
      <x:c r="H24" s="15" t="inlineStr">
        <x:is>
          <x:t xml:space="preserve">Episode</x:t>
        </x:is>
      </x:c>
      <x:c r="I24" s="15" t="inlineStr">
        <x:is>
          <x:t xml:space="preserve">Disney+</x:t>
        </x:is>
      </x:c>
      <x:c r="J24" s="18" t="e">
        <x:f>HYPERLINK("https://www.disneyplus.com/video/7c732b05-b90f-4090-a184-5652be228139?cid=DTCI-Synergy-DDN-Site-Acquisition-StarWars-US-StarWars-StarWarsTheCloneWars-EN-BlogArticleEmbed-TCWChronological_StreamOnDisneyPlusCTA-NA","Watch")</x:f>
        <x:v>HYPERLINK is not implemented. linkLocation=https://www.disneyplus.com/video/7c732b05-b90f-4090-a184-5652be228139?cid=DTCI-Synergy-DDN-Site-Acquisition-StarWars-US-StarWars-StarWarsTheCloneWars-EN-BlogArticleEmbed-TCWChronological_StreamOnDisneyPlusCTA-NA, friendlyName=Watch</x:v>
      </x:c>
      <x:c r="K24" s="22" t="e">
        <x:f>HYPERLINK("https://www.starwars.com/tv-shows/clone-wars/the-hidden-enemy-episode-guide","Season 1, Episode 16 · Episode guide")</x:f>
        <x:v>HYPERLINK is not implemented. linkLocation=https://www.starwars.com/tv-shows/clone-wars/the-hidden-enemy-episode-guide, friendlyName=Season 1, Episode 16 · Episode guide</x:v>
      </x:c>
    </x:row>
    <x:row r="25" s="23" customFormat="1" ht="36" customHeight="1">
      <x:c r="A25" s="28" t="b">
        <x:v>0</x:v>
      </x:c>
      <x:c r="B25" s="21" t="n">
        <x:v>19</x:v>
      </x:c>
      <x:c r="C25" s="14" t="inlineStr">
        <x:is>
          <x:t xml:space="preserve">Fall of the Jedi</x:t>
        </x:is>
      </x:c>
      <x:c r="D25" s="15" t="inlineStr">
        <x:is>
          <x:t xml:space="preserve">The Clone Wars theatrical movie</x:t>
        </x:is>
      </x:c>
      <x:c r="E25" s="16" t="inlineStr">
        <x:is>
          <x:t xml:space="preserve">Movie</x:t>
        </x:is>
      </x:c>
      <x:c r="F25" s="17" t="inlineStr">
        <x:is>
          <x:t xml:space="preserve">August 15, 2008</x:t>
        </x:is>
      </x:c>
      <x:c r="G25" s="15" t="inlineStr">
        <x:is>
          <x:t xml:space="preserve">Canon</x:t>
        </x:is>
      </x:c>
      <x:c r="H25" s="15" t="inlineStr">
        <x:is>
          <x:t xml:space="preserve">Movie</x:t>
        </x:is>
      </x:c>
      <x:c r="I25" s="15" t="inlineStr">
        <x:is>
          <x:t xml:space="preserve">Disney+</x:t>
        </x:is>
      </x:c>
      <x:c r="J25" s="18" t="e">
        <x:f>HYPERLINK("https://www.disneyplus.com/movies/star-wars-the-clone-wars/AVmv1ulT1nQW?cid=DTCI-Synergy-DDN-Site-Acquisition-StarWars-US-StarWars-StarWarsTheCloneWars-EN-BlogArticleEmbed-TCWChronological_StreamOnDisneyPlusCTA-NA","Watch")</x:f>
        <x:v>HYPERLINK is not implemented. linkLocation=https://www.disneyplus.com/movies/star-wars-the-clone-wars/AVmv1ulT1nQW?cid=DTCI-Synergy-DDN-Site-Acquisition-StarWars-US-StarWars-StarWarsTheCloneWars-EN-BlogArticleEmbed-TCWChronological_StreamOnDisneyPlusCTA-NA, friendlyName=Watch</x:v>
      </x:c>
      <x:c r="K25" s="15" t="inlineStr">
        <x:is>
          <x:t xml:space="preserve">Separate movie listing</x:t>
        </x:is>
      </x:c>
    </x:row>
    <x:row r="26" s="23" customFormat="1" ht="36" customHeight="1">
      <x:c r="A26" s="28" t="b">
        <x:v>0</x:v>
      </x:c>
      <x:c r="B26" s="21" t="n">
        <x:v>20</x:v>
      </x:c>
      <x:c r="C26" s="14" t="inlineStr">
        <x:is>
          <x:t xml:space="preserve">Fall of the Jedi</x:t>
        </x:is>
      </x:c>
      <x:c r="D26" s="15" t="inlineStr">
        <x:is>
          <x:t xml:space="preserve">The Clone Wars: Clone Cadets</x:t>
        </x:is>
      </x:c>
      <x:c r="E26" s="16" t="inlineStr">
        <x:is>
          <x:t xml:space="preserve">Season 3, Episode 1</x:t>
        </x:is>
      </x:c>
      <x:c r="F26" s="15" t="inlineStr">
        <x:is>
          <x:t xml:space="preserve">Series aired October 3, 2008–May 4, 2020</x:t>
        </x:is>
      </x:c>
      <x:c r="G26" s="15" t="inlineStr">
        <x:is>
          <x:t xml:space="preserve">Canon</x:t>
        </x:is>
      </x:c>
      <x:c r="H26" s="15" t="inlineStr">
        <x:is>
          <x:t xml:space="preserve">Episode</x:t>
        </x:is>
      </x:c>
      <x:c r="I26" s="15" t="inlineStr">
        <x:is>
          <x:t xml:space="preserve">Disney+</x:t>
        </x:is>
      </x:c>
      <x:c r="J26" s="18" t="e">
        <x:f>HYPERLINK("https://www.disneyplus.com/video/7851718f-2530-47e2-bf32-a8b498b3efa9?cid=DTCI-Synergy-DDN-Site-Acquisition-StarWars-US-StarWars-StarWarsTheCloneWars-EN-BlogArticleEmbed-TCWChronological_StreamOnDisneyPlusCTA-NA","Watch")</x:f>
        <x:v>HYPERLINK is not implemented. linkLocation=https://www.disneyplus.com/video/7851718f-2530-47e2-bf32-a8b498b3efa9?cid=DTCI-Synergy-DDN-Site-Acquisition-StarWars-US-StarWars-StarWarsTheCloneWars-EN-BlogArticleEmbed-TCWChronological_StreamOnDisneyPlusCTA-NA, friendlyName=Watch</x:v>
      </x:c>
      <x:c r="K26" s="22" t="e">
        <x:f>HYPERLINK("https://www.starwars.com/tv-shows/clone-wars/clone-cadets-episode-guide","Season 3, Episode 1 · Episode guide")</x:f>
        <x:v>HYPERLINK is not implemented. linkLocation=https://www.starwars.com/tv-shows/clone-wars/clone-cadets-episode-guide, friendlyName=Season 3, Episode 1 · Episode guide</x:v>
      </x:c>
    </x:row>
    <x:row r="27" s="23" customFormat="1" ht="36" customHeight="1">
      <x:c r="A27" s="28" t="b">
        <x:v>0</x:v>
      </x:c>
      <x:c r="B27" s="21" t="n">
        <x:v>21</x:v>
      </x:c>
      <x:c r="C27" s="14" t="inlineStr">
        <x:is>
          <x:t xml:space="preserve">Fall of the Jedi</x:t>
        </x:is>
      </x:c>
      <x:c r="D27" s="15" t="inlineStr">
        <x:is>
          <x:t xml:space="preserve">The Clone Wars: Supply Lines</x:t>
        </x:is>
      </x:c>
      <x:c r="E27" s="16" t="inlineStr">
        <x:is>
          <x:t xml:space="preserve">Season 3, Episode 3</x:t>
        </x:is>
      </x:c>
      <x:c r="F27" s="15" t="inlineStr">
        <x:is>
          <x:t xml:space="preserve">Series aired October 3, 2008–May 4, 2020</x:t>
        </x:is>
      </x:c>
      <x:c r="G27" s="15" t="inlineStr">
        <x:is>
          <x:t xml:space="preserve">Canon</x:t>
        </x:is>
      </x:c>
      <x:c r="H27" s="15" t="inlineStr">
        <x:is>
          <x:t xml:space="preserve">Episode</x:t>
        </x:is>
      </x:c>
      <x:c r="I27" s="15" t="inlineStr">
        <x:is>
          <x:t xml:space="preserve">Disney+</x:t>
        </x:is>
      </x:c>
      <x:c r="J27" s="18" t="e">
        <x:f>HYPERLINK("https://www.disneyplus.com/video/9d78f2ca-bcf7-413c-a0ab-f6afe9edf677?cid=DTCI-Synergy-DDN-Site-Acquisition-StarWars-US-StarWars-StarWarsTheCloneWars-EN-BlogArticleEmbed-TCWChronological_StreamOnDisneyPlusCTA-NA","Watch")</x:f>
        <x:v>HYPERLINK is not implemented. linkLocation=https://www.disneyplus.com/video/9d78f2ca-bcf7-413c-a0ab-f6afe9edf677?cid=DTCI-Synergy-DDN-Site-Acquisition-StarWars-US-StarWars-StarWarsTheCloneWars-EN-BlogArticleEmbed-TCWChronological_StreamOnDisneyPlusCTA-NA, friendlyName=Watch</x:v>
      </x:c>
      <x:c r="K27" s="22" t="e">
        <x:f>HYPERLINK("https://www.starwars.com/tv-shows/clone-wars/supply-lines-episode-guide","Season 3, Episode 3 · Episode guide")</x:f>
        <x:v>HYPERLINK is not implemented. linkLocation=https://www.starwars.com/tv-shows/clone-wars/supply-lines-episode-guide, friendlyName=Season 3, Episode 3 · Episode guide</x:v>
      </x:c>
    </x:row>
    <x:row r="28" s="23" customFormat="1" ht="36" customHeight="1">
      <x:c r="A28" s="28" t="b">
        <x:v>0</x:v>
      </x:c>
      <x:c r="B28" s="21" t="n">
        <x:v>22</x:v>
      </x:c>
      <x:c r="C28" s="14" t="inlineStr">
        <x:is>
          <x:t xml:space="preserve">Fall of the Jedi</x:t>
        </x:is>
      </x:c>
      <x:c r="D28" s="15" t="inlineStr">
        <x:is>
          <x:t xml:space="preserve">The Clone Wars: Ambush</x:t>
        </x:is>
      </x:c>
      <x:c r="E28" s="16" t="inlineStr">
        <x:is>
          <x:t xml:space="preserve">Season 1, Episode 1</x:t>
        </x:is>
      </x:c>
      <x:c r="F28" s="15" t="inlineStr">
        <x:is>
          <x:t xml:space="preserve">Series aired October 3, 2008–May 4, 2020</x:t>
        </x:is>
      </x:c>
      <x:c r="G28" s="15" t="inlineStr">
        <x:is>
          <x:t xml:space="preserve">Canon</x:t>
        </x:is>
      </x:c>
      <x:c r="H28" s="15" t="inlineStr">
        <x:is>
          <x:t xml:space="preserve">Episode</x:t>
        </x:is>
      </x:c>
      <x:c r="I28" s="15" t="inlineStr">
        <x:is>
          <x:t xml:space="preserve">Disney+</x:t>
        </x:is>
      </x:c>
      <x:c r="J28" s="18" t="e">
        <x:f>HYPERLINK("https://www.disneyplus.com/video/0bf87f10-d9a1-44ca-8371-f38543eb3706?cid=DTCI-Synergy-DDN-Site-Acquisition-StarWars-US-StarWars-StarWarsTheCloneWars-EN-BlogArticleEmbed-TCWChronological_StreamOnDisneyPlusCTA-NA","Watch")</x:f>
        <x:v>HYPERLINK is not implemented. linkLocation=https://www.disneyplus.com/video/0bf87f10-d9a1-44ca-8371-f38543eb3706?cid=DTCI-Synergy-DDN-Site-Acquisition-StarWars-US-StarWars-StarWarsTheCloneWars-EN-BlogArticleEmbed-TCWChronological_StreamOnDisneyPlusCTA-NA, friendlyName=Watch</x:v>
      </x:c>
      <x:c r="K28" s="22" t="e">
        <x:f>HYPERLINK("https://www.starwars.com/tv-shows/clone-wars/ambush-episode-guide","Season 1, Episode 1 · Episode guide")</x:f>
        <x:v>HYPERLINK is not implemented. linkLocation=https://www.starwars.com/tv-shows/clone-wars/ambush-episode-guide, friendlyName=Season 1, Episode 1 · Episode guide</x:v>
      </x:c>
    </x:row>
    <x:row r="29" s="23" customFormat="1" ht="36" customHeight="1">
      <x:c r="A29" s="28" t="b">
        <x:v>0</x:v>
      </x:c>
      <x:c r="B29" s="21" t="n">
        <x:v>23</x:v>
      </x:c>
      <x:c r="C29" s="14" t="inlineStr">
        <x:is>
          <x:t xml:space="preserve">Fall of the Jedi</x:t>
        </x:is>
      </x:c>
      <x:c r="D29" s="15" t="inlineStr">
        <x:is>
          <x:t xml:space="preserve">The Clone Wars: Rising Malevolence</x:t>
        </x:is>
      </x:c>
      <x:c r="E29" s="16" t="inlineStr">
        <x:is>
          <x:t xml:space="preserve">Season 1, Episode 2</x:t>
        </x:is>
      </x:c>
      <x:c r="F29" s="15" t="inlineStr">
        <x:is>
          <x:t xml:space="preserve">Series aired October 3, 2008–May 4, 2020</x:t>
        </x:is>
      </x:c>
      <x:c r="G29" s="15" t="inlineStr">
        <x:is>
          <x:t xml:space="preserve">Canon</x:t>
        </x:is>
      </x:c>
      <x:c r="H29" s="15" t="inlineStr">
        <x:is>
          <x:t xml:space="preserve">Episode</x:t>
        </x:is>
      </x:c>
      <x:c r="I29" s="15" t="inlineStr">
        <x:is>
          <x:t xml:space="preserve">Disney+</x:t>
        </x:is>
      </x:c>
      <x:c r="J29" s="18" t="e">
        <x:f>HYPERLINK("https://www.disneyplus.com/video/5bb0c4dc-91f1-434b-974f-1716511ecd4e?cid=DTCI-Synergy-DDN-Site-Acquisition-StarWars-US-StarWars-StarWarsTheCloneWars-EN-BlogArticleEmbed-TCWChronological_StreamOnDisneyPlusCTA-NA","Watch")</x:f>
        <x:v>HYPERLINK is not implemented. linkLocation=https://www.disneyplus.com/video/5bb0c4dc-91f1-434b-974f-1716511ecd4e?cid=DTCI-Synergy-DDN-Site-Acquisition-StarWars-US-StarWars-StarWarsTheCloneWars-EN-BlogArticleEmbed-TCWChronological_StreamOnDisneyPlusCTA-NA, friendlyName=Watch</x:v>
      </x:c>
      <x:c r="K29" s="22" t="e">
        <x:f>HYPERLINK("https://www.starwars.com/tv-shows/clone-wars/rising-malevolence-episode-guide","Season 1, Episode 2 · Episode guide")</x:f>
        <x:v>HYPERLINK is not implemented. linkLocation=https://www.starwars.com/tv-shows/clone-wars/rising-malevolence-episode-guide, friendlyName=Season 1, Episode 2 · Episode guide</x:v>
      </x:c>
    </x:row>
    <x:row r="30" s="23" customFormat="1" ht="36" customHeight="1">
      <x:c r="A30" s="28" t="b">
        <x:v>0</x:v>
      </x:c>
      <x:c r="B30" s="21" t="n">
        <x:v>24</x:v>
      </x:c>
      <x:c r="C30" s="14" t="inlineStr">
        <x:is>
          <x:t xml:space="preserve">Fall of the Jedi</x:t>
        </x:is>
      </x:c>
      <x:c r="D30" s="15" t="inlineStr">
        <x:is>
          <x:t xml:space="preserve">The Clone Wars: Shadow of Malevolence</x:t>
        </x:is>
      </x:c>
      <x:c r="E30" s="16" t="inlineStr">
        <x:is>
          <x:t xml:space="preserve">Season 1, Episode 3</x:t>
        </x:is>
      </x:c>
      <x:c r="F30" s="15" t="inlineStr">
        <x:is>
          <x:t xml:space="preserve">Series aired October 3, 2008–May 4, 2020</x:t>
        </x:is>
      </x:c>
      <x:c r="G30" s="15" t="inlineStr">
        <x:is>
          <x:t xml:space="preserve">Canon</x:t>
        </x:is>
      </x:c>
      <x:c r="H30" s="15" t="inlineStr">
        <x:is>
          <x:t xml:space="preserve">Episode</x:t>
        </x:is>
      </x:c>
      <x:c r="I30" s="15" t="inlineStr">
        <x:is>
          <x:t xml:space="preserve">Disney+</x:t>
        </x:is>
      </x:c>
      <x:c r="J30" s="18" t="e">
        <x:f>HYPERLINK("https://www.disneyplus.com/video/96e47d91-f975-4302-8bb0-73dfe9ad0a37?cid=DTCI-Synergy-DDN-Site-Acquisition-StarWars-US-StarWars-StarWarsTheCloneWars-EN-BlogArticleEmbed-TCWChronological_StreamOnDisneyPlusCTA-NA","Watch")</x:f>
        <x:v>HYPERLINK is not implemented. linkLocation=https://www.disneyplus.com/video/96e47d91-f975-4302-8bb0-73dfe9ad0a37?cid=DTCI-Synergy-DDN-Site-Acquisition-StarWars-US-StarWars-StarWarsTheCloneWars-EN-BlogArticleEmbed-TCWChronological_StreamOnDisneyPlusCTA-NA, friendlyName=Watch</x:v>
      </x:c>
      <x:c r="K30" s="22" t="e">
        <x:f>HYPERLINK("https://www.starwars.com/tv-shows/clone-wars/shadow-of-malevolence-episode-guide","Season 1, Episode 3 · Episode guide")</x:f>
        <x:v>HYPERLINK is not implemented. linkLocation=https://www.starwars.com/tv-shows/clone-wars/shadow-of-malevolence-episode-guide, friendlyName=Season 1, Episode 3 · Episode guide</x:v>
      </x:c>
    </x:row>
    <x:row r="31" s="23" customFormat="1" ht="36" customHeight="1">
      <x:c r="A31" s="28" t="b">
        <x:v>0</x:v>
      </x:c>
      <x:c r="B31" s="21" t="n">
        <x:v>25</x:v>
      </x:c>
      <x:c r="C31" s="14" t="inlineStr">
        <x:is>
          <x:t xml:space="preserve">Fall of the Jedi</x:t>
        </x:is>
      </x:c>
      <x:c r="D31" s="15" t="inlineStr">
        <x:is>
          <x:t xml:space="preserve">The Clone Wars: Destroy Malevolence</x:t>
        </x:is>
      </x:c>
      <x:c r="E31" s="16" t="inlineStr">
        <x:is>
          <x:t xml:space="preserve">Season 1, Episode 4</x:t>
        </x:is>
      </x:c>
      <x:c r="F31" s="15" t="inlineStr">
        <x:is>
          <x:t xml:space="preserve">Series aired October 3, 2008–May 4, 2020</x:t>
        </x:is>
      </x:c>
      <x:c r="G31" s="15" t="inlineStr">
        <x:is>
          <x:t xml:space="preserve">Canon</x:t>
        </x:is>
      </x:c>
      <x:c r="H31" s="15" t="inlineStr">
        <x:is>
          <x:t xml:space="preserve">Episode</x:t>
        </x:is>
      </x:c>
      <x:c r="I31" s="15" t="inlineStr">
        <x:is>
          <x:t xml:space="preserve">Disney+</x:t>
        </x:is>
      </x:c>
      <x:c r="J31" s="18" t="e">
        <x:f>HYPERLINK("https://www.disneyplus.com/video/7097d305-bca4-40e9-9cf0-cc84d89583a6?cid=DTCI-Synergy-DDN-Site-Acquisition-StarWars-US-StarWars-StarWarsTheCloneWars-EN-BlogArticleEmbed-TCWChronological_StreamOnDisneyPlusCTA-NA","Watch")</x:f>
        <x:v>HYPERLINK is not implemented. linkLocation=https://www.disneyplus.com/video/7097d305-bca4-40e9-9cf0-cc84d89583a6?cid=DTCI-Synergy-DDN-Site-Acquisition-StarWars-US-StarWars-StarWarsTheCloneWars-EN-BlogArticleEmbed-TCWChronological_StreamOnDisneyPlusCTA-NA, friendlyName=Watch</x:v>
      </x:c>
      <x:c r="K31" s="22" t="e">
        <x:f>HYPERLINK("https://www.starwars.com/tv-shows/clone-wars/destroy-malevolence-episode-guide","Season 1, Episode 4 · Episode guide")</x:f>
        <x:v>HYPERLINK is not implemented. linkLocation=https://www.starwars.com/tv-shows/clone-wars/destroy-malevolence-episode-guide, friendlyName=Season 1, Episode 4 · Episode guide</x:v>
      </x:c>
    </x:row>
    <x:row r="32" s="23" customFormat="1" ht="36" customHeight="1">
      <x:c r="A32" s="28" t="b">
        <x:v>0</x:v>
      </x:c>
      <x:c r="B32" s="21" t="n">
        <x:v>26</x:v>
      </x:c>
      <x:c r="C32" s="14" t="inlineStr">
        <x:is>
          <x:t xml:space="preserve">Fall of the Jedi</x:t>
        </x:is>
      </x:c>
      <x:c r="D32" s="15" t="inlineStr">
        <x:is>
          <x:t xml:space="preserve">The Clone Wars: Rookies</x:t>
        </x:is>
      </x:c>
      <x:c r="E32" s="16" t="inlineStr">
        <x:is>
          <x:t xml:space="preserve">Season 1, Episode 5</x:t>
        </x:is>
      </x:c>
      <x:c r="F32" s="15" t="inlineStr">
        <x:is>
          <x:t xml:space="preserve">Series aired October 3, 2008–May 4, 2020</x:t>
        </x:is>
      </x:c>
      <x:c r="G32" s="15" t="inlineStr">
        <x:is>
          <x:t xml:space="preserve">Canon</x:t>
        </x:is>
      </x:c>
      <x:c r="H32" s="15" t="inlineStr">
        <x:is>
          <x:t xml:space="preserve">Episode</x:t>
        </x:is>
      </x:c>
      <x:c r="I32" s="15" t="inlineStr">
        <x:is>
          <x:t xml:space="preserve">Disney+</x:t>
        </x:is>
      </x:c>
      <x:c r="J32" s="18" t="e">
        <x:f>HYPERLINK("https://www.disneyplus.com/video/598d1e7b-f39e-4527-9487-b5e891f5eefa?cid=DTCI-Synergy-DDN-Site-Acquisition-StarWars-US-StarWars-StarWarsTheCloneWars-EN-BlogArticleEmbed-TCWChronological_StreamOnDisneyPlusCTA-NA","Watch")</x:f>
        <x:v>HYPERLINK is not implemented. linkLocation=https://www.disneyplus.com/video/598d1e7b-f39e-4527-9487-b5e891f5eefa?cid=DTCI-Synergy-DDN-Site-Acquisition-StarWars-US-StarWars-StarWarsTheCloneWars-EN-BlogArticleEmbed-TCWChronological_StreamOnDisneyPlusCTA-NA, friendlyName=Watch</x:v>
      </x:c>
      <x:c r="K32" s="22" t="e">
        <x:f>HYPERLINK("https://www.starwars.com/tv-shows/clone-wars/rookies-episode-guide","Season 1, Episode 5 · Episode guide")</x:f>
        <x:v>HYPERLINK is not implemented. linkLocation=https://www.starwars.com/tv-shows/clone-wars/rookies-episode-guide, friendlyName=Season 1, Episode 5 · Episode guide</x:v>
      </x:c>
    </x:row>
    <x:row r="33" s="23" customFormat="1" ht="36" customHeight="1">
      <x:c r="A33" s="28" t="b">
        <x:v>0</x:v>
      </x:c>
      <x:c r="B33" s="21" t="n">
        <x:v>27</x:v>
      </x:c>
      <x:c r="C33" s="14" t="inlineStr">
        <x:is>
          <x:t xml:space="preserve">Fall of the Jedi</x:t>
        </x:is>
      </x:c>
      <x:c r="D33" s="15" t="inlineStr">
        <x:is>
          <x:t xml:space="preserve">The Clone Wars: Downfall of a Droid</x:t>
        </x:is>
      </x:c>
      <x:c r="E33" s="16" t="inlineStr">
        <x:is>
          <x:t xml:space="preserve">Season 1, Episode 6</x:t>
        </x:is>
      </x:c>
      <x:c r="F33" s="15" t="inlineStr">
        <x:is>
          <x:t xml:space="preserve">Series aired October 3, 2008–May 4, 2020</x:t>
        </x:is>
      </x:c>
      <x:c r="G33" s="15" t="inlineStr">
        <x:is>
          <x:t xml:space="preserve">Canon</x:t>
        </x:is>
      </x:c>
      <x:c r="H33" s="15" t="inlineStr">
        <x:is>
          <x:t xml:space="preserve">Episode</x:t>
        </x:is>
      </x:c>
      <x:c r="I33" s="15" t="inlineStr">
        <x:is>
          <x:t xml:space="preserve">Disney+</x:t>
        </x:is>
      </x:c>
      <x:c r="J33" s="18" t="e">
        <x:f>HYPERLINK("https://www.disneyplus.com/video/41059c6d-bb4c-4185-91f4-7b5eb3f15849?cid=DTCI-Synergy-DDN-Site-Acquisition-StarWars-US-StarWars-StarWarsTheCloneWars-EN-BlogArticleEmbed-TCWChronological_StreamOnDisneyPlusCTA-NA","Watch")</x:f>
        <x:v>HYPERLINK is not implemented. linkLocation=https://www.disneyplus.com/video/41059c6d-bb4c-4185-91f4-7b5eb3f15849?cid=DTCI-Synergy-DDN-Site-Acquisition-StarWars-US-StarWars-StarWarsTheCloneWars-EN-BlogArticleEmbed-TCWChronological_StreamOnDisneyPlusCTA-NA, friendlyName=Watch</x:v>
      </x:c>
      <x:c r="K33" s="22" t="e">
        <x:f>HYPERLINK("https://www.starwars.com/tv-shows/clone-wars/downfall-of-a-droid-episode-guide","Season 1, Episode 6 · Episode guide")</x:f>
        <x:v>HYPERLINK is not implemented. linkLocation=https://www.starwars.com/tv-shows/clone-wars/downfall-of-a-droid-episode-guide, friendlyName=Season 1, Episode 6 · Episode guide</x:v>
      </x:c>
    </x:row>
    <x:row r="34" s="23" customFormat="1" ht="36" customHeight="1">
      <x:c r="A34" s="28" t="b">
        <x:v>0</x:v>
      </x:c>
      <x:c r="B34" s="21" t="n">
        <x:v>28</x:v>
      </x:c>
      <x:c r="C34" s="14" t="inlineStr">
        <x:is>
          <x:t xml:space="preserve">Fall of the Jedi</x:t>
        </x:is>
      </x:c>
      <x:c r="D34" s="15" t="inlineStr">
        <x:is>
          <x:t xml:space="preserve">The Clone Wars: Duel of the Droids</x:t>
        </x:is>
      </x:c>
      <x:c r="E34" s="16" t="inlineStr">
        <x:is>
          <x:t xml:space="preserve">Season 1, Episode 7</x:t>
        </x:is>
      </x:c>
      <x:c r="F34" s="15" t="inlineStr">
        <x:is>
          <x:t xml:space="preserve">Series aired October 3, 2008–May 4, 2020</x:t>
        </x:is>
      </x:c>
      <x:c r="G34" s="15" t="inlineStr">
        <x:is>
          <x:t xml:space="preserve">Canon</x:t>
        </x:is>
      </x:c>
      <x:c r="H34" s="15" t="inlineStr">
        <x:is>
          <x:t xml:space="preserve">Episode</x:t>
        </x:is>
      </x:c>
      <x:c r="I34" s="15" t="inlineStr">
        <x:is>
          <x:t xml:space="preserve">Disney+</x:t>
        </x:is>
      </x:c>
      <x:c r="J34" s="18" t="e">
        <x:f>HYPERLINK("https://www.disneyplus.com/video/6dfef4c5-f797-4ff3-95ca-2f6e6f865f82?cid=DTCI-Synergy-DDN-Site-Acquisition-StarWars-US-StarWars-StarWarsTheCloneWars-EN-BlogArticleEmbed-TCWChronological_StreamOnDisneyPlusCTA-NA","Watch")</x:f>
        <x:v>HYPERLINK is not implemented. linkLocation=https://www.disneyplus.com/video/6dfef4c5-f797-4ff3-95ca-2f6e6f865f82?cid=DTCI-Synergy-DDN-Site-Acquisition-StarWars-US-StarWars-StarWarsTheCloneWars-EN-BlogArticleEmbed-TCWChronological_StreamOnDisneyPlusCTA-NA, friendlyName=Watch</x:v>
      </x:c>
      <x:c r="K34" s="22" t="e">
        <x:f>HYPERLINK("https://www.starwars.com/tv-shows/clone-wars/duel-of-the-droids-episode-guide","Season 1, Episode 7 · Episode guide")</x:f>
        <x:v>HYPERLINK is not implemented. linkLocation=https://www.starwars.com/tv-shows/clone-wars/duel-of-the-droids-episode-guide, friendlyName=Season 1, Episode 7 · Episode guide</x:v>
      </x:c>
    </x:row>
    <x:row r="35" s="23" customFormat="1" ht="36" customHeight="1">
      <x:c r="A35" s="28" t="b">
        <x:v>0</x:v>
      </x:c>
      <x:c r="B35" s="21" t="n">
        <x:v>29</x:v>
      </x:c>
      <x:c r="C35" s="14" t="inlineStr">
        <x:is>
          <x:t xml:space="preserve">Fall of the Jedi</x:t>
        </x:is>
      </x:c>
      <x:c r="D35" s="15" t="inlineStr">
        <x:is>
          <x:t xml:space="preserve">The Clone Wars: Bombad Jedi</x:t>
        </x:is>
      </x:c>
      <x:c r="E35" s="16" t="inlineStr">
        <x:is>
          <x:t xml:space="preserve">Season 1, Episode 8</x:t>
        </x:is>
      </x:c>
      <x:c r="F35" s="15" t="inlineStr">
        <x:is>
          <x:t xml:space="preserve">Series aired October 3, 2008–May 4, 2020</x:t>
        </x:is>
      </x:c>
      <x:c r="G35" s="15" t="inlineStr">
        <x:is>
          <x:t xml:space="preserve">Canon</x:t>
        </x:is>
      </x:c>
      <x:c r="H35" s="15" t="inlineStr">
        <x:is>
          <x:t xml:space="preserve">Episode</x:t>
        </x:is>
      </x:c>
      <x:c r="I35" s="15" t="inlineStr">
        <x:is>
          <x:t xml:space="preserve">Disney+</x:t>
        </x:is>
      </x:c>
      <x:c r="J35" s="18" t="e">
        <x:f>HYPERLINK("https://www.disneyplus.com/video/c0491eed-234e-461d-9e98-82dd297e1f6f?cid=DTCI-Synergy-DDN-Site-Acquisition-StarWars-US-StarWars-StarWarsTheCloneWars-EN-BlogArticleEmbed-TCWChronological_StreamOnDisneyPlusCTA-NA","Watch")</x:f>
        <x:v>HYPERLINK is not implemented. linkLocation=https://www.disneyplus.com/video/c0491eed-234e-461d-9e98-82dd297e1f6f?cid=DTCI-Synergy-DDN-Site-Acquisition-StarWars-US-StarWars-StarWarsTheCloneWars-EN-BlogArticleEmbed-TCWChronological_StreamOnDisneyPlusCTA-NA, friendlyName=Watch</x:v>
      </x:c>
      <x:c r="K35" s="22" t="e">
        <x:f>HYPERLINK("https://www.starwars.com/tv-shows/clone-wars/bombad-jedi-episode-guide","Season 1, Episode 8 · Episode guide")</x:f>
        <x:v>HYPERLINK is not implemented. linkLocation=https://www.starwars.com/tv-shows/clone-wars/bombad-jedi-episode-guide, friendlyName=Season 1, Episode 8 · Episode guide</x:v>
      </x:c>
    </x:row>
    <x:row r="36" s="23" customFormat="1" ht="36" customHeight="1">
      <x:c r="A36" s="28" t="b">
        <x:v>0</x:v>
      </x:c>
      <x:c r="B36" s="21" t="n">
        <x:v>30</x:v>
      </x:c>
      <x:c r="C36" s="14" t="inlineStr">
        <x:is>
          <x:t xml:space="preserve">Fall of the Jedi</x:t>
        </x:is>
      </x:c>
      <x:c r="D36" s="15" t="inlineStr">
        <x:is>
          <x:t xml:space="preserve">The Clone Wars: Cloak of Darkness</x:t>
        </x:is>
      </x:c>
      <x:c r="E36" s="16" t="inlineStr">
        <x:is>
          <x:t xml:space="preserve">Season 1, Episode 9</x:t>
        </x:is>
      </x:c>
      <x:c r="F36" s="15" t="inlineStr">
        <x:is>
          <x:t xml:space="preserve">Series aired October 3, 2008–May 4, 2020</x:t>
        </x:is>
      </x:c>
      <x:c r="G36" s="15" t="inlineStr">
        <x:is>
          <x:t xml:space="preserve">Canon</x:t>
        </x:is>
      </x:c>
      <x:c r="H36" s="15" t="inlineStr">
        <x:is>
          <x:t xml:space="preserve">Episode</x:t>
        </x:is>
      </x:c>
      <x:c r="I36" s="15" t="inlineStr">
        <x:is>
          <x:t xml:space="preserve">Disney+</x:t>
        </x:is>
      </x:c>
      <x:c r="J36" s="18" t="e">
        <x:f>HYPERLINK("https://www.disneyplus.com/video/96574cf0-9dd5-48f4-9625-545a13cff7db?cid=DTCI-Synergy-DDN-Site-Acquisition-StarWars-US-StarWars-StarWarsTheCloneWars-EN-BlogArticleEmbed-TCWChronological_StreamOnDisneyPlusCTA-NA","Watch")</x:f>
        <x:v>HYPERLINK is not implemented. linkLocation=https://www.disneyplus.com/video/96574cf0-9dd5-48f4-9625-545a13cff7db?cid=DTCI-Synergy-DDN-Site-Acquisition-StarWars-US-StarWars-StarWarsTheCloneWars-EN-BlogArticleEmbed-TCWChronological_StreamOnDisneyPlusCTA-NA, friendlyName=Watch</x:v>
      </x:c>
      <x:c r="K36" s="22" t="e">
        <x:f>HYPERLINK("https://www.starwars.com/tv-shows/clone-wars/cloak-of-darkness-episode-guide","Season 1, Episode 9 · Episode guide")</x:f>
        <x:v>HYPERLINK is not implemented. linkLocation=https://www.starwars.com/tv-shows/clone-wars/cloak-of-darkness-episode-guide, friendlyName=Season 1, Episode 9 · Episode guide</x:v>
      </x:c>
    </x:row>
    <x:row r="37" s="23" customFormat="1" ht="36" customHeight="1">
      <x:c r="A37" s="28" t="b">
        <x:v>0</x:v>
      </x:c>
      <x:c r="B37" s="21" t="n">
        <x:v>31</x:v>
      </x:c>
      <x:c r="C37" s="14" t="inlineStr">
        <x:is>
          <x:t xml:space="preserve">Fall of the Jedi</x:t>
        </x:is>
      </x:c>
      <x:c r="D37" s="15" t="inlineStr">
        <x:is>
          <x:t xml:space="preserve">The Clone Wars: Lair of Grievous</x:t>
        </x:is>
      </x:c>
      <x:c r="E37" s="16" t="inlineStr">
        <x:is>
          <x:t xml:space="preserve">Season 1, Episode 10</x:t>
        </x:is>
      </x:c>
      <x:c r="F37" s="15" t="inlineStr">
        <x:is>
          <x:t xml:space="preserve">Series aired October 3, 2008–May 4, 2020</x:t>
        </x:is>
      </x:c>
      <x:c r="G37" s="15" t="inlineStr">
        <x:is>
          <x:t xml:space="preserve">Canon</x:t>
        </x:is>
      </x:c>
      <x:c r="H37" s="15" t="inlineStr">
        <x:is>
          <x:t xml:space="preserve">Episode</x:t>
        </x:is>
      </x:c>
      <x:c r="I37" s="15" t="inlineStr">
        <x:is>
          <x:t xml:space="preserve">Disney+</x:t>
        </x:is>
      </x:c>
      <x:c r="J37" s="18" t="e">
        <x:f>HYPERLINK("https://www.disneyplus.com/video/3755d2fb-2904-47a2-9315-fd4969401c30?cid=DTCI-Synergy-DDN-Site-Acquisition-StarWars-US-StarWars-StarWarsTheCloneWars-EN-BlogArticleEmbed-TCWChronological_StreamOnDisneyPlusCTA-NA","Watch")</x:f>
        <x:v>HYPERLINK is not implemented. linkLocation=https://www.disneyplus.com/video/3755d2fb-2904-47a2-9315-fd4969401c30?cid=DTCI-Synergy-DDN-Site-Acquisition-StarWars-US-StarWars-StarWarsTheCloneWars-EN-BlogArticleEmbed-TCWChronological_StreamOnDisneyPlusCTA-NA, friendlyName=Watch</x:v>
      </x:c>
      <x:c r="K37" s="22" t="e">
        <x:f>HYPERLINK("https://www.starwars.com/tv-shows/clone-wars/lair-of-grievous-episode-guide","Season 1, Episode 10 · Episode guide")</x:f>
        <x:v>HYPERLINK is not implemented. linkLocation=https://www.starwars.com/tv-shows/clone-wars/lair-of-grievous-episode-guide, friendlyName=Season 1, Episode 10 · Episode guide</x:v>
      </x:c>
    </x:row>
    <x:row r="38" s="23" customFormat="1" ht="36" customHeight="1">
      <x:c r="A38" s="28" t="b">
        <x:v>0</x:v>
      </x:c>
      <x:c r="B38" s="21" t="n">
        <x:v>32</x:v>
      </x:c>
      <x:c r="C38" s="14" t="inlineStr">
        <x:is>
          <x:t xml:space="preserve">Fall of the Jedi</x:t>
        </x:is>
      </x:c>
      <x:c r="D38" s="15" t="inlineStr">
        <x:is>
          <x:t xml:space="preserve">The Clone Wars: Dooku Captured</x:t>
        </x:is>
      </x:c>
      <x:c r="E38" s="16" t="inlineStr">
        <x:is>
          <x:t xml:space="preserve">Season 1, Episode 11</x:t>
        </x:is>
      </x:c>
      <x:c r="F38" s="15" t="inlineStr">
        <x:is>
          <x:t xml:space="preserve">Series aired October 3, 2008–May 4, 2020</x:t>
        </x:is>
      </x:c>
      <x:c r="G38" s="15" t="inlineStr">
        <x:is>
          <x:t xml:space="preserve">Canon</x:t>
        </x:is>
      </x:c>
      <x:c r="H38" s="15" t="inlineStr">
        <x:is>
          <x:t xml:space="preserve">Episode</x:t>
        </x:is>
      </x:c>
      <x:c r="I38" s="15" t="inlineStr">
        <x:is>
          <x:t xml:space="preserve">Disney+</x:t>
        </x:is>
      </x:c>
      <x:c r="J38" s="18" t="e">
        <x:f>HYPERLINK("https://www.disneyplus.com/video/9bc09e32-83d9-4e00-a49e-a0241b4fb243?cid=DTCI-Synergy-DDN-Site-Acquisition-StarWars-US-StarWars-StarWarsTheCloneWars-EN-BlogArticleEmbed-TCWChronological_StreamOnDisneyPlusCTA-NA","Watch")</x:f>
        <x:v>HYPERLINK is not implemented. linkLocation=https://www.disneyplus.com/video/9bc09e32-83d9-4e00-a49e-a0241b4fb243?cid=DTCI-Synergy-DDN-Site-Acquisition-StarWars-US-StarWars-StarWarsTheCloneWars-EN-BlogArticleEmbed-TCWChronological_StreamOnDisneyPlusCTA-NA, friendlyName=Watch</x:v>
      </x:c>
      <x:c r="K38" s="22" t="e">
        <x:f>HYPERLINK("https://www.starwars.com/tv-shows/clone-wars/dooku-captured-episode-guide","Season 1, Episode 11 · Episode guide")</x:f>
        <x:v>HYPERLINK is not implemented. linkLocation=https://www.starwars.com/tv-shows/clone-wars/dooku-captured-episode-guide, friendlyName=Season 1, Episode 11 · Episode guide</x:v>
      </x:c>
    </x:row>
    <x:row r="39" s="23" customFormat="1" ht="36" customHeight="1">
      <x:c r="A39" s="28" t="b">
        <x:v>0</x:v>
      </x:c>
      <x:c r="B39" s="21" t="n">
        <x:v>33</x:v>
      </x:c>
      <x:c r="C39" s="14" t="inlineStr">
        <x:is>
          <x:t xml:space="preserve">Fall of the Jedi</x:t>
        </x:is>
      </x:c>
      <x:c r="D39" s="15" t="inlineStr">
        <x:is>
          <x:t xml:space="preserve">The Clone Wars: The Gungan General</x:t>
        </x:is>
      </x:c>
      <x:c r="E39" s="16" t="inlineStr">
        <x:is>
          <x:t xml:space="preserve">Season 1, Episode 12</x:t>
        </x:is>
      </x:c>
      <x:c r="F39" s="15" t="inlineStr">
        <x:is>
          <x:t xml:space="preserve">Series aired October 3, 2008–May 4, 2020</x:t>
        </x:is>
      </x:c>
      <x:c r="G39" s="15" t="inlineStr">
        <x:is>
          <x:t xml:space="preserve">Canon</x:t>
        </x:is>
      </x:c>
      <x:c r="H39" s="15" t="inlineStr">
        <x:is>
          <x:t xml:space="preserve">Episode</x:t>
        </x:is>
      </x:c>
      <x:c r="I39" s="15" t="inlineStr">
        <x:is>
          <x:t xml:space="preserve">Disney+</x:t>
        </x:is>
      </x:c>
      <x:c r="J39" s="18" t="e">
        <x:f>HYPERLINK("https://www.disneyplus.com/video/c1ac160f-7cc2-444f-a8a6-e1a1aa68d12d?cid=DTCI-Synergy-DDN-Site-Acquisition-StarWars-US-StarWars-StarWarsTheCloneWars-EN-BlogArticleEmbed-TCWChronological_StreamOnDisneyPlusCTA-NA","Watch")</x:f>
        <x:v>HYPERLINK is not implemented. linkLocation=https://www.disneyplus.com/video/c1ac160f-7cc2-444f-a8a6-e1a1aa68d12d?cid=DTCI-Synergy-DDN-Site-Acquisition-StarWars-US-StarWars-StarWarsTheCloneWars-EN-BlogArticleEmbed-TCWChronological_StreamOnDisneyPlusCTA-NA, friendlyName=Watch</x:v>
      </x:c>
      <x:c r="K39" s="22" t="e">
        <x:f>HYPERLINK("https://www.starwars.com/tv-shows/clone-wars/the-gungan-general-episode-guide","Season 1, Episode 12 · Episode guide")</x:f>
        <x:v>HYPERLINK is not implemented. linkLocation=https://www.starwars.com/tv-shows/clone-wars/the-gungan-general-episode-guide, friendlyName=Season 1, Episode 12 · Episode guide</x:v>
      </x:c>
    </x:row>
    <x:row r="40" s="23" customFormat="1" ht="36" customHeight="1">
      <x:c r="A40" s="28" t="b">
        <x:v>0</x:v>
      </x:c>
      <x:c r="B40" s="21" t="n">
        <x:v>34</x:v>
      </x:c>
      <x:c r="C40" s="14" t="inlineStr">
        <x:is>
          <x:t xml:space="preserve">Fall of the Jedi</x:t>
        </x:is>
      </x:c>
      <x:c r="D40" s="15" t="inlineStr">
        <x:is>
          <x:t xml:space="preserve">The Clone Wars: Jedi Crash</x:t>
        </x:is>
      </x:c>
      <x:c r="E40" s="16" t="inlineStr">
        <x:is>
          <x:t xml:space="preserve">Season 1, Episode 13</x:t>
        </x:is>
      </x:c>
      <x:c r="F40" s="15" t="inlineStr">
        <x:is>
          <x:t xml:space="preserve">Series aired October 3, 2008–May 4, 2020</x:t>
        </x:is>
      </x:c>
      <x:c r="G40" s="15" t="inlineStr">
        <x:is>
          <x:t xml:space="preserve">Canon</x:t>
        </x:is>
      </x:c>
      <x:c r="H40" s="15" t="inlineStr">
        <x:is>
          <x:t xml:space="preserve">Episode</x:t>
        </x:is>
      </x:c>
      <x:c r="I40" s="15" t="inlineStr">
        <x:is>
          <x:t xml:space="preserve">Disney+</x:t>
        </x:is>
      </x:c>
      <x:c r="J40" s="18" t="e">
        <x:f>HYPERLINK("https://www.disneyplus.com/video/28c0b907-8efe-4400-af50-c13c66e18468?cid=DTCI-Synergy-DDN-Site-Acquisition-StarWars-US-StarWars-StarWarsTheCloneWars-EN-BlogArticleEmbed-TCWChronological_StreamOnDisneyPlusCTA-NA","Watch")</x:f>
        <x:v>HYPERLINK is not implemented. linkLocation=https://www.disneyplus.com/video/28c0b907-8efe-4400-af50-c13c66e18468?cid=DTCI-Synergy-DDN-Site-Acquisition-StarWars-US-StarWars-StarWarsTheCloneWars-EN-BlogArticleEmbed-TCWChronological_StreamOnDisneyPlusCTA-NA, friendlyName=Watch</x:v>
      </x:c>
      <x:c r="K40" s="22" t="e">
        <x:f>HYPERLINK("https://www.starwars.com/tv-shows/clone-wars/jedi-crash-episode-guide","Season 1, Episode 13 · Episode guide")</x:f>
        <x:v>HYPERLINK is not implemented. linkLocation=https://www.starwars.com/tv-shows/clone-wars/jedi-crash-episode-guide, friendlyName=Season 1, Episode 13 · Episode guide</x:v>
      </x:c>
    </x:row>
    <x:row r="41" s="23" customFormat="1" ht="36" customHeight="1">
      <x:c r="A41" s="28" t="b">
        <x:v>0</x:v>
      </x:c>
      <x:c r="B41" s="21" t="n">
        <x:v>35</x:v>
      </x:c>
      <x:c r="C41" s="14" t="inlineStr">
        <x:is>
          <x:t xml:space="preserve">Fall of the Jedi</x:t>
        </x:is>
      </x:c>
      <x:c r="D41" s="15" t="inlineStr">
        <x:is>
          <x:t xml:space="preserve">The Clone Wars: Defenders of Peace</x:t>
        </x:is>
      </x:c>
      <x:c r="E41" s="16" t="inlineStr">
        <x:is>
          <x:t xml:space="preserve">Season 1, Episode 14</x:t>
        </x:is>
      </x:c>
      <x:c r="F41" s="15" t="inlineStr">
        <x:is>
          <x:t xml:space="preserve">Series aired October 3, 2008–May 4, 2020</x:t>
        </x:is>
      </x:c>
      <x:c r="G41" s="15" t="inlineStr">
        <x:is>
          <x:t xml:space="preserve">Canon</x:t>
        </x:is>
      </x:c>
      <x:c r="H41" s="15" t="inlineStr">
        <x:is>
          <x:t xml:space="preserve">Episode</x:t>
        </x:is>
      </x:c>
      <x:c r="I41" s="15" t="inlineStr">
        <x:is>
          <x:t xml:space="preserve">Disney+</x:t>
        </x:is>
      </x:c>
      <x:c r="J41" s="18" t="e">
        <x:f>HYPERLINK("https://www.disneyplus.com/video/b258d36e-98da-419a-bcc4-58826cd79f95?cid=DTCI-Synergy-DDN-Site-Acquisition-StarWars-US-StarWars-StarWarsTheCloneWars-EN-BlogArticleEmbed-TCWChronological_StreamOnDisneyPlusCTA-NA","Watch")</x:f>
        <x:v>HYPERLINK is not implemented. linkLocation=https://www.disneyplus.com/video/b258d36e-98da-419a-bcc4-58826cd79f95?cid=DTCI-Synergy-DDN-Site-Acquisition-StarWars-US-StarWars-StarWarsTheCloneWars-EN-BlogArticleEmbed-TCWChronological_StreamOnDisneyPlusCTA-NA, friendlyName=Watch</x:v>
      </x:c>
      <x:c r="K41" s="22" t="e">
        <x:f>HYPERLINK("https://www.starwars.com/tv-shows/clone-wars/defenders-of-peace-episode-guide","Season 1, Episode 14 · Episode guide")</x:f>
        <x:v>HYPERLINK is not implemented. linkLocation=https://www.starwars.com/tv-shows/clone-wars/defenders-of-peace-episode-guide, friendlyName=Season 1, Episode 14 · Episode guide</x:v>
      </x:c>
    </x:row>
    <x:row r="42" s="23" customFormat="1" ht="36" customHeight="1">
      <x:c r="A42" s="28" t="b">
        <x:v>0</x:v>
      </x:c>
      <x:c r="B42" s="21" t="n">
        <x:v>36</x:v>
      </x:c>
      <x:c r="C42" s="14" t="inlineStr">
        <x:is>
          <x:t xml:space="preserve">Fall of the Jedi</x:t>
        </x:is>
      </x:c>
      <x:c r="D42" s="15" t="inlineStr">
        <x:is>
          <x:t xml:space="preserve">The Clone Wars: Trespass</x:t>
        </x:is>
      </x:c>
      <x:c r="E42" s="16" t="inlineStr">
        <x:is>
          <x:t xml:space="preserve">Season 1, Episode 15</x:t>
        </x:is>
      </x:c>
      <x:c r="F42" s="15" t="inlineStr">
        <x:is>
          <x:t xml:space="preserve">Series aired October 3, 2008–May 4, 2020</x:t>
        </x:is>
      </x:c>
      <x:c r="G42" s="15" t="inlineStr">
        <x:is>
          <x:t xml:space="preserve">Canon</x:t>
        </x:is>
      </x:c>
      <x:c r="H42" s="15" t="inlineStr">
        <x:is>
          <x:t xml:space="preserve">Episode</x:t>
        </x:is>
      </x:c>
      <x:c r="I42" s="15" t="inlineStr">
        <x:is>
          <x:t xml:space="preserve">Disney+</x:t>
        </x:is>
      </x:c>
      <x:c r="J42" s="18" t="e">
        <x:f>HYPERLINK("https://www.disneyplus.com/video/bf62fc31-f895-4dec-9d96-6635bda89f26?cid=DTCI-Synergy-DDN-Site-Acquisition-StarWars-US-StarWars-StarWarsTheCloneWars-EN-BlogArticleEmbed-TCWChronological_StreamOnDisneyPlusCTA-NA","Watch")</x:f>
        <x:v>HYPERLINK is not implemented. linkLocation=https://www.disneyplus.com/video/bf62fc31-f895-4dec-9d96-6635bda89f26?cid=DTCI-Synergy-DDN-Site-Acquisition-StarWars-US-StarWars-StarWarsTheCloneWars-EN-BlogArticleEmbed-TCWChronological_StreamOnDisneyPlusCTA-NA, friendlyName=Watch</x:v>
      </x:c>
      <x:c r="K42" s="22" t="e">
        <x:f>HYPERLINK("https://www.starwars.com/tv-shows/clone-wars/trespass-episode-guide","Season 1, Episode 15 · Episode guide")</x:f>
        <x:v>HYPERLINK is not implemented. linkLocation=https://www.starwars.com/tv-shows/clone-wars/trespass-episode-guide, friendlyName=Season 1, Episode 15 · Episode guide</x:v>
      </x:c>
    </x:row>
    <x:row r="43" s="23" customFormat="1" ht="36" customHeight="1">
      <x:c r="A43" s="28" t="b">
        <x:v>0</x:v>
      </x:c>
      <x:c r="B43" s="21" t="n">
        <x:v>37</x:v>
      </x:c>
      <x:c r="C43" s="14" t="inlineStr">
        <x:is>
          <x:t xml:space="preserve">Fall of the Jedi</x:t>
        </x:is>
      </x:c>
      <x:c r="D43" s="15" t="inlineStr">
        <x:is>
          <x:t xml:space="preserve">The Clone Wars: Blue Shadow Virus</x:t>
        </x:is>
      </x:c>
      <x:c r="E43" s="16" t="inlineStr">
        <x:is>
          <x:t xml:space="preserve">Season 1, Episode 17</x:t>
        </x:is>
      </x:c>
      <x:c r="F43" s="15" t="inlineStr">
        <x:is>
          <x:t xml:space="preserve">Series aired October 3, 2008–May 4, 2020</x:t>
        </x:is>
      </x:c>
      <x:c r="G43" s="15" t="inlineStr">
        <x:is>
          <x:t xml:space="preserve">Canon</x:t>
        </x:is>
      </x:c>
      <x:c r="H43" s="15" t="inlineStr">
        <x:is>
          <x:t xml:space="preserve">Episode</x:t>
        </x:is>
      </x:c>
      <x:c r="I43" s="15" t="inlineStr">
        <x:is>
          <x:t xml:space="preserve">Disney+</x:t>
        </x:is>
      </x:c>
      <x:c r="J43" s="18" t="e">
        <x:f>HYPERLINK("https://www.disneyplus.com/video/393b2b72-7e23-420d-ae09-f5332cb6b726?cid=DTCI-Synergy-DDN-Site-Acquisition-StarWars-US-StarWars-StarWarsTheCloneWars-EN-BlogArticleEmbed-TCWChronological_StreamOnDisneyPlusCTA-NA","Watch")</x:f>
        <x:v>HYPERLINK is not implemented. linkLocation=https://www.disneyplus.com/video/393b2b72-7e23-420d-ae09-f5332cb6b726?cid=DTCI-Synergy-DDN-Site-Acquisition-StarWars-US-StarWars-StarWarsTheCloneWars-EN-BlogArticleEmbed-TCWChronological_StreamOnDisneyPlusCTA-NA, friendlyName=Watch</x:v>
      </x:c>
      <x:c r="K43" s="22" t="e">
        <x:f>HYPERLINK("https://www.starwars.com/tv-shows/clone-wars/blue-shadow-virus-episode-guide","Season 1, Episode 17 · Episode guide")</x:f>
        <x:v>HYPERLINK is not implemented. linkLocation=https://www.starwars.com/tv-shows/clone-wars/blue-shadow-virus-episode-guide, friendlyName=Season 1, Episode 17 · Episode guide</x:v>
      </x:c>
    </x:row>
    <x:row r="44" s="23" customFormat="1" ht="36" customHeight="1">
      <x:c r="A44" s="28" t="b">
        <x:v>0</x:v>
      </x:c>
      <x:c r="B44" s="21" t="n">
        <x:v>38</x:v>
      </x:c>
      <x:c r="C44" s="14" t="inlineStr">
        <x:is>
          <x:t xml:space="preserve">Fall of the Jedi</x:t>
        </x:is>
      </x:c>
      <x:c r="D44" s="15" t="inlineStr">
        <x:is>
          <x:t xml:space="preserve">The Clone Wars: Mystery of a Thousand Moons</x:t>
        </x:is>
      </x:c>
      <x:c r="E44" s="16" t="inlineStr">
        <x:is>
          <x:t xml:space="preserve">Season 1, Episode 18</x:t>
        </x:is>
      </x:c>
      <x:c r="F44" s="15" t="inlineStr">
        <x:is>
          <x:t xml:space="preserve">Series aired October 3, 2008–May 4, 2020</x:t>
        </x:is>
      </x:c>
      <x:c r="G44" s="15" t="inlineStr">
        <x:is>
          <x:t xml:space="preserve">Canon</x:t>
        </x:is>
      </x:c>
      <x:c r="H44" s="15" t="inlineStr">
        <x:is>
          <x:t xml:space="preserve">Episode</x:t>
        </x:is>
      </x:c>
      <x:c r="I44" s="15" t="inlineStr">
        <x:is>
          <x:t xml:space="preserve">Disney+</x:t>
        </x:is>
      </x:c>
      <x:c r="J44" s="18" t="e">
        <x:f>HYPERLINK("https://www.disneyplus.com/video/f6fe3f35-5e5e-440b-97d6-425ea1a1820d?cid=DTCI-Synergy-DDN-Site-Acquisition-StarWars-US-StarWars-StarWarsTheCloneWars-EN-BlogArticleEmbed-TCWChronological_StreamOnDisneyPlusCTA-NA","Watch")</x:f>
        <x:v>HYPERLINK is not implemented. linkLocation=https://www.disneyplus.com/video/f6fe3f35-5e5e-440b-97d6-425ea1a1820d?cid=DTCI-Synergy-DDN-Site-Acquisition-StarWars-US-StarWars-StarWarsTheCloneWars-EN-BlogArticleEmbed-TCWChronological_StreamOnDisneyPlusCTA-NA, friendlyName=Watch</x:v>
      </x:c>
      <x:c r="K44" s="22" t="e">
        <x:f>HYPERLINK("https://www.starwars.com/tv-shows/clone-wars/mystery-of-a-thousand-moons-episode-guide","Season 1, Episode 18 · Episode guide")</x:f>
        <x:v>HYPERLINK is not implemented. linkLocation=https://www.starwars.com/tv-shows/clone-wars/mystery-of-a-thousand-moons-episode-guide, friendlyName=Season 1, Episode 18 · Episode guide</x:v>
      </x:c>
    </x:row>
    <x:row r="45" s="23" customFormat="1" ht="36" customHeight="1">
      <x:c r="A45" s="28" t="b">
        <x:v>0</x:v>
      </x:c>
      <x:c r="B45" s="21" t="n">
        <x:v>39</x:v>
      </x:c>
      <x:c r="C45" s="14" t="inlineStr">
        <x:is>
          <x:t xml:space="preserve">Fall of the Jedi</x:t>
        </x:is>
      </x:c>
      <x:c r="D45" s="15" t="inlineStr">
        <x:is>
          <x:t xml:space="preserve">The Clone Wars: Storm over Ryloth</x:t>
        </x:is>
      </x:c>
      <x:c r="E45" s="16" t="inlineStr">
        <x:is>
          <x:t xml:space="preserve">Season 1, Episode 19</x:t>
        </x:is>
      </x:c>
      <x:c r="F45" s="15" t="inlineStr">
        <x:is>
          <x:t xml:space="preserve">Series aired October 3, 2008–May 4, 2020</x:t>
        </x:is>
      </x:c>
      <x:c r="G45" s="15" t="inlineStr">
        <x:is>
          <x:t xml:space="preserve">Canon</x:t>
        </x:is>
      </x:c>
      <x:c r="H45" s="15" t="inlineStr">
        <x:is>
          <x:t xml:space="preserve">Episode</x:t>
        </x:is>
      </x:c>
      <x:c r="I45" s="15" t="inlineStr">
        <x:is>
          <x:t xml:space="preserve">Disney+</x:t>
        </x:is>
      </x:c>
      <x:c r="J45" s="18" t="e">
        <x:f>HYPERLINK("https://www.disneyplus.com/video/76710ca6-5a5f-4fbd-8bc3-2a62beba88cf?cid=DTCI-Synergy-DDN-Site-Acquisition-StarWars-US-StarWars-StarWarsTheCloneWars-EN-BlogArticleEmbed-TCWChronological_StreamOnDisneyPlusCTA-NA","Watch")</x:f>
        <x:v>HYPERLINK is not implemented. linkLocation=https://www.disneyplus.com/video/76710ca6-5a5f-4fbd-8bc3-2a62beba88cf?cid=DTCI-Synergy-DDN-Site-Acquisition-StarWars-US-StarWars-StarWarsTheCloneWars-EN-BlogArticleEmbed-TCWChronological_StreamOnDisneyPlusCTA-NA, friendlyName=Watch</x:v>
      </x:c>
      <x:c r="K45" s="22" t="e">
        <x:f>HYPERLINK("https://www.starwars.com/tv-shows/clone-wars/storm-over-ryloth-episode-guide","Season 1, Episode 19 · Episode guide")</x:f>
        <x:v>HYPERLINK is not implemented. linkLocation=https://www.starwars.com/tv-shows/clone-wars/storm-over-ryloth-episode-guide, friendlyName=Season 1, Episode 19 · Episode guide</x:v>
      </x:c>
    </x:row>
    <x:row r="46" s="23" customFormat="1" ht="36" customHeight="1">
      <x:c r="A46" s="28" t="b">
        <x:v>0</x:v>
      </x:c>
      <x:c r="B46" s="21" t="n">
        <x:v>40</x:v>
      </x:c>
      <x:c r="C46" s="14" t="inlineStr">
        <x:is>
          <x:t xml:space="preserve">Fall of the Jedi</x:t>
        </x:is>
      </x:c>
      <x:c r="D46" s="15" t="inlineStr">
        <x:is>
          <x:t xml:space="preserve">The Clone Wars: Innocents of Ryloth</x:t>
        </x:is>
      </x:c>
      <x:c r="E46" s="16" t="inlineStr">
        <x:is>
          <x:t xml:space="preserve">Season 1, Episode 20</x:t>
        </x:is>
      </x:c>
      <x:c r="F46" s="15" t="inlineStr">
        <x:is>
          <x:t xml:space="preserve">Series aired October 3, 2008–May 4, 2020</x:t>
        </x:is>
      </x:c>
      <x:c r="G46" s="15" t="inlineStr">
        <x:is>
          <x:t xml:space="preserve">Canon</x:t>
        </x:is>
      </x:c>
      <x:c r="H46" s="15" t="inlineStr">
        <x:is>
          <x:t xml:space="preserve">Episode</x:t>
        </x:is>
      </x:c>
      <x:c r="I46" s="15" t="inlineStr">
        <x:is>
          <x:t xml:space="preserve">Disney+</x:t>
        </x:is>
      </x:c>
      <x:c r="J46" s="18" t="e">
        <x:f>HYPERLINK("https://www.disneyplus.com/video/d4f5abd5-3e71-4cef-9928-6be9527fdb89?cid=DTCI-Synergy-DDN-Site-Acquisition-StarWars-US-StarWars-StarWarsTheCloneWars-EN-BlogArticleEmbed-TCWChronological_StreamOnDisneyPlusCTA-NA","Watch")</x:f>
        <x:v>HYPERLINK is not implemented. linkLocation=https://www.disneyplus.com/video/d4f5abd5-3e71-4cef-9928-6be9527fdb89?cid=DTCI-Synergy-DDN-Site-Acquisition-StarWars-US-StarWars-StarWarsTheCloneWars-EN-BlogArticleEmbed-TCWChronological_StreamOnDisneyPlusCTA-NA, friendlyName=Watch</x:v>
      </x:c>
      <x:c r="K46" s="22" t="e">
        <x:f>HYPERLINK("https://www.starwars.com/tv-shows/clone-wars/innocents-of-ryloth-episode-guide","Season 1, Episode 20 · Episode guide")</x:f>
        <x:v>HYPERLINK is not implemented. linkLocation=https://www.starwars.com/tv-shows/clone-wars/innocents-of-ryloth-episode-guide, friendlyName=Season 1, Episode 20 · Episode guide</x:v>
      </x:c>
    </x:row>
    <x:row r="47" s="23" customFormat="1" ht="36" customHeight="1">
      <x:c r="A47" s="28" t="b">
        <x:v>0</x:v>
      </x:c>
      <x:c r="B47" s="21" t="n">
        <x:v>41</x:v>
      </x:c>
      <x:c r="C47" s="14" t="inlineStr">
        <x:is>
          <x:t xml:space="preserve">Fall of the Jedi</x:t>
        </x:is>
      </x:c>
      <x:c r="D47" s="15" t="inlineStr">
        <x:is>
          <x:t xml:space="preserve">The Clone Wars: Liberty on Ryloth</x:t>
        </x:is>
      </x:c>
      <x:c r="E47" s="16" t="inlineStr">
        <x:is>
          <x:t xml:space="preserve">Season 1, Episode 21</x:t>
        </x:is>
      </x:c>
      <x:c r="F47" s="15" t="inlineStr">
        <x:is>
          <x:t xml:space="preserve">Series aired October 3, 2008–May 4, 2020</x:t>
        </x:is>
      </x:c>
      <x:c r="G47" s="15" t="inlineStr">
        <x:is>
          <x:t xml:space="preserve">Canon</x:t>
        </x:is>
      </x:c>
      <x:c r="H47" s="15" t="inlineStr">
        <x:is>
          <x:t xml:space="preserve">Episode</x:t>
        </x:is>
      </x:c>
      <x:c r="I47" s="15" t="inlineStr">
        <x:is>
          <x:t xml:space="preserve">Disney+</x:t>
        </x:is>
      </x:c>
      <x:c r="J47" s="18" t="e">
        <x:f>HYPERLINK("https://www.disneyplus.com/video/0f87705e-7773-4154-8ff8-fdee5671431d?cid=DTCI-Synergy-DDN-Site-Acquisition-StarWars-US-StarWars-StarWarsTheCloneWars-EN-BlogArticleEmbed-TCWChronological_StreamOnDisneyPlusCTA-NA","Watch")</x:f>
        <x:v>HYPERLINK is not implemented. linkLocation=https://www.disneyplus.com/video/0f87705e-7773-4154-8ff8-fdee5671431d?cid=DTCI-Synergy-DDN-Site-Acquisition-StarWars-US-StarWars-StarWarsTheCloneWars-EN-BlogArticleEmbed-TCWChronological_StreamOnDisneyPlusCTA-NA, friendlyName=Watch</x:v>
      </x:c>
      <x:c r="K47" s="22" t="e">
        <x:f>HYPERLINK("https://www.starwars.com/tv-shows/clone-wars/liberty-on-ryloth-episode-guide","Season 1, Episode 21 · Episode guide")</x:f>
        <x:v>HYPERLINK is not implemented. linkLocation=https://www.starwars.com/tv-shows/clone-wars/liberty-on-ryloth-episode-guide, friendlyName=Season 1, Episode 21 · Episode guide</x:v>
      </x:c>
    </x:row>
    <x:row r="48" s="23" customFormat="1" ht="36" customHeight="1">
      <x:c r="A48" s="28" t="b">
        <x:v>0</x:v>
      </x:c>
      <x:c r="B48" s="21" t="n">
        <x:v>42</x:v>
      </x:c>
      <x:c r="C48" s="14" t="inlineStr">
        <x:is>
          <x:t xml:space="preserve">Fall of the Jedi</x:t>
        </x:is>
      </x:c>
      <x:c r="D48" s="15" t="inlineStr">
        <x:is>
          <x:t xml:space="preserve">The Clone Wars: Holocron Heist</x:t>
        </x:is>
      </x:c>
      <x:c r="E48" s="16" t="inlineStr">
        <x:is>
          <x:t xml:space="preserve">Season 2, Episode 1</x:t>
        </x:is>
      </x:c>
      <x:c r="F48" s="15" t="inlineStr">
        <x:is>
          <x:t xml:space="preserve">Series aired October 3, 2008–May 4, 2020</x:t>
        </x:is>
      </x:c>
      <x:c r="G48" s="15" t="inlineStr">
        <x:is>
          <x:t xml:space="preserve">Canon</x:t>
        </x:is>
      </x:c>
      <x:c r="H48" s="15" t="inlineStr">
        <x:is>
          <x:t xml:space="preserve">Episode</x:t>
        </x:is>
      </x:c>
      <x:c r="I48" s="15" t="inlineStr">
        <x:is>
          <x:t xml:space="preserve">Disney+</x:t>
        </x:is>
      </x:c>
      <x:c r="J48" s="18" t="e">
        <x:f>HYPERLINK("https://www.disneyplus.com/video/0eb555a3-9420-4364-aef2-7186f5e4fb4e?cid=DTCI-Synergy-DDN-Site-Acquisition-StarWars-US-StarWars-StarWarsTheCloneWars-EN-BlogArticleEmbed-TCWChronological_StreamOnDisneyPlusCTA-NA","Watch")</x:f>
        <x:v>HYPERLINK is not implemented. linkLocation=https://www.disneyplus.com/video/0eb555a3-9420-4364-aef2-7186f5e4fb4e?cid=DTCI-Synergy-DDN-Site-Acquisition-StarWars-US-StarWars-StarWarsTheCloneWars-EN-BlogArticleEmbed-TCWChronological_StreamOnDisneyPlusCTA-NA, friendlyName=Watch</x:v>
      </x:c>
      <x:c r="K48" s="22" t="e">
        <x:f>HYPERLINK("https://www.starwars.com/tv-shows/clone-wars/holocron-heist-episode-guide","Season 2, Episode 1 · Episode guide")</x:f>
        <x:v>HYPERLINK is not implemented. linkLocation=https://www.starwars.com/tv-shows/clone-wars/holocron-heist-episode-guide, friendlyName=Season 2, Episode 1 · Episode guide</x:v>
      </x:c>
    </x:row>
    <x:row r="49" s="23" customFormat="1" ht="36" customHeight="1">
      <x:c r="A49" s="28" t="b">
        <x:v>0</x:v>
      </x:c>
      <x:c r="B49" s="21" t="n">
        <x:v>43</x:v>
      </x:c>
      <x:c r="C49" s="14" t="inlineStr">
        <x:is>
          <x:t xml:space="preserve">Fall of the Jedi</x:t>
        </x:is>
      </x:c>
      <x:c r="D49" s="15" t="inlineStr">
        <x:is>
          <x:t xml:space="preserve">The Clone Wars: Cargo of Doom</x:t>
        </x:is>
      </x:c>
      <x:c r="E49" s="16" t="inlineStr">
        <x:is>
          <x:t xml:space="preserve">Season 2, Episode 2</x:t>
        </x:is>
      </x:c>
      <x:c r="F49" s="15" t="inlineStr">
        <x:is>
          <x:t xml:space="preserve">Series aired October 3, 2008–May 4, 2020</x:t>
        </x:is>
      </x:c>
      <x:c r="G49" s="15" t="inlineStr">
        <x:is>
          <x:t xml:space="preserve">Canon</x:t>
        </x:is>
      </x:c>
      <x:c r="H49" s="15" t="inlineStr">
        <x:is>
          <x:t xml:space="preserve">Episode</x:t>
        </x:is>
      </x:c>
      <x:c r="I49" s="15" t="inlineStr">
        <x:is>
          <x:t xml:space="preserve">Disney+</x:t>
        </x:is>
      </x:c>
      <x:c r="J49" s="18" t="e">
        <x:f>HYPERLINK("https://www.disneyplus.com/video/865525da-5daa-4188-9bca-8abd942909fd?cid=DTCI-Synergy-DDN-Site-Acquisition-StarWars-US-StarWars-StarWarsTheCloneWars-EN-BlogArticleEmbed-TCWChronological_StreamOnDisneyPlusCTA-NA","Watch")</x:f>
        <x:v>HYPERLINK is not implemented. linkLocation=https://www.disneyplus.com/video/865525da-5daa-4188-9bca-8abd942909fd?cid=DTCI-Synergy-DDN-Site-Acquisition-StarWars-US-StarWars-StarWarsTheCloneWars-EN-BlogArticleEmbed-TCWChronological_StreamOnDisneyPlusCTA-NA, friendlyName=Watch</x:v>
      </x:c>
      <x:c r="K49" s="22" t="e">
        <x:f>HYPERLINK("https://www.starwars.com/tv-shows/clone-wars/cargo-of-doom-episode-guide","Season 2, Episode 2 · Episode guide")</x:f>
        <x:v>HYPERLINK is not implemented. linkLocation=https://www.starwars.com/tv-shows/clone-wars/cargo-of-doom-episode-guide, friendlyName=Season 2, Episode 2 · Episode guide</x:v>
      </x:c>
    </x:row>
    <x:row r="50" s="23" customFormat="1" ht="36" customHeight="1">
      <x:c r="A50" s="28" t="b">
        <x:v>0</x:v>
      </x:c>
      <x:c r="B50" s="21" t="n">
        <x:v>44</x:v>
      </x:c>
      <x:c r="C50" s="14" t="inlineStr">
        <x:is>
          <x:t xml:space="preserve">Fall of the Jedi</x:t>
        </x:is>
      </x:c>
      <x:c r="D50" s="15" t="inlineStr">
        <x:is>
          <x:t xml:space="preserve">The Clone Wars: Children of the Force</x:t>
        </x:is>
      </x:c>
      <x:c r="E50" s="16" t="inlineStr">
        <x:is>
          <x:t xml:space="preserve">Season 2, Episode 3</x:t>
        </x:is>
      </x:c>
      <x:c r="F50" s="15" t="inlineStr">
        <x:is>
          <x:t xml:space="preserve">Series aired October 3, 2008–May 4, 2020</x:t>
        </x:is>
      </x:c>
      <x:c r="G50" s="15" t="inlineStr">
        <x:is>
          <x:t xml:space="preserve">Canon</x:t>
        </x:is>
      </x:c>
      <x:c r="H50" s="15" t="inlineStr">
        <x:is>
          <x:t xml:space="preserve">Episode</x:t>
        </x:is>
      </x:c>
      <x:c r="I50" s="15" t="inlineStr">
        <x:is>
          <x:t xml:space="preserve">Disney+</x:t>
        </x:is>
      </x:c>
      <x:c r="J50" s="18" t="e">
        <x:f>HYPERLINK("https://www.disneyplus.com/video/2b77cbb2-045c-456d-a551-be454175ca28?cid=DTCI-Synergy-DDN-Site-Acquisition-StarWars-US-StarWars-StarWarsTheCloneWars-EN-BlogArticleEmbed-TCWChronological_StreamOnDisneyPlusCTA-NA","Watch")</x:f>
        <x:v>HYPERLINK is not implemented. linkLocation=https://www.disneyplus.com/video/2b77cbb2-045c-456d-a551-be454175ca28?cid=DTCI-Synergy-DDN-Site-Acquisition-StarWars-US-StarWars-StarWarsTheCloneWars-EN-BlogArticleEmbed-TCWChronological_StreamOnDisneyPlusCTA-NA, friendlyName=Watch</x:v>
      </x:c>
      <x:c r="K50" s="22" t="e">
        <x:f>HYPERLINK("https://www.starwars.com/tv-shows/clone-wars/children-of-the-force-episode-guide","Season 2, Episode 3 · Episode guide")</x:f>
        <x:v>HYPERLINK is not implemented. linkLocation=https://www.starwars.com/tv-shows/clone-wars/children-of-the-force-episode-guide, friendlyName=Season 2, Episode 3 · Episode guide</x:v>
      </x:c>
    </x:row>
    <x:row r="51" s="23" customFormat="1" ht="36" customHeight="1">
      <x:c r="A51" s="28" t="b">
        <x:v>0</x:v>
      </x:c>
      <x:c r="B51" s="21" t="n">
        <x:v>45</x:v>
      </x:c>
      <x:c r="C51" s="14" t="inlineStr">
        <x:is>
          <x:t xml:space="preserve">Fall of the Jedi</x:t>
        </x:is>
      </x:c>
      <x:c r="D51" s="15" t="inlineStr">
        <x:is>
          <x:t xml:space="preserve">The Clone Wars: Bounty Hunters</x:t>
        </x:is>
      </x:c>
      <x:c r="E51" s="16" t="inlineStr">
        <x:is>
          <x:t xml:space="preserve">Season 2, Episode 17</x:t>
        </x:is>
      </x:c>
      <x:c r="F51" s="15" t="inlineStr">
        <x:is>
          <x:t xml:space="preserve">Series aired October 3, 2008–May 4, 2020</x:t>
        </x:is>
      </x:c>
      <x:c r="G51" s="15" t="inlineStr">
        <x:is>
          <x:t xml:space="preserve">Canon</x:t>
        </x:is>
      </x:c>
      <x:c r="H51" s="15" t="inlineStr">
        <x:is>
          <x:t xml:space="preserve">Episode</x:t>
        </x:is>
      </x:c>
      <x:c r="I51" s="15" t="inlineStr">
        <x:is>
          <x:t xml:space="preserve">Disney+</x:t>
        </x:is>
      </x:c>
      <x:c r="J51" s="18" t="e">
        <x:f>HYPERLINK("https://www.disneyplus.com/video/2bfad4dd-0bf4-4c76-a7ce-7e34df37618a?cid=DTCI-Synergy-DDN-Site-Acquisition-StarWars-US-StarWars-StarWarsTheCloneWars-EN-BlogArticleEmbed-TCWChronological_StreamOnDisneyPlusCTA-NA","Watch")</x:f>
        <x:v>HYPERLINK is not implemented. linkLocation=https://www.disneyplus.com/video/2bfad4dd-0bf4-4c76-a7ce-7e34df37618a?cid=DTCI-Synergy-DDN-Site-Acquisition-StarWars-US-StarWars-StarWarsTheCloneWars-EN-BlogArticleEmbed-TCWChronological_StreamOnDisneyPlusCTA-NA, friendlyName=Watch</x:v>
      </x:c>
      <x:c r="K51" s="22" t="e">
        <x:f>HYPERLINK("https://www.starwars.com/tv-shows/clone-wars/bounty-hunters-episode-guide","Season 2, Episode 17 · Episode guide")</x:f>
        <x:v>HYPERLINK is not implemented. linkLocation=https://www.starwars.com/tv-shows/clone-wars/bounty-hunters-episode-guide, friendlyName=Season 2, Episode 17 · Episode guide</x:v>
      </x:c>
    </x:row>
    <x:row r="52" s="23" customFormat="1" ht="36" customHeight="1">
      <x:c r="A52" s="28" t="b">
        <x:v>0</x:v>
      </x:c>
      <x:c r="B52" s="21" t="n">
        <x:v>46</x:v>
      </x:c>
      <x:c r="C52" s="14" t="inlineStr">
        <x:is>
          <x:t xml:space="preserve">Fall of the Jedi</x:t>
        </x:is>
      </x:c>
      <x:c r="D52" s="15" t="inlineStr">
        <x:is>
          <x:t xml:space="preserve">The Clone Wars: The Zillo Beast</x:t>
        </x:is>
      </x:c>
      <x:c r="E52" s="16" t="inlineStr">
        <x:is>
          <x:t xml:space="preserve">Season 2, Episode 18</x:t>
        </x:is>
      </x:c>
      <x:c r="F52" s="15" t="inlineStr">
        <x:is>
          <x:t xml:space="preserve">Series aired October 3, 2008–May 4, 2020</x:t>
        </x:is>
      </x:c>
      <x:c r="G52" s="15" t="inlineStr">
        <x:is>
          <x:t xml:space="preserve">Canon</x:t>
        </x:is>
      </x:c>
      <x:c r="H52" s="15" t="inlineStr">
        <x:is>
          <x:t xml:space="preserve">Episode</x:t>
        </x:is>
      </x:c>
      <x:c r="I52" s="15" t="inlineStr">
        <x:is>
          <x:t xml:space="preserve">Disney+</x:t>
        </x:is>
      </x:c>
      <x:c r="J52" s="18" t="e">
        <x:f>HYPERLINK("https://www.disneyplus.com/video/13d1cbe9-abf9-4691-a407-228d16cfa48d?cid=DTCI-Synergy-DDN-Site-Acquisition-StarWars-US-StarWars-StarWarsTheCloneWars-EN-BlogArticleEmbed-TCWChronological_StreamOnDisneyPlusCTA-NA","Watch")</x:f>
        <x:v>HYPERLINK is not implemented. linkLocation=https://www.disneyplus.com/video/13d1cbe9-abf9-4691-a407-228d16cfa48d?cid=DTCI-Synergy-DDN-Site-Acquisition-StarWars-US-StarWars-StarWarsTheCloneWars-EN-BlogArticleEmbed-TCWChronological_StreamOnDisneyPlusCTA-NA, friendlyName=Watch</x:v>
      </x:c>
      <x:c r="K52" s="22" t="e">
        <x:f>HYPERLINK("https://www.starwars.com/tv-shows/clone-wars/the-zillo-beast-episode-guide","Season 2, Episode 18 · Episode guide")</x:f>
        <x:v>HYPERLINK is not implemented. linkLocation=https://www.starwars.com/tv-shows/clone-wars/the-zillo-beast-episode-guide, friendlyName=Season 2, Episode 18 · Episode guide</x:v>
      </x:c>
    </x:row>
    <x:row r="53" s="23" customFormat="1" ht="36" customHeight="1">
      <x:c r="A53" s="28" t="b">
        <x:v>0</x:v>
      </x:c>
      <x:c r="B53" s="21" t="n">
        <x:v>47</x:v>
      </x:c>
      <x:c r="C53" s="14" t="inlineStr">
        <x:is>
          <x:t xml:space="preserve">Fall of the Jedi</x:t>
        </x:is>
      </x:c>
      <x:c r="D53" s="15" t="inlineStr">
        <x:is>
          <x:t xml:space="preserve">The Clone Wars: The Zillo Beast Strikes Back</x:t>
        </x:is>
      </x:c>
      <x:c r="E53" s="16" t="inlineStr">
        <x:is>
          <x:t xml:space="preserve">Season 2, Episode 19</x:t>
        </x:is>
      </x:c>
      <x:c r="F53" s="15" t="inlineStr">
        <x:is>
          <x:t xml:space="preserve">Series aired October 3, 2008–May 4, 2020</x:t>
        </x:is>
      </x:c>
      <x:c r="G53" s="15" t="inlineStr">
        <x:is>
          <x:t xml:space="preserve">Canon</x:t>
        </x:is>
      </x:c>
      <x:c r="H53" s="15" t="inlineStr">
        <x:is>
          <x:t xml:space="preserve">Episode</x:t>
        </x:is>
      </x:c>
      <x:c r="I53" s="15" t="inlineStr">
        <x:is>
          <x:t xml:space="preserve">Disney+</x:t>
        </x:is>
      </x:c>
      <x:c r="J53" s="18" t="e">
        <x:f>HYPERLINK("https://www.disneyplus.com/video/6f2cd6cf-8e7a-42e6-893a-6465f2683648?cid=DTCI-Synergy-DDN-Site-Acquisition-StarWars-US-StarWars-StarWarsTheCloneWars-EN-BlogArticleEmbed-TCWChronological_StreamOnDisneyPlusCTA-NA","Watch")</x:f>
        <x:v>HYPERLINK is not implemented. linkLocation=https://www.disneyplus.com/video/6f2cd6cf-8e7a-42e6-893a-6465f2683648?cid=DTCI-Synergy-DDN-Site-Acquisition-StarWars-US-StarWars-StarWarsTheCloneWars-EN-BlogArticleEmbed-TCWChronological_StreamOnDisneyPlusCTA-NA, friendlyName=Watch</x:v>
      </x:c>
      <x:c r="K53" s="22" t="e">
        <x:f>HYPERLINK("https://www.starwars.com/tv-shows/clone-wars/the-zillo-beast-strikes-back-episode-guide","Season 2, Episode 19 · Episode guide")</x:f>
        <x:v>HYPERLINK is not implemented. linkLocation=https://www.starwars.com/tv-shows/clone-wars/the-zillo-beast-strikes-back-episode-guide, friendlyName=Season 2, Episode 19 · Episode guide</x:v>
      </x:c>
    </x:row>
    <x:row r="54" s="23" customFormat="1" ht="36" customHeight="1">
      <x:c r="A54" s="28" t="b">
        <x:v>0</x:v>
      </x:c>
      <x:c r="B54" s="21" t="n">
        <x:v>48</x:v>
      </x:c>
      <x:c r="C54" s="14" t="inlineStr">
        <x:is>
          <x:t xml:space="preserve">Fall of the Jedi</x:t>
        </x:is>
      </x:c>
      <x:c r="D54" s="15" t="inlineStr">
        <x:is>
          <x:t xml:space="preserve">The Clone Wars: Senate Spy</x:t>
        </x:is>
      </x:c>
      <x:c r="E54" s="16" t="inlineStr">
        <x:is>
          <x:t xml:space="preserve">Season 2, Episode 4</x:t>
        </x:is>
      </x:c>
      <x:c r="F54" s="15" t="inlineStr">
        <x:is>
          <x:t xml:space="preserve">Series aired October 3, 2008–May 4, 2020</x:t>
        </x:is>
      </x:c>
      <x:c r="G54" s="15" t="inlineStr">
        <x:is>
          <x:t xml:space="preserve">Canon</x:t>
        </x:is>
      </x:c>
      <x:c r="H54" s="15" t="inlineStr">
        <x:is>
          <x:t xml:space="preserve">Episode</x:t>
        </x:is>
      </x:c>
      <x:c r="I54" s="15" t="inlineStr">
        <x:is>
          <x:t xml:space="preserve">Disney+</x:t>
        </x:is>
      </x:c>
      <x:c r="J54" s="18" t="e">
        <x:f>HYPERLINK("https://www.disneyplus.com/video/094ea69a-1e8f-44cd-9ebb-1551993b5129?cid=DTCI-Synergy-DDN-Site-Acquisition-StarWars-US-StarWars-StarWarsTheCloneWars-EN-BlogArticleEmbed-TCWChronological_StreamOnDisneyPlusCTA-NA","Watch")</x:f>
        <x:v>HYPERLINK is not implemented. linkLocation=https://www.disneyplus.com/video/094ea69a-1e8f-44cd-9ebb-1551993b5129?cid=DTCI-Synergy-DDN-Site-Acquisition-StarWars-US-StarWars-StarWarsTheCloneWars-EN-BlogArticleEmbed-TCWChronological_StreamOnDisneyPlusCTA-NA, friendlyName=Watch</x:v>
      </x:c>
      <x:c r="K54" s="22" t="e">
        <x:f>HYPERLINK("https://www.starwars.com/tv-shows/clone-wars/senate-spy-episode-guide","Season 2, Episode 4 · Episode guide")</x:f>
        <x:v>HYPERLINK is not implemented. linkLocation=https://www.starwars.com/tv-shows/clone-wars/senate-spy-episode-guide, friendlyName=Season 2, Episode 4 · Episode guide</x:v>
      </x:c>
    </x:row>
    <x:row r="55" s="23" customFormat="1" ht="36" customHeight="1">
      <x:c r="A55" s="28" t="b">
        <x:v>0</x:v>
      </x:c>
      <x:c r="B55" s="21" t="n">
        <x:v>49</x:v>
      </x:c>
      <x:c r="C55" s="14" t="inlineStr">
        <x:is>
          <x:t xml:space="preserve">Fall of the Jedi</x:t>
        </x:is>
      </x:c>
      <x:c r="D55" s="15" t="inlineStr">
        <x:is>
          <x:t xml:space="preserve">The Clone Wars: Landing at Point Rain</x:t>
        </x:is>
      </x:c>
      <x:c r="E55" s="16" t="inlineStr">
        <x:is>
          <x:t xml:space="preserve">Season 2, Episode 5</x:t>
        </x:is>
      </x:c>
      <x:c r="F55" s="15" t="inlineStr">
        <x:is>
          <x:t xml:space="preserve">Series aired October 3, 2008–May 4, 2020</x:t>
        </x:is>
      </x:c>
      <x:c r="G55" s="15" t="inlineStr">
        <x:is>
          <x:t xml:space="preserve">Canon</x:t>
        </x:is>
      </x:c>
      <x:c r="H55" s="15" t="inlineStr">
        <x:is>
          <x:t xml:space="preserve">Episode</x:t>
        </x:is>
      </x:c>
      <x:c r="I55" s="15" t="inlineStr">
        <x:is>
          <x:t xml:space="preserve">Disney+</x:t>
        </x:is>
      </x:c>
      <x:c r="J55" s="18" t="e">
        <x:f>HYPERLINK("https://www.disneyplus.com/video/6ba55d34-2db4-4f82-b219-fc82500ca89a?cid=DTCI-Synergy-DDN-Site-Acquisition-StarWars-US-StarWars-StarWarsTheCloneWars-EN-BlogArticleEmbed-TCWChronological_StreamOnDisneyPlusCTA-NA","Watch")</x:f>
        <x:v>HYPERLINK is not implemented. linkLocation=https://www.disneyplus.com/video/6ba55d34-2db4-4f82-b219-fc82500ca89a?cid=DTCI-Synergy-DDN-Site-Acquisition-StarWars-US-StarWars-StarWarsTheCloneWars-EN-BlogArticleEmbed-TCWChronological_StreamOnDisneyPlusCTA-NA, friendlyName=Watch</x:v>
      </x:c>
      <x:c r="K55" s="22" t="e">
        <x:f>HYPERLINK("https://www.starwars.com/tv-shows/clone-wars/landing-at-point-rain-episode-guide","Season 2, Episode 5 · Episode guide")</x:f>
        <x:v>HYPERLINK is not implemented. linkLocation=https://www.starwars.com/tv-shows/clone-wars/landing-at-point-rain-episode-guide, friendlyName=Season 2, Episode 5 · Episode guide</x:v>
      </x:c>
    </x:row>
    <x:row r="56" s="23" customFormat="1" ht="36" customHeight="1">
      <x:c r="A56" s="28" t="b">
        <x:v>0</x:v>
      </x:c>
      <x:c r="B56" s="21" t="n">
        <x:v>50</x:v>
      </x:c>
      <x:c r="C56" s="14" t="inlineStr">
        <x:is>
          <x:t xml:space="preserve">Fall of the Jedi</x:t>
        </x:is>
      </x:c>
      <x:c r="D56" s="15" t="inlineStr">
        <x:is>
          <x:t xml:space="preserve">The Clone Wars: Weapons Factory</x:t>
        </x:is>
      </x:c>
      <x:c r="E56" s="16" t="inlineStr">
        <x:is>
          <x:t xml:space="preserve">Season 2, Episode 6</x:t>
        </x:is>
      </x:c>
      <x:c r="F56" s="15" t="inlineStr">
        <x:is>
          <x:t xml:space="preserve">Series aired October 3, 2008–May 4, 2020</x:t>
        </x:is>
      </x:c>
      <x:c r="G56" s="15" t="inlineStr">
        <x:is>
          <x:t xml:space="preserve">Canon</x:t>
        </x:is>
      </x:c>
      <x:c r="H56" s="15" t="inlineStr">
        <x:is>
          <x:t xml:space="preserve">Episode</x:t>
        </x:is>
      </x:c>
      <x:c r="I56" s="15" t="inlineStr">
        <x:is>
          <x:t xml:space="preserve">Disney+</x:t>
        </x:is>
      </x:c>
      <x:c r="J56" s="18" t="e">
        <x:f>HYPERLINK("https://www.disneyplus.com/video/a4fc767f-a20d-4fb6-b8ce-5e9b6ec80dac?cid=DTCI-Synergy-DDN-Site-Acquisition-StarWars-US-StarWars-StarWarsTheCloneWars-EN-BlogArticleEmbed-TCWChronological_StreamOnDisneyPlusCTA-NA","Watch")</x:f>
        <x:v>HYPERLINK is not implemented. linkLocation=https://www.disneyplus.com/video/a4fc767f-a20d-4fb6-b8ce-5e9b6ec80dac?cid=DTCI-Synergy-DDN-Site-Acquisition-StarWars-US-StarWars-StarWarsTheCloneWars-EN-BlogArticleEmbed-TCWChronological_StreamOnDisneyPlusCTA-NA, friendlyName=Watch</x:v>
      </x:c>
      <x:c r="K56" s="22" t="e">
        <x:f>HYPERLINK("https://www.starwars.com/tv-shows/clone-wars/weapons-factory-episode-guide","Season 2, Episode 6 · Episode guide")</x:f>
        <x:v>HYPERLINK is not implemented. linkLocation=https://www.starwars.com/tv-shows/clone-wars/weapons-factory-episode-guide, friendlyName=Season 2, Episode 6 · Episode guide</x:v>
      </x:c>
    </x:row>
    <x:row r="57" s="23" customFormat="1" ht="36" customHeight="1">
      <x:c r="A57" s="28" t="b">
        <x:v>0</x:v>
      </x:c>
      <x:c r="B57" s="21" t="n">
        <x:v>51</x:v>
      </x:c>
      <x:c r="C57" s="14" t="inlineStr">
        <x:is>
          <x:t xml:space="preserve">Fall of the Jedi</x:t>
        </x:is>
      </x:c>
      <x:c r="D57" s="15" t="inlineStr">
        <x:is>
          <x:t xml:space="preserve">The Clone Wars: Legacy of Terror</x:t>
        </x:is>
      </x:c>
      <x:c r="E57" s="16" t="inlineStr">
        <x:is>
          <x:t xml:space="preserve">Season 2, Episode 7</x:t>
        </x:is>
      </x:c>
      <x:c r="F57" s="15" t="inlineStr">
        <x:is>
          <x:t xml:space="preserve">Series aired October 3, 2008–May 4, 2020</x:t>
        </x:is>
      </x:c>
      <x:c r="G57" s="15" t="inlineStr">
        <x:is>
          <x:t xml:space="preserve">Canon</x:t>
        </x:is>
      </x:c>
      <x:c r="H57" s="15" t="inlineStr">
        <x:is>
          <x:t xml:space="preserve">Episode</x:t>
        </x:is>
      </x:c>
      <x:c r="I57" s="15" t="inlineStr">
        <x:is>
          <x:t xml:space="preserve">Disney+</x:t>
        </x:is>
      </x:c>
      <x:c r="J57" s="18" t="e">
        <x:f>HYPERLINK("https://www.disneyplus.com/video/ed8f1cb7-f3e3-4ab0-af03-888ba8b20d25?cid=DTCI-Synergy-DDN-Site-Acquisition-StarWars-US-StarWars-StarWarsTheCloneWars-EN-BlogArticleEmbed-TCWChronological_StreamOnDisneyPlusCTA-NA","Watch")</x:f>
        <x:v>HYPERLINK is not implemented. linkLocation=https://www.disneyplus.com/video/ed8f1cb7-f3e3-4ab0-af03-888ba8b20d25?cid=DTCI-Synergy-DDN-Site-Acquisition-StarWars-US-StarWars-StarWarsTheCloneWars-EN-BlogArticleEmbed-TCWChronological_StreamOnDisneyPlusCTA-NA, friendlyName=Watch</x:v>
      </x:c>
      <x:c r="K57" s="22" t="e">
        <x:f>HYPERLINK("https://www.starwars.com/tv-shows/clone-wars/legacy-of-terror-episode-guide","Season 2, Episode 7 · Episode guide")</x:f>
        <x:v>HYPERLINK is not implemented. linkLocation=https://www.starwars.com/tv-shows/clone-wars/legacy-of-terror-episode-guide, friendlyName=Season 2, Episode 7 · Episode guide</x:v>
      </x:c>
    </x:row>
    <x:row r="58" s="23" customFormat="1" ht="36" customHeight="1">
      <x:c r="A58" s="28" t="b">
        <x:v>0</x:v>
      </x:c>
      <x:c r="B58" s="21" t="n">
        <x:v>52</x:v>
      </x:c>
      <x:c r="C58" s="14" t="inlineStr">
        <x:is>
          <x:t xml:space="preserve">Fall of the Jedi</x:t>
        </x:is>
      </x:c>
      <x:c r="D58" s="15" t="inlineStr">
        <x:is>
          <x:t xml:space="preserve">The Clone Wars: Brain Invaders</x:t>
        </x:is>
      </x:c>
      <x:c r="E58" s="16" t="inlineStr">
        <x:is>
          <x:t xml:space="preserve">Season 2, Episode 8</x:t>
        </x:is>
      </x:c>
      <x:c r="F58" s="15" t="inlineStr">
        <x:is>
          <x:t xml:space="preserve">Series aired October 3, 2008–May 4, 2020</x:t>
        </x:is>
      </x:c>
      <x:c r="G58" s="15" t="inlineStr">
        <x:is>
          <x:t xml:space="preserve">Canon</x:t>
        </x:is>
      </x:c>
      <x:c r="H58" s="15" t="inlineStr">
        <x:is>
          <x:t xml:space="preserve">Episode</x:t>
        </x:is>
      </x:c>
      <x:c r="I58" s="15" t="inlineStr">
        <x:is>
          <x:t xml:space="preserve">Disney+</x:t>
        </x:is>
      </x:c>
      <x:c r="J58" s="18" t="e">
        <x:f>HYPERLINK("https://www.disneyplus.com/video/521b49b5-26a5-4153-af04-3fc40e4ececd?cid=DTCI-Synergy-DDN-Site-Acquisition-StarWars-US-StarWars-StarWarsTheCloneWars-EN-BlogArticleEmbed-TCWChronological_StreamOnDisneyPlusCTA-NA","Watch")</x:f>
        <x:v>HYPERLINK is not implemented. linkLocation=https://www.disneyplus.com/video/521b49b5-26a5-4153-af04-3fc40e4ececd?cid=DTCI-Synergy-DDN-Site-Acquisition-StarWars-US-StarWars-StarWarsTheCloneWars-EN-BlogArticleEmbed-TCWChronological_StreamOnDisneyPlusCTA-NA, friendlyName=Watch</x:v>
      </x:c>
      <x:c r="K58" s="22" t="e">
        <x:f>HYPERLINK("https://www.starwars.com/tv-shows/clone-wars/brain-invaders-episode-guide","Season 2, Episode 8 · Episode guide")</x:f>
        <x:v>HYPERLINK is not implemented. linkLocation=https://www.starwars.com/tv-shows/clone-wars/brain-invaders-episode-guide, friendlyName=Season 2, Episode 8 · Episode guide</x:v>
      </x:c>
    </x:row>
    <x:row r="59" s="23" customFormat="1" ht="36" customHeight="1">
      <x:c r="A59" s="28" t="b">
        <x:v>0</x:v>
      </x:c>
      <x:c r="B59" s="21" t="n">
        <x:v>53</x:v>
      </x:c>
      <x:c r="C59" s="14" t="inlineStr">
        <x:is>
          <x:t xml:space="preserve">Fall of the Jedi</x:t>
        </x:is>
      </x:c>
      <x:c r="D59" s="15" t="inlineStr">
        <x:is>
          <x:t xml:space="preserve">The Clone Wars: Grievous Intrigue</x:t>
        </x:is>
      </x:c>
      <x:c r="E59" s="16" t="inlineStr">
        <x:is>
          <x:t xml:space="preserve">Season 2, Episode 9</x:t>
        </x:is>
      </x:c>
      <x:c r="F59" s="15" t="inlineStr">
        <x:is>
          <x:t xml:space="preserve">Series aired October 3, 2008–May 4, 2020</x:t>
        </x:is>
      </x:c>
      <x:c r="G59" s="15" t="inlineStr">
        <x:is>
          <x:t xml:space="preserve">Canon</x:t>
        </x:is>
      </x:c>
      <x:c r="H59" s="15" t="inlineStr">
        <x:is>
          <x:t xml:space="preserve">Episode</x:t>
        </x:is>
      </x:c>
      <x:c r="I59" s="15" t="inlineStr">
        <x:is>
          <x:t xml:space="preserve">Disney+</x:t>
        </x:is>
      </x:c>
      <x:c r="J59" s="18" t="e">
        <x:f>HYPERLINK("https://www.disneyplus.com/video/83357ef1-f768-4f3b-8b03-2f0c2e4617e7?cid=DTCI-Synergy-DDN-Site-Acquisition-StarWars-US-StarWars-StarWarsTheCloneWars-EN-BlogArticleEmbed-TCWChronological_StreamOnDisneyPlusCTA-NA","Watch")</x:f>
        <x:v>HYPERLINK is not implemented. linkLocation=https://www.disneyplus.com/video/83357ef1-f768-4f3b-8b03-2f0c2e4617e7?cid=DTCI-Synergy-DDN-Site-Acquisition-StarWars-US-StarWars-StarWarsTheCloneWars-EN-BlogArticleEmbed-TCWChronological_StreamOnDisneyPlusCTA-NA, friendlyName=Watch</x:v>
      </x:c>
      <x:c r="K59" s="22" t="e">
        <x:f>HYPERLINK("https://www.starwars.com/tv-shows/clone-wars/grievous-intrigue-episode-guide","Season 2, Episode 9 · Episode guide")</x:f>
        <x:v>HYPERLINK is not implemented. linkLocation=https://www.starwars.com/tv-shows/clone-wars/grievous-intrigue-episode-guide, friendlyName=Season 2, Episode 9 · Episode guide</x:v>
      </x:c>
    </x:row>
    <x:row r="60" s="23" customFormat="1" ht="36" customHeight="1">
      <x:c r="A60" s="28" t="b">
        <x:v>0</x:v>
      </x:c>
      <x:c r="B60" s="21" t="n">
        <x:v>54</x:v>
      </x:c>
      <x:c r="C60" s="14" t="inlineStr">
        <x:is>
          <x:t xml:space="preserve">Fall of the Jedi</x:t>
        </x:is>
      </x:c>
      <x:c r="D60" s="15" t="inlineStr">
        <x:is>
          <x:t xml:space="preserve">The Clone Wars: The Deserter</x:t>
        </x:is>
      </x:c>
      <x:c r="E60" s="16" t="inlineStr">
        <x:is>
          <x:t xml:space="preserve">Season 2, Episode 10</x:t>
        </x:is>
      </x:c>
      <x:c r="F60" s="15" t="inlineStr">
        <x:is>
          <x:t xml:space="preserve">Series aired October 3, 2008–May 4, 2020</x:t>
        </x:is>
      </x:c>
      <x:c r="G60" s="15" t="inlineStr">
        <x:is>
          <x:t xml:space="preserve">Canon</x:t>
        </x:is>
      </x:c>
      <x:c r="H60" s="15" t="inlineStr">
        <x:is>
          <x:t xml:space="preserve">Episode</x:t>
        </x:is>
      </x:c>
      <x:c r="I60" s="15" t="inlineStr">
        <x:is>
          <x:t xml:space="preserve">Disney+</x:t>
        </x:is>
      </x:c>
      <x:c r="J60" s="18" t="e">
        <x:f>HYPERLINK("https://www.disneyplus.com/video/09f9af96-40bd-4e9a-a18d-92fb9f373298?cid=DTCI-Synergy-DDN-Site-Acquisition-StarWars-US-StarWars-StarWarsTheCloneWars-EN-BlogArticleEmbed-TCWChronological_StreamOnDisneyPlusCTA-NA","Watch")</x:f>
        <x:v>HYPERLINK is not implemented. linkLocation=https://www.disneyplus.com/video/09f9af96-40bd-4e9a-a18d-92fb9f373298?cid=DTCI-Synergy-DDN-Site-Acquisition-StarWars-US-StarWars-StarWarsTheCloneWars-EN-BlogArticleEmbed-TCWChronological_StreamOnDisneyPlusCTA-NA, friendlyName=Watch</x:v>
      </x:c>
      <x:c r="K60" s="22" t="e">
        <x:f>HYPERLINK("https://www.starwars.com/tv-shows/clone-wars/the-deserter-episode-guide","Season 2, Episode 10 · Episode guide")</x:f>
        <x:v>HYPERLINK is not implemented. linkLocation=https://www.starwars.com/tv-shows/clone-wars/the-deserter-episode-guide, friendlyName=Season 2, Episode 10 · Episode guide</x:v>
      </x:c>
    </x:row>
    <x:row r="61" s="23" customFormat="1" ht="36" customHeight="1">
      <x:c r="A61" s="28" t="b">
        <x:v>0</x:v>
      </x:c>
      <x:c r="B61" s="21" t="n">
        <x:v>55</x:v>
      </x:c>
      <x:c r="C61" s="14" t="inlineStr">
        <x:is>
          <x:t xml:space="preserve">Fall of the Jedi</x:t>
        </x:is>
      </x:c>
      <x:c r="D61" s="15" t="inlineStr">
        <x:is>
          <x:t xml:space="preserve">The Clone Wars: Lightsaber Lost</x:t>
        </x:is>
      </x:c>
      <x:c r="E61" s="16" t="inlineStr">
        <x:is>
          <x:t xml:space="preserve">Season 2, Episode 11</x:t>
        </x:is>
      </x:c>
      <x:c r="F61" s="15" t="inlineStr">
        <x:is>
          <x:t xml:space="preserve">Series aired October 3, 2008–May 4, 2020</x:t>
        </x:is>
      </x:c>
      <x:c r="G61" s="15" t="inlineStr">
        <x:is>
          <x:t xml:space="preserve">Canon</x:t>
        </x:is>
      </x:c>
      <x:c r="H61" s="15" t="inlineStr">
        <x:is>
          <x:t xml:space="preserve">Episode</x:t>
        </x:is>
      </x:c>
      <x:c r="I61" s="15" t="inlineStr">
        <x:is>
          <x:t xml:space="preserve">Disney+</x:t>
        </x:is>
      </x:c>
      <x:c r="J61" s="18" t="e">
        <x:f>HYPERLINK("https://www.disneyplus.com/video/07c0124a-5234-4c58-a2f0-79508e3b14b6?cid=DTCI-Synergy-DDN-Site-Acquisition-StarWars-US-StarWars-StarWarsTheCloneWars-EN-BlogArticleEmbed-TCWChronological_StreamOnDisneyPlusCTA-NA","Watch")</x:f>
        <x:v>HYPERLINK is not implemented. linkLocation=https://www.disneyplus.com/video/07c0124a-5234-4c58-a2f0-79508e3b14b6?cid=DTCI-Synergy-DDN-Site-Acquisition-StarWars-US-StarWars-StarWarsTheCloneWars-EN-BlogArticleEmbed-TCWChronological_StreamOnDisneyPlusCTA-NA, friendlyName=Watch</x:v>
      </x:c>
      <x:c r="K61" s="22" t="e">
        <x:f>HYPERLINK("https://www.starwars.com/tv-shows/clone-wars/lightsaber-lost-episode-guide","Season 2, Episode 11 · Episode guide")</x:f>
        <x:v>HYPERLINK is not implemented. linkLocation=https://www.starwars.com/tv-shows/clone-wars/lightsaber-lost-episode-guide, friendlyName=Season 2, Episode 11 · Episode guide</x:v>
      </x:c>
    </x:row>
    <x:row r="62" s="23" customFormat="1" ht="36" customHeight="1">
      <x:c r="A62" s="28" t="b">
        <x:v>0</x:v>
      </x:c>
      <x:c r="B62" s="21" t="n">
        <x:v>56</x:v>
      </x:c>
      <x:c r="C62" s="14" t="inlineStr">
        <x:is>
          <x:t xml:space="preserve">Fall of the Jedi</x:t>
        </x:is>
      </x:c>
      <x:c r="D62" s="15" t="inlineStr">
        <x:is>
          <x:t xml:space="preserve">The Clone Wars: The Mandalore Plot</x:t>
        </x:is>
      </x:c>
      <x:c r="E62" s="16" t="inlineStr">
        <x:is>
          <x:t xml:space="preserve">Season 2, Episode 12</x:t>
        </x:is>
      </x:c>
      <x:c r="F62" s="15" t="inlineStr">
        <x:is>
          <x:t xml:space="preserve">Series aired October 3, 2008–May 4, 2020</x:t>
        </x:is>
      </x:c>
      <x:c r="G62" s="15" t="inlineStr">
        <x:is>
          <x:t xml:space="preserve">Canon</x:t>
        </x:is>
      </x:c>
      <x:c r="H62" s="15" t="inlineStr">
        <x:is>
          <x:t xml:space="preserve">Episode</x:t>
        </x:is>
      </x:c>
      <x:c r="I62" s="15" t="inlineStr">
        <x:is>
          <x:t xml:space="preserve">Disney+</x:t>
        </x:is>
      </x:c>
      <x:c r="J62" s="18" t="e">
        <x:f>HYPERLINK("https://www.disneyplus.com/video/91d2a7e2-8eb1-411d-941e-4bd8babe4e55?cid=DTCI-Synergy-DDN-Site-Acquisition-StarWars-US-StarWars-StarWarsTheCloneWars-EN-BlogArticleEmbed-TCWChronological_StreamOnDisneyPlusCTA-NA","Watch")</x:f>
        <x:v>HYPERLINK is not implemented. linkLocation=https://www.disneyplus.com/video/91d2a7e2-8eb1-411d-941e-4bd8babe4e55?cid=DTCI-Synergy-DDN-Site-Acquisition-StarWars-US-StarWars-StarWarsTheCloneWars-EN-BlogArticleEmbed-TCWChronological_StreamOnDisneyPlusCTA-NA, friendlyName=Watch</x:v>
      </x:c>
      <x:c r="K62" s="22" t="e">
        <x:f>HYPERLINK("https://www.starwars.com/tv-shows/clone-wars/the-mandalore-plot-episode-guide","Season 2, Episode 12 · Episode guide")</x:f>
        <x:v>HYPERLINK is not implemented. linkLocation=https://www.starwars.com/tv-shows/clone-wars/the-mandalore-plot-episode-guide, friendlyName=Season 2, Episode 12 · Episode guide</x:v>
      </x:c>
    </x:row>
    <x:row r="63" s="23" customFormat="1" ht="36" customHeight="1">
      <x:c r="A63" s="28" t="b">
        <x:v>0</x:v>
      </x:c>
      <x:c r="B63" s="21" t="n">
        <x:v>57</x:v>
      </x:c>
      <x:c r="C63" s="14" t="inlineStr">
        <x:is>
          <x:t xml:space="preserve">Fall of the Jedi</x:t>
        </x:is>
      </x:c>
      <x:c r="D63" s="15" t="inlineStr">
        <x:is>
          <x:t xml:space="preserve">The Clone Wars: Voyage of Temptation</x:t>
        </x:is>
      </x:c>
      <x:c r="E63" s="16" t="inlineStr">
        <x:is>
          <x:t xml:space="preserve">Season 2, Episode 13</x:t>
        </x:is>
      </x:c>
      <x:c r="F63" s="15" t="inlineStr">
        <x:is>
          <x:t xml:space="preserve">Series aired October 3, 2008–May 4, 2020</x:t>
        </x:is>
      </x:c>
      <x:c r="G63" s="15" t="inlineStr">
        <x:is>
          <x:t xml:space="preserve">Canon</x:t>
        </x:is>
      </x:c>
      <x:c r="H63" s="15" t="inlineStr">
        <x:is>
          <x:t xml:space="preserve">Episode</x:t>
        </x:is>
      </x:c>
      <x:c r="I63" s="15" t="inlineStr">
        <x:is>
          <x:t xml:space="preserve">Disney+</x:t>
        </x:is>
      </x:c>
      <x:c r="J63" s="18" t="e">
        <x:f>HYPERLINK("https://www.disneyplus.com/video/9d2c4240-5a2e-4f2a-ab88-628a5dc68540?cid=DTCI-Synergy-DDN-Site-Acquisition-StarWars-US-StarWars-StarWarsTheCloneWars-EN-BlogArticleEmbed-TCWChronological_StreamOnDisneyPlusCTA-NA","Watch")</x:f>
        <x:v>HYPERLINK is not implemented. linkLocation=https://www.disneyplus.com/video/9d2c4240-5a2e-4f2a-ab88-628a5dc68540?cid=DTCI-Synergy-DDN-Site-Acquisition-StarWars-US-StarWars-StarWarsTheCloneWars-EN-BlogArticleEmbed-TCWChronological_StreamOnDisneyPlusCTA-NA, friendlyName=Watch</x:v>
      </x:c>
      <x:c r="K63" s="22" t="e">
        <x:f>HYPERLINK("https://www.starwars.com/tv-shows/clone-wars/voyage-of-temptation-episode-guide","Season 2, Episode 13 · Episode guide")</x:f>
        <x:v>HYPERLINK is not implemented. linkLocation=https://www.starwars.com/tv-shows/clone-wars/voyage-of-temptation-episode-guide, friendlyName=Season 2, Episode 13 · Episode guide</x:v>
      </x:c>
    </x:row>
    <x:row r="64" s="23" customFormat="1" ht="36" customHeight="1">
      <x:c r="A64" s="28" t="b">
        <x:v>0</x:v>
      </x:c>
      <x:c r="B64" s="21" t="n">
        <x:v>58</x:v>
      </x:c>
      <x:c r="C64" s="14" t="inlineStr">
        <x:is>
          <x:t xml:space="preserve">Fall of the Jedi</x:t>
        </x:is>
      </x:c>
      <x:c r="D64" s="15" t="inlineStr">
        <x:is>
          <x:t xml:space="preserve">The Clone Wars: Duchess of Mandalore</x:t>
        </x:is>
      </x:c>
      <x:c r="E64" s="16" t="inlineStr">
        <x:is>
          <x:t xml:space="preserve">Season 2, Episode 14</x:t>
        </x:is>
      </x:c>
      <x:c r="F64" s="15" t="inlineStr">
        <x:is>
          <x:t xml:space="preserve">Series aired October 3, 2008–May 4, 2020</x:t>
        </x:is>
      </x:c>
      <x:c r="G64" s="15" t="inlineStr">
        <x:is>
          <x:t xml:space="preserve">Canon</x:t>
        </x:is>
      </x:c>
      <x:c r="H64" s="15" t="inlineStr">
        <x:is>
          <x:t xml:space="preserve">Episode</x:t>
        </x:is>
      </x:c>
      <x:c r="I64" s="15" t="inlineStr">
        <x:is>
          <x:t xml:space="preserve">Disney+</x:t>
        </x:is>
      </x:c>
      <x:c r="J64" s="18" t="e">
        <x:f>HYPERLINK("https://www.disneyplus.com/video/9aedb852-9abb-4c59-95c3-58f1bfb0cef6?cid=DTCI-Synergy-DDN-Site-Acquisition-StarWars-US-StarWars-StarWarsTheCloneWars-EN-BlogArticleEmbed-TCWChronological_StreamOnDisneyPlusCTA-NA","Watch")</x:f>
        <x:v>HYPERLINK is not implemented. linkLocation=https://www.disneyplus.com/video/9aedb852-9abb-4c59-95c3-58f1bfb0cef6?cid=DTCI-Synergy-DDN-Site-Acquisition-StarWars-US-StarWars-StarWarsTheCloneWars-EN-BlogArticleEmbed-TCWChronological_StreamOnDisneyPlusCTA-NA, friendlyName=Watch</x:v>
      </x:c>
      <x:c r="K64" s="22" t="e">
        <x:f>HYPERLINK("https://www.starwars.com/tv-shows/clone-wars/duchess-of-mandalore-episode-guide","Season 2, Episode 14 · Episode guide")</x:f>
        <x:v>HYPERLINK is not implemented. linkLocation=https://www.starwars.com/tv-shows/clone-wars/duchess-of-mandalore-episode-guide, friendlyName=Season 2, Episode 14 · Episode guide</x:v>
      </x:c>
    </x:row>
    <x:row r="65" s="23" customFormat="1" ht="36" customHeight="1">
      <x:c r="A65" s="28" t="b">
        <x:v>0</x:v>
      </x:c>
      <x:c r="B65" s="21" t="n">
        <x:v>59</x:v>
      </x:c>
      <x:c r="C65" s="14" t="inlineStr">
        <x:is>
          <x:t xml:space="preserve">Fall of the Jedi</x:t>
        </x:is>
      </x:c>
      <x:c r="D65" s="15" t="inlineStr">
        <x:is>
          <x:t xml:space="preserve">The Clone Wars: Death Trap</x:t>
        </x:is>
      </x:c>
      <x:c r="E65" s="16" t="inlineStr">
        <x:is>
          <x:t xml:space="preserve">Season 2, Episode 20</x:t>
        </x:is>
      </x:c>
      <x:c r="F65" s="15" t="inlineStr">
        <x:is>
          <x:t xml:space="preserve">Series aired October 3, 2008–May 4, 2020</x:t>
        </x:is>
      </x:c>
      <x:c r="G65" s="15" t="inlineStr">
        <x:is>
          <x:t xml:space="preserve">Canon</x:t>
        </x:is>
      </x:c>
      <x:c r="H65" s="15" t="inlineStr">
        <x:is>
          <x:t xml:space="preserve">Episode</x:t>
        </x:is>
      </x:c>
      <x:c r="I65" s="15" t="inlineStr">
        <x:is>
          <x:t xml:space="preserve">Disney+</x:t>
        </x:is>
      </x:c>
      <x:c r="J65" s="18" t="e">
        <x:f>HYPERLINK("https://www.disneyplus.com/video/c60abd64-34bd-4141-ab53-3a265a929a7b?cid=DTCI-Synergy-DDN-Site-Acquisition-StarWars-US-StarWars-StarWarsTheCloneWars-EN-BlogArticleEmbed-TCWChronological_StreamOnDisneyPlusCTA-NA","Watch")</x:f>
        <x:v>HYPERLINK is not implemented. linkLocation=https://www.disneyplus.com/video/c60abd64-34bd-4141-ab53-3a265a929a7b?cid=DTCI-Synergy-DDN-Site-Acquisition-StarWars-US-StarWars-StarWarsTheCloneWars-EN-BlogArticleEmbed-TCWChronological_StreamOnDisneyPlusCTA-NA, friendlyName=Watch</x:v>
      </x:c>
      <x:c r="K65" s="22" t="e">
        <x:f>HYPERLINK("https://www.starwars.com/series/clone-wars/death-trap-episode-guide","Season 2, Episode 20 · Episode guide")</x:f>
        <x:v>HYPERLINK is not implemented. linkLocation=https://www.starwars.com/series/clone-wars/death-trap-episode-guide, friendlyName=Season 2, Episode 20 · Episode guide</x:v>
      </x:c>
    </x:row>
    <x:row r="66" s="23" customFormat="1" ht="36" customHeight="1">
      <x:c r="A66" s="28" t="b">
        <x:v>0</x:v>
      </x:c>
      <x:c r="B66" s="21" t="n">
        <x:v>60</x:v>
      </x:c>
      <x:c r="C66" s="14" t="inlineStr">
        <x:is>
          <x:t xml:space="preserve">Fall of the Jedi</x:t>
        </x:is>
      </x:c>
      <x:c r="D66" s="15" t="inlineStr">
        <x:is>
          <x:t xml:space="preserve">The Clone Wars: R2 Come Home</x:t>
        </x:is>
      </x:c>
      <x:c r="E66" s="16" t="inlineStr">
        <x:is>
          <x:t xml:space="preserve">Season 2, Episode 21</x:t>
        </x:is>
      </x:c>
      <x:c r="F66" s="15" t="inlineStr">
        <x:is>
          <x:t xml:space="preserve">Series aired October 3, 2008–May 4, 2020</x:t>
        </x:is>
      </x:c>
      <x:c r="G66" s="15" t="inlineStr">
        <x:is>
          <x:t xml:space="preserve">Canon</x:t>
        </x:is>
      </x:c>
      <x:c r="H66" s="15" t="inlineStr">
        <x:is>
          <x:t xml:space="preserve">Episode</x:t>
        </x:is>
      </x:c>
      <x:c r="I66" s="15" t="inlineStr">
        <x:is>
          <x:t xml:space="preserve">Disney+</x:t>
        </x:is>
      </x:c>
      <x:c r="J66" s="18" t="e">
        <x:f>HYPERLINK("https://www.disneyplus.com/video/28034e35-c413-4219-8072-444cef55bd64?cid=DTCI-Synergy-DDN-Site-Acquisition-StarWars-US-StarWars-StarWarsTheCloneWars-EN-BlogArticleEmbed-TCWChronological_StreamOnDisneyPlusCTA-NA","Watch")</x:f>
        <x:v>HYPERLINK is not implemented. linkLocation=https://www.disneyplus.com/video/28034e35-c413-4219-8072-444cef55bd64?cid=DTCI-Synergy-DDN-Site-Acquisition-StarWars-US-StarWars-StarWarsTheCloneWars-EN-BlogArticleEmbed-TCWChronological_StreamOnDisneyPlusCTA-NA, friendlyName=Watch</x:v>
      </x:c>
      <x:c r="K66" s="22" t="e">
        <x:f>HYPERLINK("https://www.starwars.com/tv-shows/clone-wars/r2-come-home-episode-guide","Season 2, Episode 21 · Episode guide")</x:f>
        <x:v>HYPERLINK is not implemented. linkLocation=https://www.starwars.com/tv-shows/clone-wars/r2-come-home-episode-guide, friendlyName=Season 2, Episode 21 · Episode guide</x:v>
      </x:c>
    </x:row>
    <x:row r="67" s="23" customFormat="1" ht="36" customHeight="1">
      <x:c r="A67" s="28" t="b">
        <x:v>0</x:v>
      </x:c>
      <x:c r="B67" s="21" t="n">
        <x:v>61</x:v>
      </x:c>
      <x:c r="C67" s="14" t="inlineStr">
        <x:is>
          <x:t xml:space="preserve">Fall of the Jedi</x:t>
        </x:is>
      </x:c>
      <x:c r="D67" s="15" t="inlineStr">
        <x:is>
          <x:t xml:space="preserve">The Clone Wars: Lethal Trackdown</x:t>
        </x:is>
      </x:c>
      <x:c r="E67" s="16" t="inlineStr">
        <x:is>
          <x:t xml:space="preserve">Season 2, Episode 22</x:t>
        </x:is>
      </x:c>
      <x:c r="F67" s="15" t="inlineStr">
        <x:is>
          <x:t xml:space="preserve">Series aired October 3, 2008–May 4, 2020</x:t>
        </x:is>
      </x:c>
      <x:c r="G67" s="15" t="inlineStr">
        <x:is>
          <x:t xml:space="preserve">Canon</x:t>
        </x:is>
      </x:c>
      <x:c r="H67" s="15" t="inlineStr">
        <x:is>
          <x:t xml:space="preserve">Episode</x:t>
        </x:is>
      </x:c>
      <x:c r="I67" s="15" t="inlineStr">
        <x:is>
          <x:t xml:space="preserve">Disney+</x:t>
        </x:is>
      </x:c>
      <x:c r="J67" s="18" t="e">
        <x:f>HYPERLINK("https://www.disneyplus.com/video/eccba821-6a8a-4007-8ea2-1995ffe5637d?cid=DTCI-Synergy-DDN-Site-Acquisition-StarWars-US-StarWars-StarWarsTheCloneWars-EN-BlogArticleEmbed-TCWChronological_StreamOnDisneyPlusCTA-NA","Watch")</x:f>
        <x:v>HYPERLINK is not implemented. linkLocation=https://www.disneyplus.com/video/eccba821-6a8a-4007-8ea2-1995ffe5637d?cid=DTCI-Synergy-DDN-Site-Acquisition-StarWars-US-StarWars-StarWarsTheCloneWars-EN-BlogArticleEmbed-TCWChronological_StreamOnDisneyPlusCTA-NA, friendlyName=Watch</x:v>
      </x:c>
      <x:c r="K67" s="22" t="e">
        <x:f>HYPERLINK("https://www.starwars.com/tv-shows/clone-wars/lethal-trackdown-episode-guide","Season 2, Episode 22 · Episode guide")</x:f>
        <x:v>HYPERLINK is not implemented. linkLocation=https://www.starwars.com/tv-shows/clone-wars/lethal-trackdown-episode-guide, friendlyName=Season 2, Episode 22 · Episode guide</x:v>
      </x:c>
    </x:row>
    <x:row r="68" s="23" customFormat="1" ht="36" customHeight="1">
      <x:c r="A68" s="28" t="b">
        <x:v>0</x:v>
      </x:c>
      <x:c r="B68" s="21" t="n">
        <x:v>62</x:v>
      </x:c>
      <x:c r="C68" s="14" t="inlineStr">
        <x:is>
          <x:t xml:space="preserve">Fall of the Jedi</x:t>
        </x:is>
      </x:c>
      <x:c r="D68" s="15" t="inlineStr">
        <x:is>
          <x:t xml:space="preserve">The Clone Wars: Corruption</x:t>
        </x:is>
      </x:c>
      <x:c r="E68" s="16" t="inlineStr">
        <x:is>
          <x:t xml:space="preserve">Season 3, Episode 5</x:t>
        </x:is>
      </x:c>
      <x:c r="F68" s="15" t="inlineStr">
        <x:is>
          <x:t xml:space="preserve">Series aired October 3, 2008–May 4, 2020</x:t>
        </x:is>
      </x:c>
      <x:c r="G68" s="15" t="inlineStr">
        <x:is>
          <x:t xml:space="preserve">Canon</x:t>
        </x:is>
      </x:c>
      <x:c r="H68" s="15" t="inlineStr">
        <x:is>
          <x:t xml:space="preserve">Episode</x:t>
        </x:is>
      </x:c>
      <x:c r="I68" s="15" t="inlineStr">
        <x:is>
          <x:t xml:space="preserve">Disney+</x:t>
        </x:is>
      </x:c>
      <x:c r="J68" s="18" t="e">
        <x:f>HYPERLINK("https://www.disneyplus.com/video/3ce7a07a-460a-4e02-9fe9-e7240bff2b01?cid=DTCI-Synergy-DDN-Site-Acquisition-StarWars-US-StarWars-StarWarsTheCloneWars-EN-BlogArticleEmbed-TCWChronological_StreamOnDisneyPlusCTA-NA","Watch")</x:f>
        <x:v>HYPERLINK is not implemented. linkLocation=https://www.disneyplus.com/video/3ce7a07a-460a-4e02-9fe9-e7240bff2b01?cid=DTCI-Synergy-DDN-Site-Acquisition-StarWars-US-StarWars-StarWarsTheCloneWars-EN-BlogArticleEmbed-TCWChronological_StreamOnDisneyPlusCTA-NA, friendlyName=Watch</x:v>
      </x:c>
      <x:c r="K68" s="22" t="e">
        <x:f>HYPERLINK("https://www.starwars.com/tv-shows/clone-wars/corruption-episode-guide","Season 3, Episode 5 · Episode guide")</x:f>
        <x:v>HYPERLINK is not implemented. linkLocation=https://www.starwars.com/tv-shows/clone-wars/corruption-episode-guide, friendlyName=Season 3, Episode 5 · Episode guide</x:v>
      </x:c>
    </x:row>
    <x:row r="69" s="23" customFormat="1" ht="36" customHeight="1">
      <x:c r="A69" s="28" t="b">
        <x:v>0</x:v>
      </x:c>
      <x:c r="B69" s="21" t="n">
        <x:v>63</x:v>
      </x:c>
      <x:c r="C69" s="14" t="inlineStr">
        <x:is>
          <x:t xml:space="preserve">Fall of the Jedi</x:t>
        </x:is>
      </x:c>
      <x:c r="D69" s="15" t="inlineStr">
        <x:is>
          <x:t xml:space="preserve">The Clone Wars: The Academy</x:t>
        </x:is>
      </x:c>
      <x:c r="E69" s="16" t="inlineStr">
        <x:is>
          <x:t xml:space="preserve">Season 3, Episode 6</x:t>
        </x:is>
      </x:c>
      <x:c r="F69" s="15" t="inlineStr">
        <x:is>
          <x:t xml:space="preserve">Series aired October 3, 2008–May 4, 2020</x:t>
        </x:is>
      </x:c>
      <x:c r="G69" s="15" t="inlineStr">
        <x:is>
          <x:t xml:space="preserve">Canon</x:t>
        </x:is>
      </x:c>
      <x:c r="H69" s="15" t="inlineStr">
        <x:is>
          <x:t xml:space="preserve">Episode</x:t>
        </x:is>
      </x:c>
      <x:c r="I69" s="15" t="inlineStr">
        <x:is>
          <x:t xml:space="preserve">Disney+</x:t>
        </x:is>
      </x:c>
      <x:c r="J69" s="18" t="e">
        <x:f>HYPERLINK("https://www.disneyplus.com/video/f464497e-a4e5-44db-922e-d44d1a70fd73?cid=DTCI-Synergy-DDN-Site-Acquisition-StarWars-US-StarWars-StarWarsTheCloneWars-EN-BlogArticleEmbed-TCWChronological_StreamOnDisneyPlusCTA-NA","Watch")</x:f>
        <x:v>HYPERLINK is not implemented. linkLocation=https://www.disneyplus.com/video/f464497e-a4e5-44db-922e-d44d1a70fd73?cid=DTCI-Synergy-DDN-Site-Acquisition-StarWars-US-StarWars-StarWarsTheCloneWars-EN-BlogArticleEmbed-TCWChronological_StreamOnDisneyPlusCTA-NA, friendlyName=Watch</x:v>
      </x:c>
      <x:c r="K69" s="22" t="e">
        <x:f>HYPERLINK("https://www.starwars.com/tv-shows/clone-wars/the-academy-episode-guide","Season 3, Episode 6 · Episode guide")</x:f>
        <x:v>HYPERLINK is not implemented. linkLocation=https://www.starwars.com/tv-shows/clone-wars/the-academy-episode-guide, friendlyName=Season 3, Episode 6 · Episode guide</x:v>
      </x:c>
    </x:row>
    <x:row r="70" s="23" customFormat="1" ht="36" customHeight="1">
      <x:c r="A70" s="28" t="b">
        <x:v>0</x:v>
      </x:c>
      <x:c r="B70" s="21" t="n">
        <x:v>64</x:v>
      </x:c>
      <x:c r="C70" s="14" t="inlineStr">
        <x:is>
          <x:t xml:space="preserve">Fall of the Jedi</x:t>
        </x:is>
      </x:c>
      <x:c r="D70" s="15" t="inlineStr">
        <x:is>
          <x:t xml:space="preserve">The Clone Wars: Assassin</x:t>
        </x:is>
      </x:c>
      <x:c r="E70" s="16" t="inlineStr">
        <x:is>
          <x:t xml:space="preserve">Season 3, Episode 7</x:t>
        </x:is>
      </x:c>
      <x:c r="F70" s="15" t="inlineStr">
        <x:is>
          <x:t xml:space="preserve">Series aired October 3, 2008–May 4, 2020</x:t>
        </x:is>
      </x:c>
      <x:c r="G70" s="15" t="inlineStr">
        <x:is>
          <x:t xml:space="preserve">Canon</x:t>
        </x:is>
      </x:c>
      <x:c r="H70" s="15" t="inlineStr">
        <x:is>
          <x:t xml:space="preserve">Episode</x:t>
        </x:is>
      </x:c>
      <x:c r="I70" s="15" t="inlineStr">
        <x:is>
          <x:t xml:space="preserve">Disney+</x:t>
        </x:is>
      </x:c>
      <x:c r="J70" s="18" t="e">
        <x:f>HYPERLINK("https://www.disneyplus.com/video/652f203c-8b9a-4b3f-981a-59915aa99cfb?cid=DTCI-Synergy-DDN-Site-Acquisition-StarWars-US-StarWars-StarWarsTheCloneWars-EN-BlogArticleEmbed-TCWChronological_StreamOnDisneyPlusCTA-NA","Watch")</x:f>
        <x:v>HYPERLINK is not implemented. linkLocation=https://www.disneyplus.com/video/652f203c-8b9a-4b3f-981a-59915aa99cfb?cid=DTCI-Synergy-DDN-Site-Acquisition-StarWars-US-StarWars-StarWarsTheCloneWars-EN-BlogArticleEmbed-TCWChronological_StreamOnDisneyPlusCTA-NA, friendlyName=Watch</x:v>
      </x:c>
      <x:c r="K70" s="22" t="e">
        <x:f>HYPERLINK("https://www.starwars.com/tv-shows/clone-wars/assassin-episode-guide","Season 3, Episode 7 · Episode guide")</x:f>
        <x:v>HYPERLINK is not implemented. linkLocation=https://www.starwars.com/tv-shows/clone-wars/assassin-episode-guide, friendlyName=Season 3, Episode 7 · Episode guide</x:v>
      </x:c>
    </x:row>
    <x:row r="71" s="23" customFormat="1" ht="36" customHeight="1">
      <x:c r="A71" s="28" t="b">
        <x:v>0</x:v>
      </x:c>
      <x:c r="B71" s="21" t="n">
        <x:v>65</x:v>
      </x:c>
      <x:c r="C71" s="14" t="inlineStr">
        <x:is>
          <x:t xml:space="preserve">Fall of the Jedi</x:t>
        </x:is>
      </x:c>
      <x:c r="D71" s="15" t="inlineStr">
        <x:is>
          <x:t xml:space="preserve">The Clone Wars: ARC Troopers</x:t>
        </x:is>
      </x:c>
      <x:c r="E71" s="16" t="inlineStr">
        <x:is>
          <x:t xml:space="preserve">Season 3, Episode 2</x:t>
        </x:is>
      </x:c>
      <x:c r="F71" s="15" t="inlineStr">
        <x:is>
          <x:t xml:space="preserve">Series aired October 3, 2008–May 4, 2020</x:t>
        </x:is>
      </x:c>
      <x:c r="G71" s="15" t="inlineStr">
        <x:is>
          <x:t xml:space="preserve">Canon</x:t>
        </x:is>
      </x:c>
      <x:c r="H71" s="15" t="inlineStr">
        <x:is>
          <x:t xml:space="preserve">Episode</x:t>
        </x:is>
      </x:c>
      <x:c r="I71" s="15" t="inlineStr">
        <x:is>
          <x:t xml:space="preserve">Disney+</x:t>
        </x:is>
      </x:c>
      <x:c r="J71" s="18" t="e">
        <x:f>HYPERLINK("https://www.disneyplus.com/video/6e2c8c2f-a7ce-49d5-ad90-88f4a97eb303?cid=DTCI-Synergy-DDN-Site-Acquisition-StarWars-US-StarWars-StarWarsTheCloneWars-EN-BlogArticleEmbed-TCWChronological_StreamOnDisneyPlusCTA-NA","Watch")</x:f>
        <x:v>HYPERLINK is not implemented. linkLocation=https://www.disneyplus.com/video/6e2c8c2f-a7ce-49d5-ad90-88f4a97eb303?cid=DTCI-Synergy-DDN-Site-Acquisition-StarWars-US-StarWars-StarWarsTheCloneWars-EN-BlogArticleEmbed-TCWChronological_StreamOnDisneyPlusCTA-NA, friendlyName=Watch</x:v>
      </x:c>
      <x:c r="K71" s="22" t="e">
        <x:f>HYPERLINK("https://www.starwars.com/tv-shows/clone-wars/arc-troopers-episode-guide","Season 3, Episode 2 · Episode guide")</x:f>
        <x:v>HYPERLINK is not implemented. linkLocation=https://www.starwars.com/tv-shows/clone-wars/arc-troopers-episode-guide, friendlyName=Season 3, Episode 2 · Episode guide</x:v>
      </x:c>
    </x:row>
    <x:row r="72" s="23" customFormat="1" ht="36" customHeight="1">
      <x:c r="A72" s="28" t="b">
        <x:v>0</x:v>
      </x:c>
      <x:c r="B72" s="21" t="n">
        <x:v>66</x:v>
      </x:c>
      <x:c r="C72" s="14" t="inlineStr">
        <x:is>
          <x:t xml:space="preserve">Fall of the Jedi</x:t>
        </x:is>
      </x:c>
      <x:c r="D72" s="15" t="inlineStr">
        <x:is>
          <x:t xml:space="preserve">The Clone Wars: Sphere of Influence</x:t>
        </x:is>
      </x:c>
      <x:c r="E72" s="16" t="inlineStr">
        <x:is>
          <x:t xml:space="preserve">Season 3, Episode 4</x:t>
        </x:is>
      </x:c>
      <x:c r="F72" s="15" t="inlineStr">
        <x:is>
          <x:t xml:space="preserve">Series aired October 3, 2008–May 4, 2020</x:t>
        </x:is>
      </x:c>
      <x:c r="G72" s="15" t="inlineStr">
        <x:is>
          <x:t xml:space="preserve">Canon</x:t>
        </x:is>
      </x:c>
      <x:c r="H72" s="15" t="inlineStr">
        <x:is>
          <x:t xml:space="preserve">Episode</x:t>
        </x:is>
      </x:c>
      <x:c r="I72" s="15" t="inlineStr">
        <x:is>
          <x:t xml:space="preserve">Disney+</x:t>
        </x:is>
      </x:c>
      <x:c r="J72" s="18" t="e">
        <x:f>HYPERLINK("https://www.disneyplus.com/video/b091b508-0880-4cb6-9d2b-24c2075acd52?cid=DTCI-Synergy-DDN-Site-Acquisition-StarWars-US-StarWars-StarWarsTheCloneWars-EN-BlogArticleEmbed-TCWChronological_StreamOnDisneyPlusCTA-NA","Watch")</x:f>
        <x:v>HYPERLINK is not implemented. linkLocation=https://www.disneyplus.com/video/b091b508-0880-4cb6-9d2b-24c2075acd52?cid=DTCI-Synergy-DDN-Site-Acquisition-StarWars-US-StarWars-StarWarsTheCloneWars-EN-BlogArticleEmbed-TCWChronological_StreamOnDisneyPlusCTA-NA, friendlyName=Watch</x:v>
      </x:c>
      <x:c r="K72" s="22" t="e">
        <x:f>HYPERLINK("https://www.starwars.com/tv-shows/clone-wars/sphere-of-influence-episode-guide","Season 3, Episode 4 · Episode guide")</x:f>
        <x:v>HYPERLINK is not implemented. linkLocation=https://www.starwars.com/tv-shows/clone-wars/sphere-of-influence-episode-guide, friendlyName=Season 3, Episode 4 · Episode guide</x:v>
      </x:c>
    </x:row>
    <x:row r="73" s="23" customFormat="1" ht="36" customHeight="1">
      <x:c r="A73" s="28" t="b">
        <x:v>0</x:v>
      </x:c>
      <x:c r="B73" s="21" t="n">
        <x:v>67</x:v>
      </x:c>
      <x:c r="C73" s="14" t="inlineStr">
        <x:is>
          <x:t xml:space="preserve">Fall of the Jedi</x:t>
        </x:is>
      </x:c>
      <x:c r="D73" s="15" t="inlineStr">
        <x:is>
          <x:t xml:space="preserve">The Clone Wars: Evil Plans</x:t>
        </x:is>
      </x:c>
      <x:c r="E73" s="16" t="inlineStr">
        <x:is>
          <x:t xml:space="preserve">Season 3, Episode 8</x:t>
        </x:is>
      </x:c>
      <x:c r="F73" s="15" t="inlineStr">
        <x:is>
          <x:t xml:space="preserve">Series aired October 3, 2008–May 4, 2020</x:t>
        </x:is>
      </x:c>
      <x:c r="G73" s="15" t="inlineStr">
        <x:is>
          <x:t xml:space="preserve">Canon</x:t>
        </x:is>
      </x:c>
      <x:c r="H73" s="15" t="inlineStr">
        <x:is>
          <x:t xml:space="preserve">Episode</x:t>
        </x:is>
      </x:c>
      <x:c r="I73" s="15" t="inlineStr">
        <x:is>
          <x:t xml:space="preserve">Disney+</x:t>
        </x:is>
      </x:c>
      <x:c r="J73" s="18" t="e">
        <x:f>HYPERLINK("https://www.disneyplus.com/video/c69bad71-ab68-4c2c-8da7-add1e929b6bd?cid=DTCI-Synergy-DDN-Site-Acquisition-StarWars-US-StarWars-StarWarsTheCloneWars-EN-BlogArticleEmbed-TCWChronological_StreamOnDisneyPlusCTA-NA","Watch")</x:f>
        <x:v>HYPERLINK is not implemented. linkLocation=https://www.disneyplus.com/video/c69bad71-ab68-4c2c-8da7-add1e929b6bd?cid=DTCI-Synergy-DDN-Site-Acquisition-StarWars-US-StarWars-StarWarsTheCloneWars-EN-BlogArticleEmbed-TCWChronological_StreamOnDisneyPlusCTA-NA, friendlyName=Watch</x:v>
      </x:c>
      <x:c r="K73" s="22" t="e">
        <x:f>HYPERLINK("https://www.starwars.com/tv-shows/clone-wars/evil-plans-episode-guide","Season 3, Episode 8 · Episode guide")</x:f>
        <x:v>HYPERLINK is not implemented. linkLocation=https://www.starwars.com/tv-shows/clone-wars/evil-plans-episode-guide, friendlyName=Season 3, Episode 8 · Episode guide</x:v>
      </x:c>
    </x:row>
    <x:row r="74" s="23" customFormat="1" ht="36" customHeight="1">
      <x:c r="A74" s="28" t="b">
        <x:v>0</x:v>
      </x:c>
      <x:c r="B74" s="21" t="n">
        <x:v>68</x:v>
      </x:c>
      <x:c r="C74" s="14" t="inlineStr">
        <x:is>
          <x:t xml:space="preserve">Fall of the Jedi</x:t>
        </x:is>
      </x:c>
      <x:c r="D74" s="15" t="inlineStr">
        <x:is>
          <x:t xml:space="preserve">The Clone Wars: Hostage Crisis</x:t>
        </x:is>
      </x:c>
      <x:c r="E74" s="16" t="inlineStr">
        <x:is>
          <x:t xml:space="preserve">Season 1, Episode 22</x:t>
        </x:is>
      </x:c>
      <x:c r="F74" s="15" t="inlineStr">
        <x:is>
          <x:t xml:space="preserve">Series aired October 3, 2008–May 4, 2020</x:t>
        </x:is>
      </x:c>
      <x:c r="G74" s="15" t="inlineStr">
        <x:is>
          <x:t xml:space="preserve">Canon</x:t>
        </x:is>
      </x:c>
      <x:c r="H74" s="15" t="inlineStr">
        <x:is>
          <x:t xml:space="preserve">Episode</x:t>
        </x:is>
      </x:c>
      <x:c r="I74" s="15" t="inlineStr">
        <x:is>
          <x:t xml:space="preserve">Disney+</x:t>
        </x:is>
      </x:c>
      <x:c r="J74" s="18" t="e">
        <x:f>HYPERLINK("https://www.disneyplus.com/video/fd88476e-ab17-437e-94e3-7465b5adda40?cid=DTCI-Synergy-DDN-Site-Acquisition-StarWars-US-StarWars-StarWarsTheCloneWars-EN-BlogArticleEmbed-TCWChronological_StreamOnDisneyPlusCTA-NA","Watch")</x:f>
        <x:v>HYPERLINK is not implemented. linkLocation=https://www.disneyplus.com/video/fd88476e-ab17-437e-94e3-7465b5adda40?cid=DTCI-Synergy-DDN-Site-Acquisition-StarWars-US-StarWars-StarWarsTheCloneWars-EN-BlogArticleEmbed-TCWChronological_StreamOnDisneyPlusCTA-NA, friendlyName=Watch</x:v>
      </x:c>
      <x:c r="K74" s="22" t="e">
        <x:f>HYPERLINK("https://www.starwars.com/tv-shows/clone-wars/hostage-crisis-episode-guide","Season 1, Episode 22 · Episode guide")</x:f>
        <x:v>HYPERLINK is not implemented. linkLocation=https://www.starwars.com/tv-shows/clone-wars/hostage-crisis-episode-guide, friendlyName=Season 1, Episode 22 · Episode guide</x:v>
      </x:c>
    </x:row>
    <x:row r="75" s="23" customFormat="1" ht="36" customHeight="1">
      <x:c r="A75" s="28" t="b">
        <x:v>0</x:v>
      </x:c>
      <x:c r="B75" s="21" t="n">
        <x:v>69</x:v>
      </x:c>
      <x:c r="C75" s="14" t="inlineStr">
        <x:is>
          <x:t xml:space="preserve">Fall of the Jedi</x:t>
        </x:is>
      </x:c>
      <x:c r="D75" s="15" t="inlineStr">
        <x:is>
          <x:t xml:space="preserve">The Clone Wars: Hunt for Ziro</x:t>
        </x:is>
      </x:c>
      <x:c r="E75" s="16" t="inlineStr">
        <x:is>
          <x:t xml:space="preserve">Season 3, Episode 9</x:t>
        </x:is>
      </x:c>
      <x:c r="F75" s="15" t="inlineStr">
        <x:is>
          <x:t xml:space="preserve">Series aired October 3, 2008–May 4, 2020</x:t>
        </x:is>
      </x:c>
      <x:c r="G75" s="15" t="inlineStr">
        <x:is>
          <x:t xml:space="preserve">Canon</x:t>
        </x:is>
      </x:c>
      <x:c r="H75" s="15" t="inlineStr">
        <x:is>
          <x:t xml:space="preserve">Episode</x:t>
        </x:is>
      </x:c>
      <x:c r="I75" s="15" t="inlineStr">
        <x:is>
          <x:t xml:space="preserve">Disney+</x:t>
        </x:is>
      </x:c>
      <x:c r="J75" s="18" t="e">
        <x:f>HYPERLINK("https://www.disneyplus.com/video/b6d7ab23-6fa5-4311-973c-0eebb8e62133?cid=DTCI-Synergy-DDN-Site-Acquisition-StarWars-US-StarWars-StarWarsTheCloneWars-EN-BlogArticleEmbed-TCWChronological_StreamOnDisneyPlusCTA-NA","Watch")</x:f>
        <x:v>HYPERLINK is not implemented. linkLocation=https://www.disneyplus.com/video/b6d7ab23-6fa5-4311-973c-0eebb8e62133?cid=DTCI-Synergy-DDN-Site-Acquisition-StarWars-US-StarWars-StarWarsTheCloneWars-EN-BlogArticleEmbed-TCWChronological_StreamOnDisneyPlusCTA-NA, friendlyName=Watch</x:v>
      </x:c>
      <x:c r="K75" s="22" t="e">
        <x:f>HYPERLINK("https://www.starwars.com/tv-shows/clone-wars/hunt-for-ziro-episode-guide","Season 3, Episode 9 · Episode guide")</x:f>
        <x:v>HYPERLINK is not implemented. linkLocation=https://www.starwars.com/tv-shows/clone-wars/hunt-for-ziro-episode-guide, friendlyName=Season 3, Episode 9 · Episode guide</x:v>
      </x:c>
    </x:row>
    <x:row r="76" s="23" customFormat="1" ht="36" customHeight="1">
      <x:c r="A76" s="28" t="b">
        <x:v>0</x:v>
      </x:c>
      <x:c r="B76" s="21" t="n">
        <x:v>70</x:v>
      </x:c>
      <x:c r="C76" s="14" t="inlineStr">
        <x:is>
          <x:t xml:space="preserve">Fall of the Jedi</x:t>
        </x:is>
      </x:c>
      <x:c r="D76" s="15" t="inlineStr">
        <x:is>
          <x:t xml:space="preserve">The Clone Wars: Heroes on Both Sides</x:t>
        </x:is>
      </x:c>
      <x:c r="E76" s="16" t="inlineStr">
        <x:is>
          <x:t xml:space="preserve">Season 3, Episode 10</x:t>
        </x:is>
      </x:c>
      <x:c r="F76" s="15" t="inlineStr">
        <x:is>
          <x:t xml:space="preserve">Series aired October 3, 2008–May 4, 2020</x:t>
        </x:is>
      </x:c>
      <x:c r="G76" s="15" t="inlineStr">
        <x:is>
          <x:t xml:space="preserve">Canon</x:t>
        </x:is>
      </x:c>
      <x:c r="H76" s="15" t="inlineStr">
        <x:is>
          <x:t xml:space="preserve">Episode</x:t>
        </x:is>
      </x:c>
      <x:c r="I76" s="15" t="inlineStr">
        <x:is>
          <x:t xml:space="preserve">Disney+</x:t>
        </x:is>
      </x:c>
      <x:c r="J76" s="18" t="e">
        <x:f>HYPERLINK("https://www.disneyplus.com/video/1e012171-5147-461e-b42c-80ee6bed9c29?cid=DTCI-Synergy-DDN-Site-Acquisition-StarWars-US-StarWars-StarWarsTheCloneWars-EN-BlogArticleEmbed-TCWChronological_StreamOnDisneyPlusCTA-NA","Watch")</x:f>
        <x:v>HYPERLINK is not implemented. linkLocation=https://www.disneyplus.com/video/1e012171-5147-461e-b42c-80ee6bed9c29?cid=DTCI-Synergy-DDN-Site-Acquisition-StarWars-US-StarWars-StarWarsTheCloneWars-EN-BlogArticleEmbed-TCWChronological_StreamOnDisneyPlusCTA-NA, friendlyName=Watch</x:v>
      </x:c>
      <x:c r="K76" s="22" t="e">
        <x:f>HYPERLINK("https://www.starwars.com/tv-shows/clone-wars/heroes-on-both-sides-episode-guide","Season 3, Episode 10 · Episode guide")</x:f>
        <x:v>HYPERLINK is not implemented. linkLocation=https://www.starwars.com/tv-shows/clone-wars/heroes-on-both-sides-episode-guide, friendlyName=Season 3, Episode 10 · Episode guide</x:v>
      </x:c>
    </x:row>
    <x:row r="77" s="23" customFormat="1" ht="36" customHeight="1">
      <x:c r="A77" s="28" t="b">
        <x:v>0</x:v>
      </x:c>
      <x:c r="B77" s="21" t="n">
        <x:v>71</x:v>
      </x:c>
      <x:c r="C77" s="14" t="inlineStr">
        <x:is>
          <x:t xml:space="preserve">Fall of the Jedi</x:t>
        </x:is>
      </x:c>
      <x:c r="D77" s="15" t="inlineStr">
        <x:is>
          <x:t xml:space="preserve">The Clone Wars: Pursuit of Peace</x:t>
        </x:is>
      </x:c>
      <x:c r="E77" s="16" t="inlineStr">
        <x:is>
          <x:t xml:space="preserve">Season 3, Episode 11</x:t>
        </x:is>
      </x:c>
      <x:c r="F77" s="15" t="inlineStr">
        <x:is>
          <x:t xml:space="preserve">Series aired October 3, 2008–May 4, 2020</x:t>
        </x:is>
      </x:c>
      <x:c r="G77" s="15" t="inlineStr">
        <x:is>
          <x:t xml:space="preserve">Canon</x:t>
        </x:is>
      </x:c>
      <x:c r="H77" s="15" t="inlineStr">
        <x:is>
          <x:t xml:space="preserve">Episode</x:t>
        </x:is>
      </x:c>
      <x:c r="I77" s="15" t="inlineStr">
        <x:is>
          <x:t xml:space="preserve">Disney+</x:t>
        </x:is>
      </x:c>
      <x:c r="J77" s="18" t="e">
        <x:f>HYPERLINK("https://www.disneyplus.com/video/ac44bc69-553d-4c58-83ab-e621966d35e4?cid=DTCI-Synergy-DDN-Site-Acquisition-StarWars-US-StarWars-StarWarsTheCloneWars-EN-BlogArticleEmbed-TCWChronological_StreamOnDisneyPlusCTA-NA","Watch")</x:f>
        <x:v>HYPERLINK is not implemented. linkLocation=https://www.disneyplus.com/video/ac44bc69-553d-4c58-83ab-e621966d35e4?cid=DTCI-Synergy-DDN-Site-Acquisition-StarWars-US-StarWars-StarWarsTheCloneWars-EN-BlogArticleEmbed-TCWChronological_StreamOnDisneyPlusCTA-NA, friendlyName=Watch</x:v>
      </x:c>
      <x:c r="K77" s="22" t="e">
        <x:f>HYPERLINK("https://www.starwars.com/tv-shows/clone-wars/pursuit-of-peace-episode-guide","Season 3, Episode 11 · Episode guide")</x:f>
        <x:v>HYPERLINK is not implemented. linkLocation=https://www.starwars.com/tv-shows/clone-wars/pursuit-of-peace-episode-guide, friendlyName=Season 3, Episode 11 · Episode guide</x:v>
      </x:c>
    </x:row>
    <x:row r="78" s="23" customFormat="1" ht="36" customHeight="1">
      <x:c r="A78" s="28" t="b">
        <x:v>0</x:v>
      </x:c>
      <x:c r="B78" s="21" t="n">
        <x:v>72</x:v>
      </x:c>
      <x:c r="C78" s="14" t="inlineStr">
        <x:is>
          <x:t xml:space="preserve">Fall of the Jedi</x:t>
        </x:is>
      </x:c>
      <x:c r="D78" s="15" t="inlineStr">
        <x:is>
          <x:t xml:space="preserve">The Clone Wars: Senate Murders</x:t>
        </x:is>
      </x:c>
      <x:c r="E78" s="16" t="inlineStr">
        <x:is>
          <x:t xml:space="preserve">Season 2, Episode 15</x:t>
        </x:is>
      </x:c>
      <x:c r="F78" s="15" t="inlineStr">
        <x:is>
          <x:t xml:space="preserve">Series aired October 3, 2008–May 4, 2020</x:t>
        </x:is>
      </x:c>
      <x:c r="G78" s="15" t="inlineStr">
        <x:is>
          <x:t xml:space="preserve">Canon</x:t>
        </x:is>
      </x:c>
      <x:c r="H78" s="15" t="inlineStr">
        <x:is>
          <x:t xml:space="preserve">Episode</x:t>
        </x:is>
      </x:c>
      <x:c r="I78" s="15" t="inlineStr">
        <x:is>
          <x:t xml:space="preserve">Disney+</x:t>
        </x:is>
      </x:c>
      <x:c r="J78" s="18" t="e">
        <x:f>HYPERLINK("https://www.disneyplus.com/video/af719ca6-3fae-435e-a2f5-07d5a3f6499d?cid=DTCI-Synergy-DDN-Site-Acquisition-StarWars-US-StarWars-StarWarsTheCloneWars-EN-BlogArticleEmbed-TCWChronological_StreamOnDisneyPlusCTA-NA","Watch")</x:f>
        <x:v>HYPERLINK is not implemented. linkLocation=https://www.disneyplus.com/video/af719ca6-3fae-435e-a2f5-07d5a3f6499d?cid=DTCI-Synergy-DDN-Site-Acquisition-StarWars-US-StarWars-StarWarsTheCloneWars-EN-BlogArticleEmbed-TCWChronological_StreamOnDisneyPlusCTA-NA, friendlyName=Watch</x:v>
      </x:c>
      <x:c r="K78" s="22" t="e">
        <x:f>HYPERLINK("https://www.starwars.com/tv-shows/clone-wars/senate-murders-episode-guide","Season 2, Episode 15 · Episode guide")</x:f>
        <x:v>HYPERLINK is not implemented. linkLocation=https://www.starwars.com/tv-shows/clone-wars/senate-murders-episode-guide, friendlyName=Season 2, Episode 15 · Episode guide</x:v>
      </x:c>
    </x:row>
    <x:row r="79" s="23" customFormat="1" ht="36" customHeight="1">
      <x:c r="A79" s="28" t="b">
        <x:v>0</x:v>
      </x:c>
      <x:c r="B79" s="21" t="n">
        <x:v>73</x:v>
      </x:c>
      <x:c r="C79" s="14" t="inlineStr">
        <x:is>
          <x:t xml:space="preserve">Fall of the Jedi</x:t>
        </x:is>
      </x:c>
      <x:c r="D79" s="15" t="inlineStr">
        <x:is>
          <x:t xml:space="preserve">The Clone Wars: Nightsisters</x:t>
        </x:is>
      </x:c>
      <x:c r="E79" s="16" t="inlineStr">
        <x:is>
          <x:t xml:space="preserve">Season 3, Episode 12</x:t>
        </x:is>
      </x:c>
      <x:c r="F79" s="15" t="inlineStr">
        <x:is>
          <x:t xml:space="preserve">Series aired October 3, 2008–May 4, 2020</x:t>
        </x:is>
      </x:c>
      <x:c r="G79" s="15" t="inlineStr">
        <x:is>
          <x:t xml:space="preserve">Canon</x:t>
        </x:is>
      </x:c>
      <x:c r="H79" s="15" t="inlineStr">
        <x:is>
          <x:t xml:space="preserve">Episode</x:t>
        </x:is>
      </x:c>
      <x:c r="I79" s="15" t="inlineStr">
        <x:is>
          <x:t xml:space="preserve">Disney+</x:t>
        </x:is>
      </x:c>
      <x:c r="J79" s="18" t="e">
        <x:f>HYPERLINK("https://www.disneyplus.com/video/7efbccb3-2bc5-4271-8e20-ab78c9efbccc?cid=DTCI-Synergy-DDN-Site-Acquisition-StarWars-US-StarWars-StarWarsTheCloneWars-EN-BlogArticleEmbed-TCWChronological_StreamOnDisneyPlusCTA-NA","Watch")</x:f>
        <x:v>HYPERLINK is not implemented. linkLocation=https://www.disneyplus.com/video/7efbccb3-2bc5-4271-8e20-ab78c9efbccc?cid=DTCI-Synergy-DDN-Site-Acquisition-StarWars-US-StarWars-StarWarsTheCloneWars-EN-BlogArticleEmbed-TCWChronological_StreamOnDisneyPlusCTA-NA, friendlyName=Watch</x:v>
      </x:c>
      <x:c r="K79" s="22" t="e">
        <x:f>HYPERLINK("https://www.starwars.com/tv-shows/clone-wars/nightsisters-episode-guide","Season 3, Episode 12 · Episode guide")</x:f>
        <x:v>HYPERLINK is not implemented. linkLocation=https://www.starwars.com/tv-shows/clone-wars/nightsisters-episode-guide, friendlyName=Season 3, Episode 12 · Episode guide</x:v>
      </x:c>
    </x:row>
    <x:row r="80" s="23" customFormat="1" ht="36" customHeight="1">
      <x:c r="A80" s="28" t="b">
        <x:v>0</x:v>
      </x:c>
      <x:c r="B80" s="21" t="n">
        <x:v>74</x:v>
      </x:c>
      <x:c r="C80" s="14" t="inlineStr">
        <x:is>
          <x:t xml:space="preserve">Fall of the Jedi</x:t>
        </x:is>
      </x:c>
      <x:c r="D80" s="15" t="inlineStr">
        <x:is>
          <x:t xml:space="preserve">The Clone Wars: Monster</x:t>
        </x:is>
      </x:c>
      <x:c r="E80" s="16" t="inlineStr">
        <x:is>
          <x:t xml:space="preserve">Season 3, Episode 13</x:t>
        </x:is>
      </x:c>
      <x:c r="F80" s="15" t="inlineStr">
        <x:is>
          <x:t xml:space="preserve">Series aired October 3, 2008–May 4, 2020</x:t>
        </x:is>
      </x:c>
      <x:c r="G80" s="15" t="inlineStr">
        <x:is>
          <x:t xml:space="preserve">Canon</x:t>
        </x:is>
      </x:c>
      <x:c r="H80" s="15" t="inlineStr">
        <x:is>
          <x:t xml:space="preserve">Episode</x:t>
        </x:is>
      </x:c>
      <x:c r="I80" s="15" t="inlineStr">
        <x:is>
          <x:t xml:space="preserve">Disney+</x:t>
        </x:is>
      </x:c>
      <x:c r="J80" s="18" t="e">
        <x:f>HYPERLINK("https://www.disneyplus.com/video/60ae22d3-0e23-42ae-9931-30076c8cd519?cid=DTCI-Synergy-DDN-Site-Acquisition-StarWars-US-StarWars-StarWarsTheCloneWars-EN-BlogArticleEmbed-TCWChronological_StreamOnDisneyPlusCTA-NA","Watch")</x:f>
        <x:v>HYPERLINK is not implemented. linkLocation=https://www.disneyplus.com/video/60ae22d3-0e23-42ae-9931-30076c8cd519?cid=DTCI-Synergy-DDN-Site-Acquisition-StarWars-US-StarWars-StarWarsTheCloneWars-EN-BlogArticleEmbed-TCWChronological_StreamOnDisneyPlusCTA-NA, friendlyName=Watch</x:v>
      </x:c>
      <x:c r="K80" s="22" t="e">
        <x:f>HYPERLINK("https://www.starwars.com/tv-shows/clone-wars/monster-episode-guide","Season 3, Episode 13 · Episode guide")</x:f>
        <x:v>HYPERLINK is not implemented. linkLocation=https://www.starwars.com/tv-shows/clone-wars/monster-episode-guide, friendlyName=Season 3, Episode 13 · Episode guide</x:v>
      </x:c>
    </x:row>
    <x:row r="81" s="23" customFormat="1" ht="36" customHeight="1">
      <x:c r="A81" s="28" t="b">
        <x:v>0</x:v>
      </x:c>
      <x:c r="B81" s="21" t="n">
        <x:v>75</x:v>
      </x:c>
      <x:c r="C81" s="14" t="inlineStr">
        <x:is>
          <x:t xml:space="preserve">Fall of the Jedi</x:t>
        </x:is>
      </x:c>
      <x:c r="D81" s="15" t="inlineStr">
        <x:is>
          <x:t xml:space="preserve">The Clone Wars: Witches of the Mist</x:t>
        </x:is>
      </x:c>
      <x:c r="E81" s="16" t="inlineStr">
        <x:is>
          <x:t xml:space="preserve">Season 3, Episode 14</x:t>
        </x:is>
      </x:c>
      <x:c r="F81" s="15" t="inlineStr">
        <x:is>
          <x:t xml:space="preserve">Series aired October 3, 2008–May 4, 2020</x:t>
        </x:is>
      </x:c>
      <x:c r="G81" s="15" t="inlineStr">
        <x:is>
          <x:t xml:space="preserve">Canon</x:t>
        </x:is>
      </x:c>
      <x:c r="H81" s="15" t="inlineStr">
        <x:is>
          <x:t xml:space="preserve">Episode</x:t>
        </x:is>
      </x:c>
      <x:c r="I81" s="15" t="inlineStr">
        <x:is>
          <x:t xml:space="preserve">Disney+</x:t>
        </x:is>
      </x:c>
      <x:c r="J81" s="18" t="e">
        <x:f>HYPERLINK("https://www.disneyplus.com/video/43682151-f351-4280-9a86-ca1986ac7a72?cid=DTCI-Synergy-DDN-Site-Acquisition-StarWars-US-StarWars-StarWarsTheCloneWars-EN-BlogArticleEmbed-TCWChronological_StreamOnDisneyPlusCTA-NA","Watch")</x:f>
        <x:v>HYPERLINK is not implemented. linkLocation=https://www.disneyplus.com/video/43682151-f351-4280-9a86-ca1986ac7a72?cid=DTCI-Synergy-DDN-Site-Acquisition-StarWars-US-StarWars-StarWarsTheCloneWars-EN-BlogArticleEmbed-TCWChronological_StreamOnDisneyPlusCTA-NA, friendlyName=Watch</x:v>
      </x:c>
      <x:c r="K81" s="22" t="e">
        <x:f>HYPERLINK("https://www.starwars.com/tv-shows/clone-wars/witches-of-the-mist-episode-guide","Season 3, Episode 14 · Episode guide")</x:f>
        <x:v>HYPERLINK is not implemented. linkLocation=https://www.starwars.com/tv-shows/clone-wars/witches-of-the-mist-episode-guide, friendlyName=Season 3, Episode 14 · Episode guide</x:v>
      </x:c>
    </x:row>
    <x:row r="82" s="23" customFormat="1" ht="36" customHeight="1">
      <x:c r="A82" s="28" t="b">
        <x:v>0</x:v>
      </x:c>
      <x:c r="B82" s="21" t="n">
        <x:v>76</x:v>
      </x:c>
      <x:c r="C82" s="14" t="inlineStr">
        <x:is>
          <x:t xml:space="preserve">Fall of the Jedi</x:t>
        </x:is>
      </x:c>
      <x:c r="D82" s="15" t="inlineStr">
        <x:is>
          <x:t xml:space="preserve">The Clone Wars: Overlords</x:t>
        </x:is>
      </x:c>
      <x:c r="E82" s="16" t="inlineStr">
        <x:is>
          <x:t xml:space="preserve">Season 3, Episode 15</x:t>
        </x:is>
      </x:c>
      <x:c r="F82" s="15" t="inlineStr">
        <x:is>
          <x:t xml:space="preserve">Series aired October 3, 2008–May 4, 2020</x:t>
        </x:is>
      </x:c>
      <x:c r="G82" s="15" t="inlineStr">
        <x:is>
          <x:t xml:space="preserve">Canon</x:t>
        </x:is>
      </x:c>
      <x:c r="H82" s="15" t="inlineStr">
        <x:is>
          <x:t xml:space="preserve">Episode</x:t>
        </x:is>
      </x:c>
      <x:c r="I82" s="15" t="inlineStr">
        <x:is>
          <x:t xml:space="preserve">Disney+</x:t>
        </x:is>
      </x:c>
      <x:c r="J82" s="18" t="e">
        <x:f>HYPERLINK("https://www.disneyplus.com/video/48c78dd1-73f6-40ef-9e0d-d469ea00ada8?cid=DTCI-Synergy-DDN-Site-Acquisition-StarWars-US-StarWars-StarWarsTheCloneWars-EN-BlogArticleEmbed-TCWChronological_StreamOnDisneyPlusCTA-NA","Watch")</x:f>
        <x:v>HYPERLINK is not implemented. linkLocation=https://www.disneyplus.com/video/48c78dd1-73f6-40ef-9e0d-d469ea00ada8?cid=DTCI-Synergy-DDN-Site-Acquisition-StarWars-US-StarWars-StarWarsTheCloneWars-EN-BlogArticleEmbed-TCWChronological_StreamOnDisneyPlusCTA-NA, friendlyName=Watch</x:v>
      </x:c>
      <x:c r="K82" s="22" t="e">
        <x:f>HYPERLINK("https://www.starwars.com/tv-shows/clone-wars/overlords-episode-guide","Season 3, Episode 15 · Episode guide")</x:f>
        <x:v>HYPERLINK is not implemented. linkLocation=https://www.starwars.com/tv-shows/clone-wars/overlords-episode-guide, friendlyName=Season 3, Episode 15 · Episode guide</x:v>
      </x:c>
    </x:row>
    <x:row r="83" s="23" customFormat="1" ht="36" customHeight="1">
      <x:c r="A83" s="28" t="b">
        <x:v>0</x:v>
      </x:c>
      <x:c r="B83" s="21" t="n">
        <x:v>77</x:v>
      </x:c>
      <x:c r="C83" s="14" t="inlineStr">
        <x:is>
          <x:t xml:space="preserve">Fall of the Jedi</x:t>
        </x:is>
      </x:c>
      <x:c r="D83" s="15" t="inlineStr">
        <x:is>
          <x:t xml:space="preserve">The Clone Wars: Altar of Mortis</x:t>
        </x:is>
      </x:c>
      <x:c r="E83" s="16" t="inlineStr">
        <x:is>
          <x:t xml:space="preserve">Season 3, Episode 16</x:t>
        </x:is>
      </x:c>
      <x:c r="F83" s="15" t="inlineStr">
        <x:is>
          <x:t xml:space="preserve">Series aired October 3, 2008–May 4, 2020</x:t>
        </x:is>
      </x:c>
      <x:c r="G83" s="15" t="inlineStr">
        <x:is>
          <x:t xml:space="preserve">Canon</x:t>
        </x:is>
      </x:c>
      <x:c r="H83" s="15" t="inlineStr">
        <x:is>
          <x:t xml:space="preserve">Episode</x:t>
        </x:is>
      </x:c>
      <x:c r="I83" s="15" t="inlineStr">
        <x:is>
          <x:t xml:space="preserve">Disney+</x:t>
        </x:is>
      </x:c>
      <x:c r="J83" s="18" t="e">
        <x:f>HYPERLINK("https://www.disneyplus.com/video/75e60bba-9b85-4531-aec2-7f3b9ed18e4c?cid=DTCI-Synergy-DDN-Site-Acquisition-StarWars-US-StarWars-StarWarsTheCloneWars-EN-BlogArticleEmbed-TCWChronological_StreamOnDisneyPlusCTA-NA","Watch")</x:f>
        <x:v>HYPERLINK is not implemented. linkLocation=https://www.disneyplus.com/video/75e60bba-9b85-4531-aec2-7f3b9ed18e4c?cid=DTCI-Synergy-DDN-Site-Acquisition-StarWars-US-StarWars-StarWarsTheCloneWars-EN-BlogArticleEmbed-TCWChronological_StreamOnDisneyPlusCTA-NA, friendlyName=Watch</x:v>
      </x:c>
      <x:c r="K83" s="22" t="e">
        <x:f>HYPERLINK("https://www.starwars.com/tv-shows/clone-wars/altar-of-mortis-episode-guide","Season 3, Episode 16 · Episode guide")</x:f>
        <x:v>HYPERLINK is not implemented. linkLocation=https://www.starwars.com/tv-shows/clone-wars/altar-of-mortis-episode-guide, friendlyName=Season 3, Episode 16 · Episode guide</x:v>
      </x:c>
    </x:row>
    <x:row r="84" s="23" customFormat="1" ht="36" customHeight="1">
      <x:c r="A84" s="28" t="b">
        <x:v>0</x:v>
      </x:c>
      <x:c r="B84" s="21" t="n">
        <x:v>78</x:v>
      </x:c>
      <x:c r="C84" s="14" t="inlineStr">
        <x:is>
          <x:t xml:space="preserve">Fall of the Jedi</x:t>
        </x:is>
      </x:c>
      <x:c r="D84" s="15" t="inlineStr">
        <x:is>
          <x:t xml:space="preserve">The Clone Wars: Ghosts of Mortis</x:t>
        </x:is>
      </x:c>
      <x:c r="E84" s="16" t="inlineStr">
        <x:is>
          <x:t xml:space="preserve">Season 3, Episode 17</x:t>
        </x:is>
      </x:c>
      <x:c r="F84" s="15" t="inlineStr">
        <x:is>
          <x:t xml:space="preserve">Series aired October 3, 2008–May 4, 2020</x:t>
        </x:is>
      </x:c>
      <x:c r="G84" s="15" t="inlineStr">
        <x:is>
          <x:t xml:space="preserve">Canon</x:t>
        </x:is>
      </x:c>
      <x:c r="H84" s="15" t="inlineStr">
        <x:is>
          <x:t xml:space="preserve">Episode</x:t>
        </x:is>
      </x:c>
      <x:c r="I84" s="15" t="inlineStr">
        <x:is>
          <x:t xml:space="preserve">Disney+</x:t>
        </x:is>
      </x:c>
      <x:c r="J84" s="18" t="e">
        <x:f>HYPERLINK("https://www.disneyplus.com/video/6eccdac1-2d29-416d-88f7-779791c8bbca?cid=DTCI-Synergy-DDN-Site-Acquisition-StarWars-US-StarWars-StarWarsTheCloneWars-EN-BlogArticleEmbed-TCWChronological_StreamOnDisneyPlusCTA-NA","Watch")</x:f>
        <x:v>HYPERLINK is not implemented. linkLocation=https://www.disneyplus.com/video/6eccdac1-2d29-416d-88f7-779791c8bbca?cid=DTCI-Synergy-DDN-Site-Acquisition-StarWars-US-StarWars-StarWarsTheCloneWars-EN-BlogArticleEmbed-TCWChronological_StreamOnDisneyPlusCTA-NA, friendlyName=Watch</x:v>
      </x:c>
      <x:c r="K84" s="22" t="e">
        <x:f>HYPERLINK("https://www.starwars.com/tv-shows/clone-wars/ghosts-of-mortis-episode-guide","Season 3, Episode 17 · Episode guide")</x:f>
        <x:v>HYPERLINK is not implemented. linkLocation=https://www.starwars.com/tv-shows/clone-wars/ghosts-of-mortis-episode-guide, friendlyName=Season 3, Episode 17 · Episode guide</x:v>
      </x:c>
    </x:row>
    <x:row r="85" s="23" customFormat="1" ht="36" customHeight="1">
      <x:c r="A85" s="28" t="b">
        <x:v>0</x:v>
      </x:c>
      <x:c r="B85" s="21" t="n">
        <x:v>79</x:v>
      </x:c>
      <x:c r="C85" s="14" t="inlineStr">
        <x:is>
          <x:t xml:space="preserve">Fall of the Jedi</x:t>
        </x:is>
      </x:c>
      <x:c r="D85" s="15" t="inlineStr">
        <x:is>
          <x:t xml:space="preserve">The Clone Wars: The Citadel</x:t>
        </x:is>
      </x:c>
      <x:c r="E85" s="16" t="inlineStr">
        <x:is>
          <x:t xml:space="preserve">Season 3, Episode 18</x:t>
        </x:is>
      </x:c>
      <x:c r="F85" s="15" t="inlineStr">
        <x:is>
          <x:t xml:space="preserve">Series aired October 3, 2008–May 4, 2020</x:t>
        </x:is>
      </x:c>
      <x:c r="G85" s="15" t="inlineStr">
        <x:is>
          <x:t xml:space="preserve">Canon</x:t>
        </x:is>
      </x:c>
      <x:c r="H85" s="15" t="inlineStr">
        <x:is>
          <x:t xml:space="preserve">Episode</x:t>
        </x:is>
      </x:c>
      <x:c r="I85" s="15" t="inlineStr">
        <x:is>
          <x:t xml:space="preserve">Disney+</x:t>
        </x:is>
      </x:c>
      <x:c r="J85" s="18" t="e">
        <x:f>HYPERLINK("https://www.disneyplus.com/video/5ce7d03a-c7d7-4e63-8cb1-eae92bcd1349?cid=DTCI-Synergy-DDN-Site-Acquisition-StarWars-US-StarWars-StarWarsTheCloneWars-EN-BlogArticleEmbed-TCWChronological_StreamOnDisneyPlusCTA-NA","Watch")</x:f>
        <x:v>HYPERLINK is not implemented. linkLocation=https://www.disneyplus.com/video/5ce7d03a-c7d7-4e63-8cb1-eae92bcd1349?cid=DTCI-Synergy-DDN-Site-Acquisition-StarWars-US-StarWars-StarWarsTheCloneWars-EN-BlogArticleEmbed-TCWChronological_StreamOnDisneyPlusCTA-NA, friendlyName=Watch</x:v>
      </x:c>
      <x:c r="K85" s="22" t="e">
        <x:f>HYPERLINK("https://www.starwars.com/tv-shows/clone-wars/the-citadel-episode-guide","Season 3, Episode 18 · Episode guide")</x:f>
        <x:v>HYPERLINK is not implemented. linkLocation=https://www.starwars.com/tv-shows/clone-wars/the-citadel-episode-guide, friendlyName=Season 3, Episode 18 · Episode guide</x:v>
      </x:c>
    </x:row>
    <x:row r="86" s="23" customFormat="1" ht="36" customHeight="1">
      <x:c r="A86" s="28" t="b">
        <x:v>0</x:v>
      </x:c>
      <x:c r="B86" s="21" t="n">
        <x:v>80</x:v>
      </x:c>
      <x:c r="C86" s="14" t="inlineStr">
        <x:is>
          <x:t xml:space="preserve">Fall of the Jedi</x:t>
        </x:is>
      </x:c>
      <x:c r="D86" s="15" t="inlineStr">
        <x:is>
          <x:t xml:space="preserve">The Clone Wars: Counter Attack</x:t>
        </x:is>
      </x:c>
      <x:c r="E86" s="16" t="inlineStr">
        <x:is>
          <x:t xml:space="preserve">Season 3, Episode 19</x:t>
        </x:is>
      </x:c>
      <x:c r="F86" s="15" t="inlineStr">
        <x:is>
          <x:t xml:space="preserve">Series aired October 3, 2008–May 4, 2020</x:t>
        </x:is>
      </x:c>
      <x:c r="G86" s="15" t="inlineStr">
        <x:is>
          <x:t xml:space="preserve">Canon</x:t>
        </x:is>
      </x:c>
      <x:c r="H86" s="15" t="inlineStr">
        <x:is>
          <x:t xml:space="preserve">Episode</x:t>
        </x:is>
      </x:c>
      <x:c r="I86" s="15" t="inlineStr">
        <x:is>
          <x:t xml:space="preserve">Disney+</x:t>
        </x:is>
      </x:c>
      <x:c r="J86" s="18" t="e">
        <x:f>HYPERLINK("https://www.disneyplus.com/video/da31968a-f4f6-457b-8d4a-9938d5bdb6f0?cid=DTCI-Synergy-DDN-Site-Acquisition-StarWars-US-StarWars-StarWarsTheCloneWars-EN-BlogArticleEmbed-TCWChronological_StreamOnDisneyPlusCTA-NA","Watch")</x:f>
        <x:v>HYPERLINK is not implemented. linkLocation=https://www.disneyplus.com/video/da31968a-f4f6-457b-8d4a-9938d5bdb6f0?cid=DTCI-Synergy-DDN-Site-Acquisition-StarWars-US-StarWars-StarWarsTheCloneWars-EN-BlogArticleEmbed-TCWChronological_StreamOnDisneyPlusCTA-NA, friendlyName=Watch</x:v>
      </x:c>
      <x:c r="K86" s="22" t="e">
        <x:f>HYPERLINK("https://www.starwars.com/tv-shows/clone-wars/counterattack-episode-guide","Season 3, Episode 19 · Episode guide")</x:f>
        <x:v>HYPERLINK is not implemented. linkLocation=https://www.starwars.com/tv-shows/clone-wars/counterattack-episode-guide, friendlyName=Season 3, Episode 19 · Episode guide</x:v>
      </x:c>
    </x:row>
    <x:row r="87" s="23" customFormat="1" ht="36" customHeight="1">
      <x:c r="A87" s="28" t="b">
        <x:v>0</x:v>
      </x:c>
      <x:c r="B87" s="21" t="n">
        <x:v>81</x:v>
      </x:c>
      <x:c r="C87" s="14" t="inlineStr">
        <x:is>
          <x:t xml:space="preserve">Fall of the Jedi</x:t>
        </x:is>
      </x:c>
      <x:c r="D87" s="15" t="inlineStr">
        <x:is>
          <x:t xml:space="preserve">The Clone Wars: Citadel Rescue</x:t>
        </x:is>
      </x:c>
      <x:c r="E87" s="16" t="inlineStr">
        <x:is>
          <x:t xml:space="preserve">Season 3, Episode 20</x:t>
        </x:is>
      </x:c>
      <x:c r="F87" s="15" t="inlineStr">
        <x:is>
          <x:t xml:space="preserve">Series aired October 3, 2008–May 4, 2020</x:t>
        </x:is>
      </x:c>
      <x:c r="G87" s="15" t="inlineStr">
        <x:is>
          <x:t xml:space="preserve">Canon</x:t>
        </x:is>
      </x:c>
      <x:c r="H87" s="15" t="inlineStr">
        <x:is>
          <x:t xml:space="preserve">Episode</x:t>
        </x:is>
      </x:c>
      <x:c r="I87" s="15" t="inlineStr">
        <x:is>
          <x:t xml:space="preserve">Disney+</x:t>
        </x:is>
      </x:c>
      <x:c r="J87" s="18" t="e">
        <x:f>HYPERLINK("https://www.disneyplus.com/video/8799713b-3cd0-48e7-b32d-aef303971020?cid=DTCI-Synergy-DDN-Site-Acquisition-StarWars-US-StarWars-StarWarsTheCloneWars-EN-BlogArticleEmbed-TCWChronological_StreamOnDisneyPlusCTA-NA","Watch")</x:f>
        <x:v>HYPERLINK is not implemented. linkLocation=https://www.disneyplus.com/video/8799713b-3cd0-48e7-b32d-aef303971020?cid=DTCI-Synergy-DDN-Site-Acquisition-StarWars-US-StarWars-StarWarsTheCloneWars-EN-BlogArticleEmbed-TCWChronological_StreamOnDisneyPlusCTA-NA, friendlyName=Watch</x:v>
      </x:c>
      <x:c r="K87" s="22" t="e">
        <x:f>HYPERLINK("https://www.starwars.com/tv-shows/clone-wars/citadel-rescue-episode-guide","Season 3, Episode 20 · Episode guide")</x:f>
        <x:v>HYPERLINK is not implemented. linkLocation=https://www.starwars.com/tv-shows/clone-wars/citadel-rescue-episode-guide, friendlyName=Season 3, Episode 20 · Episode guide</x:v>
      </x:c>
    </x:row>
    <x:row r="88" s="23" customFormat="1" ht="36" customHeight="1">
      <x:c r="A88" s="28" t="b">
        <x:v>0</x:v>
      </x:c>
      <x:c r="B88" s="21" t="n">
        <x:v>82</x:v>
      </x:c>
      <x:c r="C88" s="14" t="inlineStr">
        <x:is>
          <x:t xml:space="preserve">Fall of the Jedi</x:t>
        </x:is>
      </x:c>
      <x:c r="D88" s="15" t="inlineStr">
        <x:is>
          <x:t xml:space="preserve">The Clone Wars: Padawan Lost</x:t>
        </x:is>
      </x:c>
      <x:c r="E88" s="16" t="inlineStr">
        <x:is>
          <x:t xml:space="preserve">Season 3, Episode 21</x:t>
        </x:is>
      </x:c>
      <x:c r="F88" s="15" t="inlineStr">
        <x:is>
          <x:t xml:space="preserve">Series aired October 3, 2008–May 4, 2020</x:t>
        </x:is>
      </x:c>
      <x:c r="G88" s="15" t="inlineStr">
        <x:is>
          <x:t xml:space="preserve">Canon</x:t>
        </x:is>
      </x:c>
      <x:c r="H88" s="15" t="inlineStr">
        <x:is>
          <x:t xml:space="preserve">Episode</x:t>
        </x:is>
      </x:c>
      <x:c r="I88" s="15" t="inlineStr">
        <x:is>
          <x:t xml:space="preserve">Disney+</x:t>
        </x:is>
      </x:c>
      <x:c r="J88" s="18" t="e">
        <x:f>HYPERLINK("https://www.disneyplus.com/video/e9010f4d-8e53-4100-9e56-37526a34d8cb?cid=DTCI-Synergy-DDN-Site-Acquisition-StarWars-US-StarWars-StarWarsTheCloneWars-EN-BlogArticleEmbed-TCWChronological_StreamOnDisneyPlusCTA-NA","Watch")</x:f>
        <x:v>HYPERLINK is not implemented. linkLocation=https://www.disneyplus.com/video/e9010f4d-8e53-4100-9e56-37526a34d8cb?cid=DTCI-Synergy-DDN-Site-Acquisition-StarWars-US-StarWars-StarWarsTheCloneWars-EN-BlogArticleEmbed-TCWChronological_StreamOnDisneyPlusCTA-NA, friendlyName=Watch</x:v>
      </x:c>
      <x:c r="K88" s="22" t="e">
        <x:f>HYPERLINK("https://www.starwars.com/tv-shows/clone-wars/padawan-lost-episode-guide","Season 3, Episode 21 · Episode guide")</x:f>
        <x:v>HYPERLINK is not implemented. linkLocation=https://www.starwars.com/tv-shows/clone-wars/padawan-lost-episode-guide, friendlyName=Season 3, Episode 21 · Episode guide</x:v>
      </x:c>
    </x:row>
    <x:row r="89" s="23" customFormat="1" ht="36" customHeight="1">
      <x:c r="A89" s="28" t="b">
        <x:v>0</x:v>
      </x:c>
      <x:c r="B89" s="21" t="n">
        <x:v>83</x:v>
      </x:c>
      <x:c r="C89" s="14" t="inlineStr">
        <x:is>
          <x:t xml:space="preserve">Fall of the Jedi</x:t>
        </x:is>
      </x:c>
      <x:c r="D89" s="15" t="inlineStr">
        <x:is>
          <x:t xml:space="preserve">The Clone Wars: Wookiee Hunt</x:t>
        </x:is>
      </x:c>
      <x:c r="E89" s="16" t="inlineStr">
        <x:is>
          <x:t xml:space="preserve">Season 3, Episode 22</x:t>
        </x:is>
      </x:c>
      <x:c r="F89" s="15" t="inlineStr">
        <x:is>
          <x:t xml:space="preserve">Series aired October 3, 2008–May 4, 2020</x:t>
        </x:is>
      </x:c>
      <x:c r="G89" s="15" t="inlineStr">
        <x:is>
          <x:t xml:space="preserve">Canon</x:t>
        </x:is>
      </x:c>
      <x:c r="H89" s="15" t="inlineStr">
        <x:is>
          <x:t xml:space="preserve">Episode</x:t>
        </x:is>
      </x:c>
      <x:c r="I89" s="15" t="inlineStr">
        <x:is>
          <x:t xml:space="preserve">Disney+</x:t>
        </x:is>
      </x:c>
      <x:c r="J89" s="18" t="e">
        <x:f>HYPERLINK("https://www.disneyplus.com/video/d332b464-3b44-4ace-af1b-bcabcf5f9155?cid=DTCI-Synergy-DDN-Site-Acquisition-StarWars-US-StarWars-StarWarsTheCloneWars-EN-BlogArticleEmbed-TCWChronological_StreamOnDisneyPlusCTA-NA","Watch")</x:f>
        <x:v>HYPERLINK is not implemented. linkLocation=https://www.disneyplus.com/video/d332b464-3b44-4ace-af1b-bcabcf5f9155?cid=DTCI-Synergy-DDN-Site-Acquisition-StarWars-US-StarWars-StarWarsTheCloneWars-EN-BlogArticleEmbed-TCWChronological_StreamOnDisneyPlusCTA-NA, friendlyName=Watch</x:v>
      </x:c>
      <x:c r="K89" s="22" t="e">
        <x:f>HYPERLINK("https://www.starwars.com/tv-shows/clone-wars/wookiee-hunt-episode-guide","Season 3, Episode 22 · Episode guide")</x:f>
        <x:v>HYPERLINK is not implemented. linkLocation=https://www.starwars.com/tv-shows/clone-wars/wookiee-hunt-episode-guide, friendlyName=Season 3, Episode 22 · Episode guide</x:v>
      </x:c>
    </x:row>
    <x:row r="90" s="23" customFormat="1" ht="36" customHeight="1">
      <x:c r="A90" s="28" t="b">
        <x:v>0</x:v>
      </x:c>
      <x:c r="B90" s="21" t="n">
        <x:v>84</x:v>
      </x:c>
      <x:c r="C90" s="14" t="inlineStr">
        <x:is>
          <x:t xml:space="preserve">Fall of the Jedi</x:t>
        </x:is>
      </x:c>
      <x:c r="D90" s="15" t="inlineStr">
        <x:is>
          <x:t xml:space="preserve">The Clone Wars: Water War</x:t>
        </x:is>
      </x:c>
      <x:c r="E90" s="16" t="inlineStr">
        <x:is>
          <x:t xml:space="preserve">Season 4, Episode 1</x:t>
        </x:is>
      </x:c>
      <x:c r="F90" s="15" t="inlineStr">
        <x:is>
          <x:t xml:space="preserve">Series aired October 3, 2008–May 4, 2020</x:t>
        </x:is>
      </x:c>
      <x:c r="G90" s="15" t="inlineStr">
        <x:is>
          <x:t xml:space="preserve">Canon</x:t>
        </x:is>
      </x:c>
      <x:c r="H90" s="15" t="inlineStr">
        <x:is>
          <x:t xml:space="preserve">Episode</x:t>
        </x:is>
      </x:c>
      <x:c r="I90" s="15" t="inlineStr">
        <x:is>
          <x:t xml:space="preserve">Disney+</x:t>
        </x:is>
      </x:c>
      <x:c r="J90" s="18" t="e">
        <x:f>HYPERLINK("https://www.disneyplus.com/video/0118dfcf-cb59-44eb-bb93-15888e9cb8a6?cid=DTCI-Synergy-DDN-Site-Acquisition-StarWars-US-StarWars-StarWarsTheCloneWars-EN-BlogArticleEmbed-TCWChronological_StreamOnDisneyPlusCTA-NA","Watch")</x:f>
        <x:v>HYPERLINK is not implemented. linkLocation=https://www.disneyplus.com/video/0118dfcf-cb59-44eb-bb93-15888e9cb8a6?cid=DTCI-Synergy-DDN-Site-Acquisition-StarWars-US-StarWars-StarWarsTheCloneWars-EN-BlogArticleEmbed-TCWChronological_StreamOnDisneyPlusCTA-NA, friendlyName=Watch</x:v>
      </x:c>
      <x:c r="K90" s="22" t="e">
        <x:f>HYPERLINK("https://www.starwars.com/tv-shows/clone-wars/water-war-episode-guide","Season 4, Episode 1 · Episode guide")</x:f>
        <x:v>HYPERLINK is not implemented. linkLocation=https://www.starwars.com/tv-shows/clone-wars/water-war-episode-guide, friendlyName=Season 4, Episode 1 · Episode guide</x:v>
      </x:c>
    </x:row>
    <x:row r="91" s="23" customFormat="1" ht="36" customHeight="1">
      <x:c r="A91" s="28" t="b">
        <x:v>0</x:v>
      </x:c>
      <x:c r="B91" s="21" t="n">
        <x:v>85</x:v>
      </x:c>
      <x:c r="C91" s="14" t="inlineStr">
        <x:is>
          <x:t xml:space="preserve">Fall of the Jedi</x:t>
        </x:is>
      </x:c>
      <x:c r="D91" s="15" t="inlineStr">
        <x:is>
          <x:t xml:space="preserve">The Clone Wars: Gungan Attack</x:t>
        </x:is>
      </x:c>
      <x:c r="E91" s="16" t="inlineStr">
        <x:is>
          <x:t xml:space="preserve">Season 4, Episode 2</x:t>
        </x:is>
      </x:c>
      <x:c r="F91" s="15" t="inlineStr">
        <x:is>
          <x:t xml:space="preserve">Series aired October 3, 2008–May 4, 2020</x:t>
        </x:is>
      </x:c>
      <x:c r="G91" s="15" t="inlineStr">
        <x:is>
          <x:t xml:space="preserve">Canon</x:t>
        </x:is>
      </x:c>
      <x:c r="H91" s="15" t="inlineStr">
        <x:is>
          <x:t xml:space="preserve">Episode</x:t>
        </x:is>
      </x:c>
      <x:c r="I91" s="15" t="inlineStr">
        <x:is>
          <x:t xml:space="preserve">Disney+</x:t>
        </x:is>
      </x:c>
      <x:c r="J91" s="18" t="e">
        <x:f>HYPERLINK("https://www.disneyplus.com/video/661736f6-035f-4d8f-98b7-d1a75d3359db?cid=DTCI-Synergy-DDN-Site-Acquisition-StarWars-US-StarWars-StarWarsTheCloneWars-EN-BlogArticleEmbed-TCWChronological_StreamOnDisneyPlusCTA-NA","Watch")</x:f>
        <x:v>HYPERLINK is not implemented. linkLocation=https://www.disneyplus.com/video/661736f6-035f-4d8f-98b7-d1a75d3359db?cid=DTCI-Synergy-DDN-Site-Acquisition-StarWars-US-StarWars-StarWarsTheCloneWars-EN-BlogArticleEmbed-TCWChronological_StreamOnDisneyPlusCTA-NA, friendlyName=Watch</x:v>
      </x:c>
      <x:c r="K91" s="22" t="e">
        <x:f>HYPERLINK("https://www.starwars.com/tv-shows/clone-wars/gungan-attack-episode-guide","Season 4, Episode 2 · Episode guide")</x:f>
        <x:v>HYPERLINK is not implemented. linkLocation=https://www.starwars.com/tv-shows/clone-wars/gungan-attack-episode-guide, friendlyName=Season 4, Episode 2 · Episode guide</x:v>
      </x:c>
    </x:row>
    <x:row r="92" s="23" customFormat="1" ht="36" customHeight="1">
      <x:c r="A92" s="28" t="b">
        <x:v>0</x:v>
      </x:c>
      <x:c r="B92" s="21" t="n">
        <x:v>86</x:v>
      </x:c>
      <x:c r="C92" s="14" t="inlineStr">
        <x:is>
          <x:t xml:space="preserve">Fall of the Jedi</x:t>
        </x:is>
      </x:c>
      <x:c r="D92" s="15" t="inlineStr">
        <x:is>
          <x:t xml:space="preserve">The Clone Wars: Prisoners</x:t>
        </x:is>
      </x:c>
      <x:c r="E92" s="16" t="inlineStr">
        <x:is>
          <x:t xml:space="preserve">Season 4, Episode 3</x:t>
        </x:is>
      </x:c>
      <x:c r="F92" s="15" t="inlineStr">
        <x:is>
          <x:t xml:space="preserve">Series aired October 3, 2008–May 4, 2020</x:t>
        </x:is>
      </x:c>
      <x:c r="G92" s="15" t="inlineStr">
        <x:is>
          <x:t xml:space="preserve">Canon</x:t>
        </x:is>
      </x:c>
      <x:c r="H92" s="15" t="inlineStr">
        <x:is>
          <x:t xml:space="preserve">Episode</x:t>
        </x:is>
      </x:c>
      <x:c r="I92" s="15" t="inlineStr">
        <x:is>
          <x:t xml:space="preserve">Disney+</x:t>
        </x:is>
      </x:c>
      <x:c r="J92" s="18" t="e">
        <x:f>HYPERLINK("https://www.disneyplus.com/video/a78235e0-c137-410c-abd8-69601e432648?cid=DTCI-Synergy-DDN-Site-Acquisition-StarWars-US-StarWars-StarWarsTheCloneWars-EN-BlogArticleEmbed-TCWChronological_StreamOnDisneyPlusCTA-NA","Watch")</x:f>
        <x:v>HYPERLINK is not implemented. linkLocation=https://www.disneyplus.com/video/a78235e0-c137-410c-abd8-69601e432648?cid=DTCI-Synergy-DDN-Site-Acquisition-StarWars-US-StarWars-StarWarsTheCloneWars-EN-BlogArticleEmbed-TCWChronological_StreamOnDisneyPlusCTA-NA, friendlyName=Watch</x:v>
      </x:c>
      <x:c r="K92" s="22" t="e">
        <x:f>HYPERLINK("https://www.starwars.com/tv-shows/clone-wars/prisoners-episode-guide","Season 4, Episode 3 · Episode guide")</x:f>
        <x:v>HYPERLINK is not implemented. linkLocation=https://www.starwars.com/tv-shows/clone-wars/prisoners-episode-guide, friendlyName=Season 4, Episode 3 · Episode guide</x:v>
      </x:c>
    </x:row>
    <x:row r="93" s="23" customFormat="1" ht="36" customHeight="1">
      <x:c r="A93" s="28" t="b">
        <x:v>0</x:v>
      </x:c>
      <x:c r="B93" s="21" t="n">
        <x:v>87</x:v>
      </x:c>
      <x:c r="C93" s="14" t="inlineStr">
        <x:is>
          <x:t xml:space="preserve">Fall of the Jedi</x:t>
        </x:is>
      </x:c>
      <x:c r="D93" s="15" t="inlineStr">
        <x:is>
          <x:t xml:space="preserve">The Clone Wars: Shadow Warrior</x:t>
        </x:is>
      </x:c>
      <x:c r="E93" s="16" t="inlineStr">
        <x:is>
          <x:t xml:space="preserve">Season 4, Episode 4</x:t>
        </x:is>
      </x:c>
      <x:c r="F93" s="15" t="inlineStr">
        <x:is>
          <x:t xml:space="preserve">Series aired October 3, 2008–May 4, 2020</x:t>
        </x:is>
      </x:c>
      <x:c r="G93" s="15" t="inlineStr">
        <x:is>
          <x:t xml:space="preserve">Canon</x:t>
        </x:is>
      </x:c>
      <x:c r="H93" s="15" t="inlineStr">
        <x:is>
          <x:t xml:space="preserve">Episode</x:t>
        </x:is>
      </x:c>
      <x:c r="I93" s="15" t="inlineStr">
        <x:is>
          <x:t xml:space="preserve">Disney+</x:t>
        </x:is>
      </x:c>
      <x:c r="J93" s="18" t="e">
        <x:f>HYPERLINK("https://www.disneyplus.com/video/794938c4-0700-4b1f-a6c3-20aff7ca1b39?cid=DTCI-Synergy-DDN-Site-Acquisition-StarWars-US-StarWars-StarWarsTheCloneWars-EN-BlogArticleEmbed-TCWChronological_StreamOnDisneyPlusCTA-NA","Watch")</x:f>
        <x:v>HYPERLINK is not implemented. linkLocation=https://www.disneyplus.com/video/794938c4-0700-4b1f-a6c3-20aff7ca1b39?cid=DTCI-Synergy-DDN-Site-Acquisition-StarWars-US-StarWars-StarWarsTheCloneWars-EN-BlogArticleEmbed-TCWChronological_StreamOnDisneyPlusCTA-NA, friendlyName=Watch</x:v>
      </x:c>
      <x:c r="K93" s="22" t="e">
        <x:f>HYPERLINK("https://www.starwars.com/tv-shows/clone-wars/shadow-warrior-episode-guide","Season 4, Episode 4 · Episode guide")</x:f>
        <x:v>HYPERLINK is not implemented. linkLocation=https://www.starwars.com/tv-shows/clone-wars/shadow-warrior-episode-guide, friendlyName=Season 4, Episode 4 · Episode guide</x:v>
      </x:c>
    </x:row>
    <x:row r="94" s="23" customFormat="1" ht="36" customHeight="1">
      <x:c r="A94" s="28" t="b">
        <x:v>0</x:v>
      </x:c>
      <x:c r="B94" s="21" t="n">
        <x:v>88</x:v>
      </x:c>
      <x:c r="C94" s="14" t="inlineStr">
        <x:is>
          <x:t xml:space="preserve">Fall of the Jedi</x:t>
        </x:is>
      </x:c>
      <x:c r="D94" s="15" t="inlineStr">
        <x:is>
          <x:t xml:space="preserve">The Clone Wars: Mercy Mission</x:t>
        </x:is>
      </x:c>
      <x:c r="E94" s="16" t="inlineStr">
        <x:is>
          <x:t xml:space="preserve">Season 4, Episode 5</x:t>
        </x:is>
      </x:c>
      <x:c r="F94" s="15" t="inlineStr">
        <x:is>
          <x:t xml:space="preserve">Series aired October 3, 2008–May 4, 2020</x:t>
        </x:is>
      </x:c>
      <x:c r="G94" s="15" t="inlineStr">
        <x:is>
          <x:t xml:space="preserve">Canon</x:t>
        </x:is>
      </x:c>
      <x:c r="H94" s="15" t="inlineStr">
        <x:is>
          <x:t xml:space="preserve">Episode</x:t>
        </x:is>
      </x:c>
      <x:c r="I94" s="15" t="inlineStr">
        <x:is>
          <x:t xml:space="preserve">Disney+</x:t>
        </x:is>
      </x:c>
      <x:c r="J94" s="18" t="e">
        <x:f>HYPERLINK("https://www.disneyplus.com/video/1d717a67-fdce-4404-aed6-3cca361e0946?cid=DTCI-Synergy-DDN-Site-Acquisition-StarWars-US-StarWars-StarWarsTheCloneWars-EN-BlogArticleEmbed-TCWChronological_StreamOnDisneyPlusCTA-NA","Watch")</x:f>
        <x:v>HYPERLINK is not implemented. linkLocation=https://www.disneyplus.com/video/1d717a67-fdce-4404-aed6-3cca361e0946?cid=DTCI-Synergy-DDN-Site-Acquisition-StarWars-US-StarWars-StarWarsTheCloneWars-EN-BlogArticleEmbed-TCWChronological_StreamOnDisneyPlusCTA-NA, friendlyName=Watch</x:v>
      </x:c>
      <x:c r="K94" s="22" t="e">
        <x:f>HYPERLINK("https://www.starwars.com/tv-shows/clone-wars/mercy-mission-episode-guide","Season 4, Episode 5 · Episode guide")</x:f>
        <x:v>HYPERLINK is not implemented. linkLocation=https://www.starwars.com/tv-shows/clone-wars/mercy-mission-episode-guide, friendlyName=Season 4, Episode 5 · Episode guide</x:v>
      </x:c>
    </x:row>
    <x:row r="95" s="23" customFormat="1" ht="36" customHeight="1">
      <x:c r="A95" s="28" t="b">
        <x:v>0</x:v>
      </x:c>
      <x:c r="B95" s="21" t="n">
        <x:v>89</x:v>
      </x:c>
      <x:c r="C95" s="14" t="inlineStr">
        <x:is>
          <x:t xml:space="preserve">Fall of the Jedi</x:t>
        </x:is>
      </x:c>
      <x:c r="D95" s="15" t="inlineStr">
        <x:is>
          <x:t xml:space="preserve">The Clone Wars: Nomad Droids</x:t>
        </x:is>
      </x:c>
      <x:c r="E95" s="16" t="inlineStr">
        <x:is>
          <x:t xml:space="preserve">Season 4, Episode 6</x:t>
        </x:is>
      </x:c>
      <x:c r="F95" s="15" t="inlineStr">
        <x:is>
          <x:t xml:space="preserve">Series aired October 3, 2008–May 4, 2020</x:t>
        </x:is>
      </x:c>
      <x:c r="G95" s="15" t="inlineStr">
        <x:is>
          <x:t xml:space="preserve">Canon</x:t>
        </x:is>
      </x:c>
      <x:c r="H95" s="15" t="inlineStr">
        <x:is>
          <x:t xml:space="preserve">Episode</x:t>
        </x:is>
      </x:c>
      <x:c r="I95" s="15" t="inlineStr">
        <x:is>
          <x:t xml:space="preserve">Disney+</x:t>
        </x:is>
      </x:c>
      <x:c r="J95" s="18" t="e">
        <x:f>HYPERLINK("https://www.disneyplus.com/video/70b7d424-fd27-4388-b934-b4bfad3f898d?cid=DTCI-Synergy-DDN-Site-Acquisition-StarWars-US-StarWars-StarWarsTheCloneWars-EN-BlogArticleEmbed-TCWChronological_StreamOnDisneyPlusCTA-NA","Watch")</x:f>
        <x:v>HYPERLINK is not implemented. linkLocation=https://www.disneyplus.com/video/70b7d424-fd27-4388-b934-b4bfad3f898d?cid=DTCI-Synergy-DDN-Site-Acquisition-StarWars-US-StarWars-StarWarsTheCloneWars-EN-BlogArticleEmbed-TCWChronological_StreamOnDisneyPlusCTA-NA, friendlyName=Watch</x:v>
      </x:c>
      <x:c r="K95" s="22" t="e">
        <x:f>HYPERLINK("https://www.starwars.com/tv-shows/clone-wars/nomad-droids-episode-guide","Season 4, Episode 6 · Episode guide")</x:f>
        <x:v>HYPERLINK is not implemented. linkLocation=https://www.starwars.com/tv-shows/clone-wars/nomad-droids-episode-guide, friendlyName=Season 4, Episode 6 · Episode guide</x:v>
      </x:c>
    </x:row>
    <x:row r="96" s="23" customFormat="1" ht="36" customHeight="1">
      <x:c r="A96" s="28" t="b">
        <x:v>0</x:v>
      </x:c>
      <x:c r="B96" s="21" t="n">
        <x:v>90</x:v>
      </x:c>
      <x:c r="C96" s="14" t="inlineStr">
        <x:is>
          <x:t xml:space="preserve">Fall of the Jedi</x:t>
        </x:is>
      </x:c>
      <x:c r="D96" s="15" t="inlineStr">
        <x:is>
          <x:t xml:space="preserve">The Clone Wars: Darkness on Umbara</x:t>
        </x:is>
      </x:c>
      <x:c r="E96" s="16" t="inlineStr">
        <x:is>
          <x:t xml:space="preserve">Season 4, Episode 7</x:t>
        </x:is>
      </x:c>
      <x:c r="F96" s="15" t="inlineStr">
        <x:is>
          <x:t xml:space="preserve">Series aired October 3, 2008–May 4, 2020</x:t>
        </x:is>
      </x:c>
      <x:c r="G96" s="15" t="inlineStr">
        <x:is>
          <x:t xml:space="preserve">Canon</x:t>
        </x:is>
      </x:c>
      <x:c r="H96" s="15" t="inlineStr">
        <x:is>
          <x:t xml:space="preserve">Episode</x:t>
        </x:is>
      </x:c>
      <x:c r="I96" s="15" t="inlineStr">
        <x:is>
          <x:t xml:space="preserve">Disney+</x:t>
        </x:is>
      </x:c>
      <x:c r="J96" s="18" t="e">
        <x:f>HYPERLINK("https://www.disneyplus.com/video/f9bfac62-4bb9-443b-905c-db5d978df3f2?cid=DTCI-Synergy-DDN-Site-Acquisition-StarWars-US-StarWars-StarWarsTheCloneWars-EN-BlogArticleEmbed-TCWChronological_StreamOnDisneyPlusCTA-NA","Watch")</x:f>
        <x:v>HYPERLINK is not implemented. linkLocation=https://www.disneyplus.com/video/f9bfac62-4bb9-443b-905c-db5d978df3f2?cid=DTCI-Synergy-DDN-Site-Acquisition-StarWars-US-StarWars-StarWarsTheCloneWars-EN-BlogArticleEmbed-TCWChronological_StreamOnDisneyPlusCTA-NA, friendlyName=Watch</x:v>
      </x:c>
      <x:c r="K96" s="22" t="e">
        <x:f>HYPERLINK("https://www.starwars.com/tv-shows/clone-wars/darkness-on-umbara-episode-guide","Season 4, Episode 7 · Episode guide")</x:f>
        <x:v>HYPERLINK is not implemented. linkLocation=https://www.starwars.com/tv-shows/clone-wars/darkness-on-umbara-episode-guide, friendlyName=Season 4, Episode 7 · Episode guide</x:v>
      </x:c>
    </x:row>
    <x:row r="97" s="23" customFormat="1" ht="36" customHeight="1">
      <x:c r="A97" s="28" t="b">
        <x:v>0</x:v>
      </x:c>
      <x:c r="B97" s="21" t="n">
        <x:v>91</x:v>
      </x:c>
      <x:c r="C97" s="14" t="inlineStr">
        <x:is>
          <x:t xml:space="preserve">Fall of the Jedi</x:t>
        </x:is>
      </x:c>
      <x:c r="D97" s="15" t="inlineStr">
        <x:is>
          <x:t xml:space="preserve">The Clone Wars: The General</x:t>
        </x:is>
      </x:c>
      <x:c r="E97" s="16" t="inlineStr">
        <x:is>
          <x:t xml:space="preserve">Season 4, Episode 8</x:t>
        </x:is>
      </x:c>
      <x:c r="F97" s="15" t="inlineStr">
        <x:is>
          <x:t xml:space="preserve">Series aired October 3, 2008–May 4, 2020</x:t>
        </x:is>
      </x:c>
      <x:c r="G97" s="15" t="inlineStr">
        <x:is>
          <x:t xml:space="preserve">Canon</x:t>
        </x:is>
      </x:c>
      <x:c r="H97" s="15" t="inlineStr">
        <x:is>
          <x:t xml:space="preserve">Episode</x:t>
        </x:is>
      </x:c>
      <x:c r="I97" s="15" t="inlineStr">
        <x:is>
          <x:t xml:space="preserve">Disney+</x:t>
        </x:is>
      </x:c>
      <x:c r="J97" s="18" t="e">
        <x:f>HYPERLINK("https://www.disneyplus.com/video/61e6b80b-ae44-431d-ae37-3ff46db6fdf6?cid=DTCI-Synergy-DDN-Site-Acquisition-StarWars-US-StarWars-StarWarsTheCloneWars-EN-BlogArticleEmbed-TCWChronological_StreamOnDisneyPlusCTA-NA","Watch")</x:f>
        <x:v>HYPERLINK is not implemented. linkLocation=https://www.disneyplus.com/video/61e6b80b-ae44-431d-ae37-3ff46db6fdf6?cid=DTCI-Synergy-DDN-Site-Acquisition-StarWars-US-StarWars-StarWarsTheCloneWars-EN-BlogArticleEmbed-TCWChronological_StreamOnDisneyPlusCTA-NA, friendlyName=Watch</x:v>
      </x:c>
      <x:c r="K97" s="22" t="e">
        <x:f>HYPERLINK("https://www.starwars.com/tv-shows/clone-wars/the-general-episode-guide","Season 4, Episode 8 · Episode guide")</x:f>
        <x:v>HYPERLINK is not implemented. linkLocation=https://www.starwars.com/tv-shows/clone-wars/the-general-episode-guide, friendlyName=Season 4, Episode 8 · Episode guide</x:v>
      </x:c>
    </x:row>
    <x:row r="98" s="23" customFormat="1" ht="36" customHeight="1">
      <x:c r="A98" s="28" t="b">
        <x:v>0</x:v>
      </x:c>
      <x:c r="B98" s="21" t="n">
        <x:v>92</x:v>
      </x:c>
      <x:c r="C98" s="14" t="inlineStr">
        <x:is>
          <x:t xml:space="preserve">Fall of the Jedi</x:t>
        </x:is>
      </x:c>
      <x:c r="D98" s="15" t="inlineStr">
        <x:is>
          <x:t xml:space="preserve">The Clone Wars: Plan of Dissent</x:t>
        </x:is>
      </x:c>
      <x:c r="E98" s="16" t="inlineStr">
        <x:is>
          <x:t xml:space="preserve">Season 4, Episode 9</x:t>
        </x:is>
      </x:c>
      <x:c r="F98" s="15" t="inlineStr">
        <x:is>
          <x:t xml:space="preserve">Series aired October 3, 2008–May 4, 2020</x:t>
        </x:is>
      </x:c>
      <x:c r="G98" s="15" t="inlineStr">
        <x:is>
          <x:t xml:space="preserve">Canon</x:t>
        </x:is>
      </x:c>
      <x:c r="H98" s="15" t="inlineStr">
        <x:is>
          <x:t xml:space="preserve">Episode</x:t>
        </x:is>
      </x:c>
      <x:c r="I98" s="15" t="inlineStr">
        <x:is>
          <x:t xml:space="preserve">Disney+</x:t>
        </x:is>
      </x:c>
      <x:c r="J98" s="18" t="e">
        <x:f>HYPERLINK("https://www.disneyplus.com/video/5dfa03d3-ec0c-462e-96b9-9995bb5b7e1d?cid=DTCI-Synergy-DDN-Site-Acquisition-StarWars-US-StarWars-StarWarsTheCloneWars-EN-BlogArticleEmbed-TCWChronological_StreamOnDisneyPlusCTA-NA","Watch")</x:f>
        <x:v>HYPERLINK is not implemented. linkLocation=https://www.disneyplus.com/video/5dfa03d3-ec0c-462e-96b9-9995bb5b7e1d?cid=DTCI-Synergy-DDN-Site-Acquisition-StarWars-US-StarWars-StarWarsTheCloneWars-EN-BlogArticleEmbed-TCWChronological_StreamOnDisneyPlusCTA-NA, friendlyName=Watch</x:v>
      </x:c>
      <x:c r="K98" s="22" t="e">
        <x:f>HYPERLINK("https://www.starwars.com/tv-shows/clone-wars/plan-of-dissent-episode-guide","Season 4, Episode 9 · Episode guide")</x:f>
        <x:v>HYPERLINK is not implemented. linkLocation=https://www.starwars.com/tv-shows/clone-wars/plan-of-dissent-episode-guide, friendlyName=Season 4, Episode 9 · Episode guide</x:v>
      </x:c>
    </x:row>
    <x:row r="99" s="23" customFormat="1" ht="36" customHeight="1">
      <x:c r="A99" s="28" t="b">
        <x:v>0</x:v>
      </x:c>
      <x:c r="B99" s="21" t="n">
        <x:v>93</x:v>
      </x:c>
      <x:c r="C99" s="14" t="inlineStr">
        <x:is>
          <x:t xml:space="preserve">Fall of the Jedi</x:t>
        </x:is>
      </x:c>
      <x:c r="D99" s="15" t="inlineStr">
        <x:is>
          <x:t xml:space="preserve">The Clone Wars: Carnage of Krell</x:t>
        </x:is>
      </x:c>
      <x:c r="E99" s="16" t="inlineStr">
        <x:is>
          <x:t xml:space="preserve">Season 4, Episode 10</x:t>
        </x:is>
      </x:c>
      <x:c r="F99" s="15" t="inlineStr">
        <x:is>
          <x:t xml:space="preserve">Series aired October 3, 2008–May 4, 2020</x:t>
        </x:is>
      </x:c>
      <x:c r="G99" s="15" t="inlineStr">
        <x:is>
          <x:t xml:space="preserve">Canon</x:t>
        </x:is>
      </x:c>
      <x:c r="H99" s="15" t="inlineStr">
        <x:is>
          <x:t xml:space="preserve">Episode</x:t>
        </x:is>
      </x:c>
      <x:c r="I99" s="15" t="inlineStr">
        <x:is>
          <x:t xml:space="preserve">Disney+</x:t>
        </x:is>
      </x:c>
      <x:c r="J99" s="18" t="e">
        <x:f>HYPERLINK("https://www.disneyplus.com/video/3ea87b6f-c298-4847-a69d-05d6ec748f59?cid=DTCI-Synergy-DDN-Site-Acquisition-StarWars-US-StarWars-StarWarsTheCloneWars-EN-BlogArticleEmbed-TCWChronological_StreamOnDisneyPlusCTA-NA","Watch")</x:f>
        <x:v>HYPERLINK is not implemented. linkLocation=https://www.disneyplus.com/video/3ea87b6f-c298-4847-a69d-05d6ec748f59?cid=DTCI-Synergy-DDN-Site-Acquisition-StarWars-US-StarWars-StarWarsTheCloneWars-EN-BlogArticleEmbed-TCWChronological_StreamOnDisneyPlusCTA-NA, friendlyName=Watch</x:v>
      </x:c>
      <x:c r="K99" s="22" t="e">
        <x:f>HYPERLINK("https://www.starwars.com/tv-shows/clone-wars/carnage-of-krell-episode-guide","Season 4, Episode 10 · Episode guide")</x:f>
        <x:v>HYPERLINK is not implemented. linkLocation=https://www.starwars.com/tv-shows/clone-wars/carnage-of-krell-episode-guide, friendlyName=Season 4, Episode 10 · Episode guide</x:v>
      </x:c>
    </x:row>
    <x:row r="100" s="23" customFormat="1" ht="36" customHeight="1">
      <x:c r="A100" s="28" t="b">
        <x:v>0</x:v>
      </x:c>
      <x:c r="B100" s="21" t="n">
        <x:v>94</x:v>
      </x:c>
      <x:c r="C100" s="14" t="inlineStr">
        <x:is>
          <x:t xml:space="preserve">Fall of the Jedi</x:t>
        </x:is>
      </x:c>
      <x:c r="D100" s="15" t="inlineStr">
        <x:is>
          <x:t xml:space="preserve">The Clone Wars: Kidnapped</x:t>
        </x:is>
      </x:c>
      <x:c r="E100" s="16" t="inlineStr">
        <x:is>
          <x:t xml:space="preserve">Season 4, Episode 11</x:t>
        </x:is>
      </x:c>
      <x:c r="F100" s="15" t="inlineStr">
        <x:is>
          <x:t xml:space="preserve">Series aired October 3, 2008–May 4, 2020</x:t>
        </x:is>
      </x:c>
      <x:c r="G100" s="15" t="inlineStr">
        <x:is>
          <x:t xml:space="preserve">Canon</x:t>
        </x:is>
      </x:c>
      <x:c r="H100" s="15" t="inlineStr">
        <x:is>
          <x:t xml:space="preserve">Episode</x:t>
        </x:is>
      </x:c>
      <x:c r="I100" s="15" t="inlineStr">
        <x:is>
          <x:t xml:space="preserve">Disney+</x:t>
        </x:is>
      </x:c>
      <x:c r="J100" s="18" t="e">
        <x:f>HYPERLINK("https://www.disneyplus.com/video/02bd06fc-230f-4667-b9da-23fb11d66b70?cid=DTCI-Synergy-DDN-Site-Acquisition-StarWars-US-StarWars-StarWarsTheCloneWars-EN-BlogArticleEmbed-TCWChronological_StreamOnDisneyPlusCTA-NA","Watch")</x:f>
        <x:v>HYPERLINK is not implemented. linkLocation=https://www.disneyplus.com/video/02bd06fc-230f-4667-b9da-23fb11d66b70?cid=DTCI-Synergy-DDN-Site-Acquisition-StarWars-US-StarWars-StarWarsTheCloneWars-EN-BlogArticleEmbed-TCWChronological_StreamOnDisneyPlusCTA-NA, friendlyName=Watch</x:v>
      </x:c>
      <x:c r="K100" s="22" t="e">
        <x:f>HYPERLINK("https://www.starwars.com/tv-shows/clone-wars/kidnapped-episode-guide","Season 4, Episode 11 · Episode guide")</x:f>
        <x:v>HYPERLINK is not implemented. linkLocation=https://www.starwars.com/tv-shows/clone-wars/kidnapped-episode-guide, friendlyName=Season 4, Episode 11 · Episode guide</x:v>
      </x:c>
    </x:row>
    <x:row r="101" s="23" customFormat="1" ht="36" customHeight="1">
      <x:c r="A101" s="28" t="b">
        <x:v>0</x:v>
      </x:c>
      <x:c r="B101" s="21" t="n">
        <x:v>95</x:v>
      </x:c>
      <x:c r="C101" s="14" t="inlineStr">
        <x:is>
          <x:t xml:space="preserve">Fall of the Jedi</x:t>
        </x:is>
      </x:c>
      <x:c r="D101" s="15" t="inlineStr">
        <x:is>
          <x:t xml:space="preserve">The Clone Wars: Slaves of the Republic</x:t>
        </x:is>
      </x:c>
      <x:c r="E101" s="16" t="inlineStr">
        <x:is>
          <x:t xml:space="preserve">Season 4, Episode 12</x:t>
        </x:is>
      </x:c>
      <x:c r="F101" s="15" t="inlineStr">
        <x:is>
          <x:t xml:space="preserve">Series aired October 3, 2008–May 4, 2020</x:t>
        </x:is>
      </x:c>
      <x:c r="G101" s="15" t="inlineStr">
        <x:is>
          <x:t xml:space="preserve">Canon</x:t>
        </x:is>
      </x:c>
      <x:c r="H101" s="15" t="inlineStr">
        <x:is>
          <x:t xml:space="preserve">Episode</x:t>
        </x:is>
      </x:c>
      <x:c r="I101" s="15" t="inlineStr">
        <x:is>
          <x:t xml:space="preserve">Disney+</x:t>
        </x:is>
      </x:c>
      <x:c r="J101" s="18" t="e">
        <x:f>HYPERLINK("https://www.disneyplus.com/video/22ffd322-9702-403f-93d3-47dc7780e062?cid=DTCI-Synergy-DDN-Site-Acquisition-StarWars-US-StarWars-StarWarsTheCloneWars-EN-BlogArticleEmbed-TCWChronological_StreamOnDisneyPlusCTA-NA","Watch")</x:f>
        <x:v>HYPERLINK is not implemented. linkLocation=https://www.disneyplus.com/video/22ffd322-9702-403f-93d3-47dc7780e062?cid=DTCI-Synergy-DDN-Site-Acquisition-StarWars-US-StarWars-StarWarsTheCloneWars-EN-BlogArticleEmbed-TCWChronological_StreamOnDisneyPlusCTA-NA, friendlyName=Watch</x:v>
      </x:c>
      <x:c r="K101" s="22" t="e">
        <x:f>HYPERLINK("https://www.starwars.com/tv-shows/clone-wars/slaves-of-the-republic-episode-guide","Season 4, Episode 12 · Episode guide")</x:f>
        <x:v>HYPERLINK is not implemented. linkLocation=https://www.starwars.com/tv-shows/clone-wars/slaves-of-the-republic-episode-guide, friendlyName=Season 4, Episode 12 · Episode guide</x:v>
      </x:c>
    </x:row>
    <x:row r="102" s="23" customFormat="1" ht="36" customHeight="1">
      <x:c r="A102" s="28" t="b">
        <x:v>0</x:v>
      </x:c>
      <x:c r="B102" s="21" t="n">
        <x:v>96</x:v>
      </x:c>
      <x:c r="C102" s="14" t="inlineStr">
        <x:is>
          <x:t xml:space="preserve">Fall of the Jedi</x:t>
        </x:is>
      </x:c>
      <x:c r="D102" s="15" t="inlineStr">
        <x:is>
          <x:t xml:space="preserve">The Clone Wars: Escape from Kadavo</x:t>
        </x:is>
      </x:c>
      <x:c r="E102" s="16" t="inlineStr">
        <x:is>
          <x:t xml:space="preserve">Season 4, Episode 13</x:t>
        </x:is>
      </x:c>
      <x:c r="F102" s="15" t="inlineStr">
        <x:is>
          <x:t xml:space="preserve">Series aired October 3, 2008–May 4, 2020</x:t>
        </x:is>
      </x:c>
      <x:c r="G102" s="15" t="inlineStr">
        <x:is>
          <x:t xml:space="preserve">Canon</x:t>
        </x:is>
      </x:c>
      <x:c r="H102" s="15" t="inlineStr">
        <x:is>
          <x:t xml:space="preserve">Episode</x:t>
        </x:is>
      </x:c>
      <x:c r="I102" s="15" t="inlineStr">
        <x:is>
          <x:t xml:space="preserve">Disney+</x:t>
        </x:is>
      </x:c>
      <x:c r="J102" s="18" t="e">
        <x:f>HYPERLINK("https://www.disneyplus.com/video/b2e1fd41-8496-4860-9ef8-80bed1b92754?cid=DTCI-Synergy-DDN-Site-Acquisition-StarWars-US-StarWars-StarWarsTheCloneWars-EN-BlogArticleEmbed-TCWChronological_StreamOnDisneyPlusCTA-NA","Watch")</x:f>
        <x:v>HYPERLINK is not implemented. linkLocation=https://www.disneyplus.com/video/b2e1fd41-8496-4860-9ef8-80bed1b92754?cid=DTCI-Synergy-DDN-Site-Acquisition-StarWars-US-StarWars-StarWarsTheCloneWars-EN-BlogArticleEmbed-TCWChronological_StreamOnDisneyPlusCTA-NA, friendlyName=Watch</x:v>
      </x:c>
      <x:c r="K102" s="22" t="e">
        <x:f>HYPERLINK("https://www.starwars.com/tv-shows/clone-wars/escape-from-kadavo-episode-guide","Season 4, Episode 13 · Episode guide")</x:f>
        <x:v>HYPERLINK is not implemented. linkLocation=https://www.starwars.com/tv-shows/clone-wars/escape-from-kadavo-episode-guide, friendlyName=Season 4, Episode 13 · Episode guide</x:v>
      </x:c>
    </x:row>
    <x:row r="103" s="23" customFormat="1" ht="36" customHeight="1">
      <x:c r="A103" s="28" t="b">
        <x:v>0</x:v>
      </x:c>
      <x:c r="B103" s="21" t="n">
        <x:v>97</x:v>
      </x:c>
      <x:c r="C103" s="14" t="inlineStr">
        <x:is>
          <x:t xml:space="preserve">Fall of the Jedi</x:t>
        </x:is>
      </x:c>
      <x:c r="D103" s="15" t="inlineStr">
        <x:is>
          <x:t xml:space="preserve">The Clone Wars: A Friend in Need</x:t>
        </x:is>
      </x:c>
      <x:c r="E103" s="16" t="inlineStr">
        <x:is>
          <x:t xml:space="preserve">Season 4, Episode 14</x:t>
        </x:is>
      </x:c>
      <x:c r="F103" s="15" t="inlineStr">
        <x:is>
          <x:t xml:space="preserve">Series aired October 3, 2008–May 4, 2020</x:t>
        </x:is>
      </x:c>
      <x:c r="G103" s="15" t="inlineStr">
        <x:is>
          <x:t xml:space="preserve">Canon</x:t>
        </x:is>
      </x:c>
      <x:c r="H103" s="15" t="inlineStr">
        <x:is>
          <x:t xml:space="preserve">Episode</x:t>
        </x:is>
      </x:c>
      <x:c r="I103" s="15" t="inlineStr">
        <x:is>
          <x:t xml:space="preserve">Disney+</x:t>
        </x:is>
      </x:c>
      <x:c r="J103" s="18" t="e">
        <x:f>HYPERLINK("https://www.disneyplus.com/video/916bff39-2aae-47db-b43a-e22f4179d093?cid=DTCI-Synergy-DDN-Site-Acquisition-StarWars-US-StarWars-StarWarsTheCloneWars-EN-BlogArticleEmbed-TCWChronological_StreamOnDisneyPlusCTA-NA","Watch")</x:f>
        <x:v>HYPERLINK is not implemented. linkLocation=https://www.disneyplus.com/video/916bff39-2aae-47db-b43a-e22f4179d093?cid=DTCI-Synergy-DDN-Site-Acquisition-StarWars-US-StarWars-StarWarsTheCloneWars-EN-BlogArticleEmbed-TCWChronological_StreamOnDisneyPlusCTA-NA, friendlyName=Watch</x:v>
      </x:c>
      <x:c r="K103" s="22" t="e">
        <x:f>HYPERLINK("https://www.starwars.com/series/clone-wars/-episode-guidea-friend-in-need","Season 4, Episode 14 · Episode guide")</x:f>
        <x:v>HYPERLINK is not implemented. linkLocation=https://www.starwars.com/series/clone-wars/-episode-guidea-friend-in-need, friendlyName=Season 4, Episode 14 · Episode guide</x:v>
      </x:c>
    </x:row>
    <x:row r="104" s="23" customFormat="1" ht="36" customHeight="1">
      <x:c r="A104" s="28" t="b">
        <x:v>0</x:v>
      </x:c>
      <x:c r="B104" s="21" t="n">
        <x:v>98</x:v>
      </x:c>
      <x:c r="C104" s="14" t="inlineStr">
        <x:is>
          <x:t xml:space="preserve">Fall of the Jedi</x:t>
        </x:is>
      </x:c>
      <x:c r="D104" s="15" t="inlineStr">
        <x:is>
          <x:t xml:space="preserve">The Clone Wars: Deception</x:t>
        </x:is>
      </x:c>
      <x:c r="E104" s="16" t="inlineStr">
        <x:is>
          <x:t xml:space="preserve">Season 4, Episode 15</x:t>
        </x:is>
      </x:c>
      <x:c r="F104" s="15" t="inlineStr">
        <x:is>
          <x:t xml:space="preserve">Series aired October 3, 2008–May 4, 2020</x:t>
        </x:is>
      </x:c>
      <x:c r="G104" s="15" t="inlineStr">
        <x:is>
          <x:t xml:space="preserve">Canon</x:t>
        </x:is>
      </x:c>
      <x:c r="H104" s="15" t="inlineStr">
        <x:is>
          <x:t xml:space="preserve">Episode</x:t>
        </x:is>
      </x:c>
      <x:c r="I104" s="15" t="inlineStr">
        <x:is>
          <x:t xml:space="preserve">Disney+</x:t>
        </x:is>
      </x:c>
      <x:c r="J104" s="18" t="e">
        <x:f>HYPERLINK("https://www.disneyplus.com/video/c639cb21-5137-4090-a440-8f84a171d235?cid=DTCI-Synergy-DDN-Site-Acquisition-StarWars-US-StarWars-StarWarsTheCloneWars-EN-BlogArticleEmbed-TCWChronological_StreamOnDisneyPlusCTA-NA","Watch")</x:f>
        <x:v>HYPERLINK is not implemented. linkLocation=https://www.disneyplus.com/video/c639cb21-5137-4090-a440-8f84a171d235?cid=DTCI-Synergy-DDN-Site-Acquisition-StarWars-US-StarWars-StarWarsTheCloneWars-EN-BlogArticleEmbed-TCWChronological_StreamOnDisneyPlusCTA-NA, friendlyName=Watch</x:v>
      </x:c>
      <x:c r="K104" s="22" t="e">
        <x:f>HYPERLINK("https://www.starwars.com/series/clone-wars/deception-episode-guide","Season 4, Episode 15 · Episode guide")</x:f>
        <x:v>HYPERLINK is not implemented. linkLocation=https://www.starwars.com/series/clone-wars/deception-episode-guide, friendlyName=Season 4, Episode 15 · Episode guide</x:v>
      </x:c>
    </x:row>
    <x:row r="105" s="23" customFormat="1" ht="36" customHeight="1">
      <x:c r="A105" s="28" t="b">
        <x:v>0</x:v>
      </x:c>
      <x:c r="B105" s="21" t="n">
        <x:v>99</x:v>
      </x:c>
      <x:c r="C105" s="14" t="inlineStr">
        <x:is>
          <x:t xml:space="preserve">Fall of the Jedi</x:t>
        </x:is>
      </x:c>
      <x:c r="D105" s="15" t="inlineStr">
        <x:is>
          <x:t xml:space="preserve">The Clone Wars: Friends and Enemies</x:t>
        </x:is>
      </x:c>
      <x:c r="E105" s="16" t="inlineStr">
        <x:is>
          <x:t xml:space="preserve">Season 4, Episode 16</x:t>
        </x:is>
      </x:c>
      <x:c r="F105" s="15" t="inlineStr">
        <x:is>
          <x:t xml:space="preserve">Series aired October 3, 2008–May 4, 2020</x:t>
        </x:is>
      </x:c>
      <x:c r="G105" s="15" t="inlineStr">
        <x:is>
          <x:t xml:space="preserve">Canon</x:t>
        </x:is>
      </x:c>
      <x:c r="H105" s="15" t="inlineStr">
        <x:is>
          <x:t xml:space="preserve">Episode</x:t>
        </x:is>
      </x:c>
      <x:c r="I105" s="15" t="inlineStr">
        <x:is>
          <x:t xml:space="preserve">Disney+</x:t>
        </x:is>
      </x:c>
      <x:c r="J105" s="18" t="e">
        <x:f>HYPERLINK("https://www.disneyplus.com/video/8fa14ce6-7c73-48b9-b271-16dffeb62fec?cid=DTCI-Synergy-DDN-Site-Acquisition-StarWars-US-StarWars-StarWarsTheCloneWars-EN-BlogArticleEmbed-TCWChronological_StreamOnDisneyPlusCTA-NA","Watch")</x:f>
        <x:v>HYPERLINK is not implemented. linkLocation=https://www.disneyplus.com/video/8fa14ce6-7c73-48b9-b271-16dffeb62fec?cid=DTCI-Synergy-DDN-Site-Acquisition-StarWars-US-StarWars-StarWarsTheCloneWars-EN-BlogArticleEmbed-TCWChronological_StreamOnDisneyPlusCTA-NA, friendlyName=Watch</x:v>
      </x:c>
      <x:c r="K105" s="22" t="e">
        <x:f>HYPERLINK("https://www.starwars.com/tv-shows/clone-wars/friends-and-enemies-episode-guide","Season 4, Episode 16 · Episode guide")</x:f>
        <x:v>HYPERLINK is not implemented. linkLocation=https://www.starwars.com/tv-shows/clone-wars/friends-and-enemies-episode-guide, friendlyName=Season 4, Episode 16 · Episode guide</x:v>
      </x:c>
    </x:row>
    <x:row r="106" s="23" customFormat="1" ht="36" customHeight="1">
      <x:c r="A106" s="28" t="b">
        <x:v>0</x:v>
      </x:c>
      <x:c r="B106" s="21" t="n">
        <x:v>100</x:v>
      </x:c>
      <x:c r="C106" s="14" t="inlineStr">
        <x:is>
          <x:t xml:space="preserve">Fall of the Jedi</x:t>
        </x:is>
      </x:c>
      <x:c r="D106" s="15" t="inlineStr">
        <x:is>
          <x:t xml:space="preserve">The Clone Wars: The Box</x:t>
        </x:is>
      </x:c>
      <x:c r="E106" s="16" t="inlineStr">
        <x:is>
          <x:t xml:space="preserve">Season 4, Episode 17</x:t>
        </x:is>
      </x:c>
      <x:c r="F106" s="15" t="inlineStr">
        <x:is>
          <x:t xml:space="preserve">Series aired October 3, 2008–May 4, 2020</x:t>
        </x:is>
      </x:c>
      <x:c r="G106" s="15" t="inlineStr">
        <x:is>
          <x:t xml:space="preserve">Canon</x:t>
        </x:is>
      </x:c>
      <x:c r="H106" s="15" t="inlineStr">
        <x:is>
          <x:t xml:space="preserve">Episode</x:t>
        </x:is>
      </x:c>
      <x:c r="I106" s="15" t="inlineStr">
        <x:is>
          <x:t xml:space="preserve">Disney+</x:t>
        </x:is>
      </x:c>
      <x:c r="J106" s="18" t="e">
        <x:f>HYPERLINK("https://www.disneyplus.com/video/f95cb9de-abf7-4d7f-8a65-d9a731a60f47?cid=DTCI-Synergy-DDN-Site-Acquisition-StarWars-US-StarWars-StarWarsTheCloneWars-EN-BlogArticleEmbed-TCWChronological_StreamOnDisneyPlusCTA-NA","Watch")</x:f>
        <x:v>HYPERLINK is not implemented. linkLocation=https://www.disneyplus.com/video/f95cb9de-abf7-4d7f-8a65-d9a731a60f47?cid=DTCI-Synergy-DDN-Site-Acquisition-StarWars-US-StarWars-StarWarsTheCloneWars-EN-BlogArticleEmbed-TCWChronological_StreamOnDisneyPlusCTA-NA, friendlyName=Watch</x:v>
      </x:c>
      <x:c r="K106" s="22" t="e">
        <x:f>HYPERLINK("https://www.starwars.com/tv-shows/clone-wars/the-box-episode-guide","Season 4, Episode 17 · Episode guide")</x:f>
        <x:v>HYPERLINK is not implemented. linkLocation=https://www.starwars.com/tv-shows/clone-wars/the-box-episode-guide, friendlyName=Season 4, Episode 17 · Episode guide</x:v>
      </x:c>
    </x:row>
    <x:row r="107" s="23" customFormat="1" ht="36" customHeight="1">
      <x:c r="A107" s="28" t="b">
        <x:v>0</x:v>
      </x:c>
      <x:c r="B107" s="21" t="n">
        <x:v>101</x:v>
      </x:c>
      <x:c r="C107" s="14" t="inlineStr">
        <x:is>
          <x:t xml:space="preserve">Fall of the Jedi</x:t>
        </x:is>
      </x:c>
      <x:c r="D107" s="15" t="inlineStr">
        <x:is>
          <x:t xml:space="preserve">The Clone Wars: Crisis on Naboo</x:t>
        </x:is>
      </x:c>
      <x:c r="E107" s="16" t="inlineStr">
        <x:is>
          <x:t xml:space="preserve">Season 4, Episode 18</x:t>
        </x:is>
      </x:c>
      <x:c r="F107" s="15" t="inlineStr">
        <x:is>
          <x:t xml:space="preserve">Series aired October 3, 2008–May 4, 2020</x:t>
        </x:is>
      </x:c>
      <x:c r="G107" s="15" t="inlineStr">
        <x:is>
          <x:t xml:space="preserve">Canon</x:t>
        </x:is>
      </x:c>
      <x:c r="H107" s="15" t="inlineStr">
        <x:is>
          <x:t xml:space="preserve">Episode</x:t>
        </x:is>
      </x:c>
      <x:c r="I107" s="15" t="inlineStr">
        <x:is>
          <x:t xml:space="preserve">Disney+</x:t>
        </x:is>
      </x:c>
      <x:c r="J107" s="18" t="e">
        <x:f>HYPERLINK("https://www.disneyplus.com/video/ca31a17c-8cb2-4b69-acf5-4f1e399abf5d?cid=DTCI-Synergy-DDN-Site-Acquisition-StarWars-US-StarWars-StarWarsTheCloneWars-EN-BlogArticleEmbed-TCWChronological_StreamOnDisneyPlusCTA-NA","Watch")</x:f>
        <x:v>HYPERLINK is not implemented. linkLocation=https://www.disneyplus.com/video/ca31a17c-8cb2-4b69-acf5-4f1e399abf5d?cid=DTCI-Synergy-DDN-Site-Acquisition-StarWars-US-StarWars-StarWarsTheCloneWars-EN-BlogArticleEmbed-TCWChronological_StreamOnDisneyPlusCTA-NA, friendlyName=Watch</x:v>
      </x:c>
      <x:c r="K107" s="22" t="e">
        <x:f>HYPERLINK("https://www.starwars.com/tv-shows/clone-wars/crisis-on-naboo-episode-guide","Season 4, Episode 18 · Episode guide")</x:f>
        <x:v>HYPERLINK is not implemented. linkLocation=https://www.starwars.com/tv-shows/clone-wars/crisis-on-naboo-episode-guide, friendlyName=Season 4, Episode 18 · Episode guide</x:v>
      </x:c>
    </x:row>
    <x:row r="108" s="23" customFormat="1" ht="36" customHeight="1">
      <x:c r="A108" s="28" t="b">
        <x:v>0</x:v>
      </x:c>
      <x:c r="B108" s="21" t="n">
        <x:v>102</x:v>
      </x:c>
      <x:c r="C108" s="14" t="inlineStr">
        <x:is>
          <x:t xml:space="preserve">Fall of the Jedi</x:t>
        </x:is>
      </x:c>
      <x:c r="D108" s="15" t="inlineStr">
        <x:is>
          <x:t xml:space="preserve">The Clone Wars: Massacre</x:t>
        </x:is>
      </x:c>
      <x:c r="E108" s="16" t="inlineStr">
        <x:is>
          <x:t xml:space="preserve">Season 4, Episode 19</x:t>
        </x:is>
      </x:c>
      <x:c r="F108" s="15" t="inlineStr">
        <x:is>
          <x:t xml:space="preserve">Series aired October 3, 2008–May 4, 2020</x:t>
        </x:is>
      </x:c>
      <x:c r="G108" s="15" t="inlineStr">
        <x:is>
          <x:t xml:space="preserve">Canon</x:t>
        </x:is>
      </x:c>
      <x:c r="H108" s="15" t="inlineStr">
        <x:is>
          <x:t xml:space="preserve">Episode</x:t>
        </x:is>
      </x:c>
      <x:c r="I108" s="15" t="inlineStr">
        <x:is>
          <x:t xml:space="preserve">Disney+</x:t>
        </x:is>
      </x:c>
      <x:c r="J108" s="18" t="e">
        <x:f>HYPERLINK("https://www.disneyplus.com/video/2467b031-3144-40b8-a3c2-55160986820d?cid=DTCI-Synergy-DDN-Site-Acquisition-StarWars-US-StarWars-StarWarsTheCloneWars-EN-BlogArticleEmbed-TCWChronological_StreamOnDisneyPlusCTA-NA","Watch")</x:f>
        <x:v>HYPERLINK is not implemented. linkLocation=https://www.disneyplus.com/video/2467b031-3144-40b8-a3c2-55160986820d?cid=DTCI-Synergy-DDN-Site-Acquisition-StarWars-US-StarWars-StarWarsTheCloneWars-EN-BlogArticleEmbed-TCWChronological_StreamOnDisneyPlusCTA-NA, friendlyName=Watch</x:v>
      </x:c>
      <x:c r="K108" s="22" t="e">
        <x:f>HYPERLINK("https://www.starwars.com/tv-shows/clone-wars/massacre-episode-guide","Season 4, Episode 19 · Episode guide")</x:f>
        <x:v>HYPERLINK is not implemented. linkLocation=https://www.starwars.com/tv-shows/clone-wars/massacre-episode-guide, friendlyName=Season 4, Episode 19 · Episode guide</x:v>
      </x:c>
    </x:row>
    <x:row r="109" s="23" customFormat="1" ht="36" customHeight="1">
      <x:c r="A109" s="28" t="b">
        <x:v>0</x:v>
      </x:c>
      <x:c r="B109" s="21" t="n">
        <x:v>103</x:v>
      </x:c>
      <x:c r="C109" s="14" t="inlineStr">
        <x:is>
          <x:t xml:space="preserve">Fall of the Jedi</x:t>
        </x:is>
      </x:c>
      <x:c r="D109" s="15" t="inlineStr">
        <x:is>
          <x:t xml:space="preserve">The Clone Wars: Bounty</x:t>
        </x:is>
      </x:c>
      <x:c r="E109" s="16" t="inlineStr">
        <x:is>
          <x:t xml:space="preserve">Season 4, Episode 20</x:t>
        </x:is>
      </x:c>
      <x:c r="F109" s="15" t="inlineStr">
        <x:is>
          <x:t xml:space="preserve">Series aired October 3, 2008–May 4, 2020</x:t>
        </x:is>
      </x:c>
      <x:c r="G109" s="15" t="inlineStr">
        <x:is>
          <x:t xml:space="preserve">Canon</x:t>
        </x:is>
      </x:c>
      <x:c r="H109" s="15" t="inlineStr">
        <x:is>
          <x:t xml:space="preserve">Episode</x:t>
        </x:is>
      </x:c>
      <x:c r="I109" s="15" t="inlineStr">
        <x:is>
          <x:t xml:space="preserve">Disney+</x:t>
        </x:is>
      </x:c>
      <x:c r="J109" s="18" t="e">
        <x:f>HYPERLINK("https://www.disneyplus.com/video/f7e92583-e67e-4ade-8da8-f64a2b38534a?cid=DTCI-Synergy-DDN-Site-Acquisition-StarWars-US-StarWars-StarWarsTheCloneWars-EN-BlogArticleEmbed-TCWChronological_StreamOnDisneyPlusCTA-NA","Watch")</x:f>
        <x:v>HYPERLINK is not implemented. linkLocation=https://www.disneyplus.com/video/f7e92583-e67e-4ade-8da8-f64a2b38534a?cid=DTCI-Synergy-DDN-Site-Acquisition-StarWars-US-StarWars-StarWarsTheCloneWars-EN-BlogArticleEmbed-TCWChronological_StreamOnDisneyPlusCTA-NA, friendlyName=Watch</x:v>
      </x:c>
      <x:c r="K109" s="22" t="e">
        <x:f>HYPERLINK("https://www.starwars.com/tv-shows/clone-wars/bounty-episode-guide","Season 4, Episode 20 · Episode guide")</x:f>
        <x:v>HYPERLINK is not implemented. linkLocation=https://www.starwars.com/tv-shows/clone-wars/bounty-episode-guide, friendlyName=Season 4, Episode 20 · Episode guide</x:v>
      </x:c>
    </x:row>
    <x:row r="110" s="23" customFormat="1" ht="36" customHeight="1">
      <x:c r="A110" s="28" t="b">
        <x:v>0</x:v>
      </x:c>
      <x:c r="B110" s="21" t="n">
        <x:v>104</x:v>
      </x:c>
      <x:c r="C110" s="14" t="inlineStr">
        <x:is>
          <x:t xml:space="preserve">Fall of the Jedi</x:t>
        </x:is>
      </x:c>
      <x:c r="D110" s="15" t="inlineStr">
        <x:is>
          <x:t xml:space="preserve">The Clone Wars: Brothers</x:t>
        </x:is>
      </x:c>
      <x:c r="E110" s="16" t="inlineStr">
        <x:is>
          <x:t xml:space="preserve">Season 4, Episode 21</x:t>
        </x:is>
      </x:c>
      <x:c r="F110" s="15" t="inlineStr">
        <x:is>
          <x:t xml:space="preserve">Series aired October 3, 2008–May 4, 2020</x:t>
        </x:is>
      </x:c>
      <x:c r="G110" s="15" t="inlineStr">
        <x:is>
          <x:t xml:space="preserve">Canon</x:t>
        </x:is>
      </x:c>
      <x:c r="H110" s="15" t="inlineStr">
        <x:is>
          <x:t xml:space="preserve">Episode</x:t>
        </x:is>
      </x:c>
      <x:c r="I110" s="15" t="inlineStr">
        <x:is>
          <x:t xml:space="preserve">Disney+</x:t>
        </x:is>
      </x:c>
      <x:c r="J110" s="18" t="e">
        <x:f>HYPERLINK("https://www.disneyplus.com/video/ea059b38-a21c-4ff2-8e64-6c3bda2d6afc?cid=DTCI-Synergy-DDN-Site-Acquisition-StarWars-US-StarWars-StarWarsTheCloneWars-EN-BlogArticleEmbed-TCWChronological_StreamOnDisneyPlusCTA-NA","Watch")</x:f>
        <x:v>HYPERLINK is not implemented. linkLocation=https://www.disneyplus.com/video/ea059b38-a21c-4ff2-8e64-6c3bda2d6afc?cid=DTCI-Synergy-DDN-Site-Acquisition-StarWars-US-StarWars-StarWarsTheCloneWars-EN-BlogArticleEmbed-TCWChronological_StreamOnDisneyPlusCTA-NA, friendlyName=Watch</x:v>
      </x:c>
      <x:c r="K110" s="22" t="e">
        <x:f>HYPERLINK("https://www.starwars.com/tv-shows/clone-wars/brothers-episode-guide","Season 4, Episode 21 · Episode guide")</x:f>
        <x:v>HYPERLINK is not implemented. linkLocation=https://www.starwars.com/tv-shows/clone-wars/brothers-episode-guide, friendlyName=Season 4, Episode 21 · Episode guide</x:v>
      </x:c>
    </x:row>
    <x:row r="111" s="23" customFormat="1" ht="36" customHeight="1">
      <x:c r="A111" s="28" t="b">
        <x:v>0</x:v>
      </x:c>
      <x:c r="B111" s="21" t="n">
        <x:v>105</x:v>
      </x:c>
      <x:c r="C111" s="14" t="inlineStr">
        <x:is>
          <x:t xml:space="preserve">Fall of the Jedi</x:t>
        </x:is>
      </x:c>
      <x:c r="D111" s="15" t="inlineStr">
        <x:is>
          <x:t xml:space="preserve">The Clone Wars: Revenge</x:t>
        </x:is>
      </x:c>
      <x:c r="E111" s="16" t="inlineStr">
        <x:is>
          <x:t xml:space="preserve">Season 4, Episode 22</x:t>
        </x:is>
      </x:c>
      <x:c r="F111" s="15" t="inlineStr">
        <x:is>
          <x:t xml:space="preserve">Series aired October 3, 2008–May 4, 2020</x:t>
        </x:is>
      </x:c>
      <x:c r="G111" s="15" t="inlineStr">
        <x:is>
          <x:t xml:space="preserve">Canon</x:t>
        </x:is>
      </x:c>
      <x:c r="H111" s="15" t="inlineStr">
        <x:is>
          <x:t xml:space="preserve">Episode</x:t>
        </x:is>
      </x:c>
      <x:c r="I111" s="15" t="inlineStr">
        <x:is>
          <x:t xml:space="preserve">Disney+</x:t>
        </x:is>
      </x:c>
      <x:c r="J111" s="18" t="e">
        <x:f>HYPERLINK("https://www.disneyplus.com/video/6a302c32-b9bb-4d73-b69d-7698df40ae54?cid=DTCI-Synergy-DDN-Site-Acquisition-StarWars-US-StarWars-StarWarsTheCloneWars-EN-BlogArticleEmbed-TCWChronological_StreamOnDisneyPlusCTA-NA","Watch")</x:f>
        <x:v>HYPERLINK is not implemented. linkLocation=https://www.disneyplus.com/video/6a302c32-b9bb-4d73-b69d-7698df40ae54?cid=DTCI-Synergy-DDN-Site-Acquisition-StarWars-US-StarWars-StarWarsTheCloneWars-EN-BlogArticleEmbed-TCWChronological_StreamOnDisneyPlusCTA-NA, friendlyName=Watch</x:v>
      </x:c>
      <x:c r="K111" s="22" t="e">
        <x:f>HYPERLINK("https://www.starwars.com/tv-shows/clone-wars/revenge-episode-guide","Season 4, Episode 22 · Episode guide")</x:f>
        <x:v>HYPERLINK is not implemented. linkLocation=https://www.starwars.com/tv-shows/clone-wars/revenge-episode-guide, friendlyName=Season 4, Episode 22 · Episode guide</x:v>
      </x:c>
    </x:row>
    <x:row r="112" s="23" customFormat="1" ht="36" customHeight="1">
      <x:c r="A112" s="28" t="b">
        <x:v>0</x:v>
      </x:c>
      <x:c r="B112" s="21" t="n">
        <x:v>106</x:v>
      </x:c>
      <x:c r="C112" s="14" t="inlineStr">
        <x:is>
          <x:t xml:space="preserve">Fall of the Jedi</x:t>
        </x:is>
      </x:c>
      <x:c r="D112" s="15" t="inlineStr">
        <x:is>
          <x:t xml:space="preserve">The Clone Wars: A War on Two Fronts</x:t>
        </x:is>
      </x:c>
      <x:c r="E112" s="16" t="inlineStr">
        <x:is>
          <x:t xml:space="preserve">Season 5, Episode 2</x:t>
        </x:is>
      </x:c>
      <x:c r="F112" s="15" t="inlineStr">
        <x:is>
          <x:t xml:space="preserve">Series aired October 3, 2008–May 4, 2020</x:t>
        </x:is>
      </x:c>
      <x:c r="G112" s="15" t="inlineStr">
        <x:is>
          <x:t xml:space="preserve">Canon</x:t>
        </x:is>
      </x:c>
      <x:c r="H112" s="15" t="inlineStr">
        <x:is>
          <x:t xml:space="preserve">Episode</x:t>
        </x:is>
      </x:c>
      <x:c r="I112" s="15" t="inlineStr">
        <x:is>
          <x:t xml:space="preserve">Disney+</x:t>
        </x:is>
      </x:c>
      <x:c r="J112" s="18" t="e">
        <x:f>HYPERLINK("https://www.disneyplus.com/video/ede2e807-00f4-4c49-b634-16d7826ef47a?cid=DTCI-Synergy-DDN-Site-Acquisition-StarWars-US-StarWars-StarWarsTheCloneWars-EN-BlogArticleEmbed-TCWChronological_StreamOnDisneyPlusCTA-NA","Watch")</x:f>
        <x:v>HYPERLINK is not implemented. linkLocation=https://www.disneyplus.com/video/ede2e807-00f4-4c49-b634-16d7826ef47a?cid=DTCI-Synergy-DDN-Site-Acquisition-StarWars-US-StarWars-StarWarsTheCloneWars-EN-BlogArticleEmbed-TCWChronological_StreamOnDisneyPlusCTA-NA, friendlyName=Watch</x:v>
      </x:c>
      <x:c r="K112" s="22" t="e">
        <x:f>HYPERLINK("https://www.starwars.com/tv-shows/clone-wars/a-war-on-two-fronts-episode-guide","Season 5, Episode 2 · Episode guide")</x:f>
        <x:v>HYPERLINK is not implemented. linkLocation=https://www.starwars.com/tv-shows/clone-wars/a-war-on-two-fronts-episode-guide, friendlyName=Season 5, Episode 2 · Episode guide</x:v>
      </x:c>
    </x:row>
    <x:row r="113" s="23" customFormat="1" ht="36" customHeight="1">
      <x:c r="A113" s="28" t="b">
        <x:v>0</x:v>
      </x:c>
      <x:c r="B113" s="21" t="n">
        <x:v>107</x:v>
      </x:c>
      <x:c r="C113" s="14" t="inlineStr">
        <x:is>
          <x:t xml:space="preserve">Fall of the Jedi</x:t>
        </x:is>
      </x:c>
      <x:c r="D113" s="15" t="inlineStr">
        <x:is>
          <x:t xml:space="preserve">The Clone Wars: Front Runners</x:t>
        </x:is>
      </x:c>
      <x:c r="E113" s="16" t="inlineStr">
        <x:is>
          <x:t xml:space="preserve">Season 5, Episode 3</x:t>
        </x:is>
      </x:c>
      <x:c r="F113" s="15" t="inlineStr">
        <x:is>
          <x:t xml:space="preserve">Series aired October 3, 2008–May 4, 2020</x:t>
        </x:is>
      </x:c>
      <x:c r="G113" s="15" t="inlineStr">
        <x:is>
          <x:t xml:space="preserve">Canon</x:t>
        </x:is>
      </x:c>
      <x:c r="H113" s="15" t="inlineStr">
        <x:is>
          <x:t xml:space="preserve">Episode</x:t>
        </x:is>
      </x:c>
      <x:c r="I113" s="15" t="inlineStr">
        <x:is>
          <x:t xml:space="preserve">Disney+</x:t>
        </x:is>
      </x:c>
      <x:c r="J113" s="18" t="e">
        <x:f>HYPERLINK("https://www.disneyplus.com/video/e834cd28-5335-43c7-a5f1-9814431f414c?cid=DTCI-Synergy-DDN-Site-Acquisition-StarWars-US-StarWars-StarWarsTheCloneWars-EN-BlogArticleEmbed-TCWChronological_StreamOnDisneyPlusCTA-NA","Watch")</x:f>
        <x:v>HYPERLINK is not implemented. linkLocation=https://www.disneyplus.com/video/e834cd28-5335-43c7-a5f1-9814431f414c?cid=DTCI-Synergy-DDN-Site-Acquisition-StarWars-US-StarWars-StarWarsTheCloneWars-EN-BlogArticleEmbed-TCWChronological_StreamOnDisneyPlusCTA-NA, friendlyName=Watch</x:v>
      </x:c>
      <x:c r="K113" s="22" t="e">
        <x:f>HYPERLINK("https://www.starwars.com/tv-shows/clone-wars/front-runners-episode-guide","Season 5, Episode 3 · Episode guide")</x:f>
        <x:v>HYPERLINK is not implemented. linkLocation=https://www.starwars.com/tv-shows/clone-wars/front-runners-episode-guide, friendlyName=Season 5, Episode 3 · Episode guide</x:v>
      </x:c>
    </x:row>
    <x:row r="114" s="23" customFormat="1" ht="36" customHeight="1">
      <x:c r="A114" s="28" t="b">
        <x:v>0</x:v>
      </x:c>
      <x:c r="B114" s="21" t="n">
        <x:v>108</x:v>
      </x:c>
      <x:c r="C114" s="14" t="inlineStr">
        <x:is>
          <x:t xml:space="preserve">Fall of the Jedi</x:t>
        </x:is>
      </x:c>
      <x:c r="D114" s="15" t="inlineStr">
        <x:is>
          <x:t xml:space="preserve">The Clone Wars: The Soft War</x:t>
        </x:is>
      </x:c>
      <x:c r="E114" s="16" t="inlineStr">
        <x:is>
          <x:t xml:space="preserve">Season 5, Episode 4</x:t>
        </x:is>
      </x:c>
      <x:c r="F114" s="15" t="inlineStr">
        <x:is>
          <x:t xml:space="preserve">Series aired October 3, 2008–May 4, 2020</x:t>
        </x:is>
      </x:c>
      <x:c r="G114" s="15" t="inlineStr">
        <x:is>
          <x:t xml:space="preserve">Canon</x:t>
        </x:is>
      </x:c>
      <x:c r="H114" s="15" t="inlineStr">
        <x:is>
          <x:t xml:space="preserve">Episode</x:t>
        </x:is>
      </x:c>
      <x:c r="I114" s="15" t="inlineStr">
        <x:is>
          <x:t xml:space="preserve">Disney+</x:t>
        </x:is>
      </x:c>
      <x:c r="J114" s="18" t="e">
        <x:f>HYPERLINK("https://www.disneyplus.com/video/bda5b155-0414-458c-9c65-457697ae8fb5?cid=DTCI-Synergy-DDN-Site-Acquisition-StarWars-US-StarWars-StarWarsTheCloneWars-EN-BlogArticleEmbed-TCWChronological_StreamOnDisneyPlusCTA-NA","Watch")</x:f>
        <x:v>HYPERLINK is not implemented. linkLocation=https://www.disneyplus.com/video/bda5b155-0414-458c-9c65-457697ae8fb5?cid=DTCI-Synergy-DDN-Site-Acquisition-StarWars-US-StarWars-StarWarsTheCloneWars-EN-BlogArticleEmbed-TCWChronological_StreamOnDisneyPlusCTA-NA, friendlyName=Watch</x:v>
      </x:c>
      <x:c r="K114" s="22" t="e">
        <x:f>HYPERLINK("https://www.starwars.com/tv-shows/clone-wars/the-soft-war-episode-guide","Season 5, Episode 4 · Episode guide")</x:f>
        <x:v>HYPERLINK is not implemented. linkLocation=https://www.starwars.com/tv-shows/clone-wars/the-soft-war-episode-guide, friendlyName=Season 5, Episode 4 · Episode guide</x:v>
      </x:c>
    </x:row>
    <x:row r="115" s="23" customFormat="1" ht="36" customHeight="1">
      <x:c r="A115" s="28" t="b">
        <x:v>0</x:v>
      </x:c>
      <x:c r="B115" s="21" t="n">
        <x:v>109</x:v>
      </x:c>
      <x:c r="C115" s="14" t="inlineStr">
        <x:is>
          <x:t xml:space="preserve">Fall of the Jedi</x:t>
        </x:is>
      </x:c>
      <x:c r="D115" s="15" t="inlineStr">
        <x:is>
          <x:t xml:space="preserve">The Clone Wars: Tipping Points</x:t>
        </x:is>
      </x:c>
      <x:c r="E115" s="16" t="inlineStr">
        <x:is>
          <x:t xml:space="preserve">Season 5, Episode 5</x:t>
        </x:is>
      </x:c>
      <x:c r="F115" s="15" t="inlineStr">
        <x:is>
          <x:t xml:space="preserve">Series aired October 3, 2008–May 4, 2020</x:t>
        </x:is>
      </x:c>
      <x:c r="G115" s="15" t="inlineStr">
        <x:is>
          <x:t xml:space="preserve">Canon</x:t>
        </x:is>
      </x:c>
      <x:c r="H115" s="15" t="inlineStr">
        <x:is>
          <x:t xml:space="preserve">Episode</x:t>
        </x:is>
      </x:c>
      <x:c r="I115" s="15" t="inlineStr">
        <x:is>
          <x:t xml:space="preserve">Disney+</x:t>
        </x:is>
      </x:c>
      <x:c r="J115" s="18" t="e">
        <x:f>HYPERLINK("https://www.disneyplus.com/video/682b3543-c8ae-4f19-99f9-411bb43a0467?cid=DTCI-Synergy-DDN-Site-Acquisition-StarWars-US-StarWars-StarWarsTheCloneWars-EN-BlogArticleEmbed-TCWChronological_StreamOnDisneyPlusCTA-NA","Watch")</x:f>
        <x:v>HYPERLINK is not implemented. linkLocation=https://www.disneyplus.com/video/682b3543-c8ae-4f19-99f9-411bb43a0467?cid=DTCI-Synergy-DDN-Site-Acquisition-StarWars-US-StarWars-StarWarsTheCloneWars-EN-BlogArticleEmbed-TCWChronological_StreamOnDisneyPlusCTA-NA, friendlyName=Watch</x:v>
      </x:c>
      <x:c r="K115" s="22" t="e">
        <x:f>HYPERLINK("https://www.starwars.com/tv-shows/clone-wars/tipping-points-episode-guide","Season 5, Episode 5 · Episode guide")</x:f>
        <x:v>HYPERLINK is not implemented. linkLocation=https://www.starwars.com/tv-shows/clone-wars/tipping-points-episode-guide, friendlyName=Season 5, Episode 5 · Episode guide</x:v>
      </x:c>
    </x:row>
    <x:row r="116" s="23" customFormat="1" ht="36" customHeight="1">
      <x:c r="A116" s="28" t="b">
        <x:v>0</x:v>
      </x:c>
      <x:c r="B116" s="21" t="n">
        <x:v>110</x:v>
      </x:c>
      <x:c r="C116" s="14" t="inlineStr">
        <x:is>
          <x:t xml:space="preserve">Fall of the Jedi</x:t>
        </x:is>
      </x:c>
      <x:c r="D116" s="15" t="inlineStr">
        <x:is>
          <x:t xml:space="preserve">The Clone Wars: The Gathering</x:t>
        </x:is>
      </x:c>
      <x:c r="E116" s="16" t="inlineStr">
        <x:is>
          <x:t xml:space="preserve">Season 5, Episode 6</x:t>
        </x:is>
      </x:c>
      <x:c r="F116" s="15" t="inlineStr">
        <x:is>
          <x:t xml:space="preserve">Series aired October 3, 2008–May 4, 2020</x:t>
        </x:is>
      </x:c>
      <x:c r="G116" s="15" t="inlineStr">
        <x:is>
          <x:t xml:space="preserve">Canon</x:t>
        </x:is>
      </x:c>
      <x:c r="H116" s="15" t="inlineStr">
        <x:is>
          <x:t xml:space="preserve">Episode</x:t>
        </x:is>
      </x:c>
      <x:c r="I116" s="15" t="inlineStr">
        <x:is>
          <x:t xml:space="preserve">Disney+</x:t>
        </x:is>
      </x:c>
      <x:c r="J116" s="18" t="e">
        <x:f>HYPERLINK("https://www.disneyplus.com/video/dce32899-0e62-479d-b33a-37ca69ad9565?cid=DTCI-Synergy-DDN-Site-Acquisition-StarWars-US-StarWars-StarWarsTheCloneWars-EN-BlogArticleEmbed-TCWChronological_StreamOnDisneyPlusCTA-NA","Watch")</x:f>
        <x:v>HYPERLINK is not implemented. linkLocation=https://www.disneyplus.com/video/dce32899-0e62-479d-b33a-37ca69ad9565?cid=DTCI-Synergy-DDN-Site-Acquisition-StarWars-US-StarWars-StarWarsTheCloneWars-EN-BlogArticleEmbed-TCWChronological_StreamOnDisneyPlusCTA-NA, friendlyName=Watch</x:v>
      </x:c>
      <x:c r="K116" s="22" t="e">
        <x:f>HYPERLINK("https://www.starwars.com/tv-shows/clone-wars/the-gathering-episode-guide","Season 5, Episode 6 · Episode guide")</x:f>
        <x:v>HYPERLINK is not implemented. linkLocation=https://www.starwars.com/tv-shows/clone-wars/the-gathering-episode-guide, friendlyName=Season 5, Episode 6 · Episode guide</x:v>
      </x:c>
    </x:row>
    <x:row r="117" s="23" customFormat="1" ht="15.75" customHeight="1">
      <x:c r="A117" s="28" t="b">
        <x:v>0</x:v>
      </x:c>
      <x:c r="B117" s="21" t="n">
        <x:v>111</x:v>
      </x:c>
      <x:c r="C117" s="14" t="inlineStr">
        <x:is>
          <x:t xml:space="preserve">Fall of the Jedi</x:t>
        </x:is>
      </x:c>
      <x:c r="D117" s="15" t="inlineStr">
        <x:is>
          <x:t xml:space="preserve">The Clone Wars: A Test of Strength</x:t>
        </x:is>
      </x:c>
      <x:c r="E117" s="16" t="inlineStr">
        <x:is>
          <x:t xml:space="preserve">Season 5, Episode 7</x:t>
        </x:is>
      </x:c>
      <x:c r="F117" s="15" t="inlineStr">
        <x:is>
          <x:t xml:space="preserve">Series aired October 3, 2008–May 4, 2020</x:t>
        </x:is>
      </x:c>
      <x:c r="G117" s="15" t="inlineStr">
        <x:is>
          <x:t xml:space="preserve">Canon</x:t>
        </x:is>
      </x:c>
      <x:c r="H117" s="15" t="inlineStr">
        <x:is>
          <x:t xml:space="preserve">Episode</x:t>
        </x:is>
      </x:c>
      <x:c r="I117" s="15" t="inlineStr">
        <x:is>
          <x:t xml:space="preserve">Disney+</x:t>
        </x:is>
      </x:c>
      <x:c r="J117" s="18" t="e">
        <x:f>HYPERLINK("https://www.disneyplus.com/video/da339c6c-de91-40f2-a091-09cb11a80f17?cid=DTCI-Synergy-DDN-Site-Acquisition-StarWars-US-StarWars-StarWarsTheCloneWars-EN-BlogArticleEmbed-TCWChronological_StreamOnDisneyPlusCTA-NA","Watch")</x:f>
        <x:v>HYPERLINK is not implemented. linkLocation=https://www.disneyplus.com/video/da339c6c-de91-40f2-a091-09cb11a80f17?cid=DTCI-Synergy-DDN-Site-Acquisition-StarWars-US-StarWars-StarWarsTheCloneWars-EN-BlogArticleEmbed-TCWChronological_StreamOnDisneyPlusCTA-NA, friendlyName=Watch</x:v>
      </x:c>
      <x:c r="K117" s="22" t="e">
        <x:f>HYPERLINK("https://www.starwars.com/tv-shows/clone-wars/a-test-of-strength-episode-guide","Season 5, Episode 7 · Episode guide")</x:f>
        <x:v>HYPERLINK is not implemented. linkLocation=https://www.starwars.com/tv-shows/clone-wars/a-test-of-strength-episode-guide, friendlyName=Season 5, Episode 7 · Episode guide</x:v>
      </x:c>
    </x:row>
    <x:row r="118" s="23" customFormat="1" ht="15.75" customHeight="1">
      <x:c r="A118" s="28" t="b">
        <x:v>0</x:v>
      </x:c>
      <x:c r="B118" s="21" t="n">
        <x:v>112</x:v>
      </x:c>
      <x:c r="C118" s="14" t="inlineStr">
        <x:is>
          <x:t xml:space="preserve">Fall of the Jedi</x:t>
        </x:is>
      </x:c>
      <x:c r="D118" s="15" t="inlineStr">
        <x:is>
          <x:t xml:space="preserve">The Clone Wars: Bound for Rescue</x:t>
        </x:is>
      </x:c>
      <x:c r="E118" s="16" t="inlineStr">
        <x:is>
          <x:t xml:space="preserve">Season 5, Episode 8</x:t>
        </x:is>
      </x:c>
      <x:c r="F118" s="15" t="inlineStr">
        <x:is>
          <x:t xml:space="preserve">Series aired October 3, 2008–May 4, 2020</x:t>
        </x:is>
      </x:c>
      <x:c r="G118" s="15" t="inlineStr">
        <x:is>
          <x:t xml:space="preserve">Canon</x:t>
        </x:is>
      </x:c>
      <x:c r="H118" s="15" t="inlineStr">
        <x:is>
          <x:t xml:space="preserve">Episode</x:t>
        </x:is>
      </x:c>
      <x:c r="I118" s="15" t="inlineStr">
        <x:is>
          <x:t xml:space="preserve">Disney+</x:t>
        </x:is>
      </x:c>
      <x:c r="J118" s="18" t="e">
        <x:f>HYPERLINK("https://www.disneyplus.com/video/8cc2c6fb-ec6b-406e-a334-bb44f2fed008?cid=DTCI-Synergy-DDN-Site-Acquisition-StarWars-US-StarWars-StarWarsTheCloneWars-EN-BlogArticleEmbed-TCWChronological_StreamOnDisneyPlusCTA-NA","Watch")</x:f>
        <x:v>HYPERLINK is not implemented. linkLocation=https://www.disneyplus.com/video/8cc2c6fb-ec6b-406e-a334-bb44f2fed008?cid=DTCI-Synergy-DDN-Site-Acquisition-StarWars-US-StarWars-StarWarsTheCloneWars-EN-BlogArticleEmbed-TCWChronological_StreamOnDisneyPlusCTA-NA, friendlyName=Watch</x:v>
      </x:c>
      <x:c r="K118" s="22" t="e">
        <x:f>HYPERLINK("https://www.starwars.com/series/clone-wars/bound-for-rescue-episode-guide","Season 5, Episode 8 · Episode guide")</x:f>
        <x:v>HYPERLINK is not implemented. linkLocation=https://www.starwars.com/series/clone-wars/bound-for-rescue-episode-guide, friendlyName=Season 5, Episode 8 · Episode guide</x:v>
      </x:c>
    </x:row>
    <x:row r="119" s="23" customFormat="1" ht="15.75" customHeight="1">
      <x:c r="A119" s="28" t="b">
        <x:v>0</x:v>
      </x:c>
      <x:c r="B119" s="21" t="n">
        <x:v>113</x:v>
      </x:c>
      <x:c r="C119" s="14" t="inlineStr">
        <x:is>
          <x:t xml:space="preserve">Fall of the Jedi</x:t>
        </x:is>
      </x:c>
      <x:c r="D119" s="15" t="inlineStr">
        <x:is>
          <x:t xml:space="preserve">The Clone Wars: A Necessary Bond</x:t>
        </x:is>
      </x:c>
      <x:c r="E119" s="16" t="inlineStr">
        <x:is>
          <x:t xml:space="preserve">Season 5, Episode 9</x:t>
        </x:is>
      </x:c>
      <x:c r="F119" s="15" t="inlineStr">
        <x:is>
          <x:t xml:space="preserve">Series aired October 3, 2008–May 4, 2020</x:t>
        </x:is>
      </x:c>
      <x:c r="G119" s="15" t="inlineStr">
        <x:is>
          <x:t xml:space="preserve">Canon</x:t>
        </x:is>
      </x:c>
      <x:c r="H119" s="15" t="inlineStr">
        <x:is>
          <x:t xml:space="preserve">Episode</x:t>
        </x:is>
      </x:c>
      <x:c r="I119" s="15" t="inlineStr">
        <x:is>
          <x:t xml:space="preserve">Disney+</x:t>
        </x:is>
      </x:c>
      <x:c r="J119" s="18" t="e">
        <x:f>HYPERLINK("https://www.disneyplus.com/video/06eb2462-5d0c-42a9-a1b4-acc9ccfd109e?cid=DTCI-Synergy-DDN-Site-Acquisition-StarWars-US-StarWars-StarWarsTheCloneWars-EN-BlogArticleEmbed-TCWChronological_StreamOnDisneyPlusCTA-NA","Watch")</x:f>
        <x:v>HYPERLINK is not implemented. linkLocation=https://www.disneyplus.com/video/06eb2462-5d0c-42a9-a1b4-acc9ccfd109e?cid=DTCI-Synergy-DDN-Site-Acquisition-StarWars-US-StarWars-StarWarsTheCloneWars-EN-BlogArticleEmbed-TCWChronological_StreamOnDisneyPlusCTA-NA, friendlyName=Watch</x:v>
      </x:c>
      <x:c r="K119" s="22" t="e">
        <x:f>HYPERLINK("https://www.starwars.com/series/clone-wars/a-necessary-bond-episode-guide","Season 5, Episode 9 · Episode guide")</x:f>
        <x:v>HYPERLINK is not implemented. linkLocation=https://www.starwars.com/series/clone-wars/a-necessary-bond-episode-guide, friendlyName=Season 5, Episode 9 · Episode guide</x:v>
      </x:c>
    </x:row>
    <x:row r="120" s="23" customFormat="1" ht="15.75" customHeight="1">
      <x:c r="A120" s="28" t="b">
        <x:v>0</x:v>
      </x:c>
      <x:c r="B120" s="21" t="n">
        <x:v>114</x:v>
      </x:c>
      <x:c r="C120" s="14" t="inlineStr">
        <x:is>
          <x:t xml:space="preserve">Fall of the Jedi</x:t>
        </x:is>
      </x:c>
      <x:c r="D120" s="15" t="inlineStr">
        <x:is>
          <x:t xml:space="preserve">The Clone Wars: Secret Weapons</x:t>
        </x:is>
      </x:c>
      <x:c r="E120" s="16" t="inlineStr">
        <x:is>
          <x:t xml:space="preserve">Season 5, Episode 10</x:t>
        </x:is>
      </x:c>
      <x:c r="F120" s="15" t="inlineStr">
        <x:is>
          <x:t xml:space="preserve">Series aired October 3, 2008–May 4, 2020</x:t>
        </x:is>
      </x:c>
      <x:c r="G120" s="15" t="inlineStr">
        <x:is>
          <x:t xml:space="preserve">Canon</x:t>
        </x:is>
      </x:c>
      <x:c r="H120" s="15" t="inlineStr">
        <x:is>
          <x:t xml:space="preserve">Episode</x:t>
        </x:is>
      </x:c>
      <x:c r="I120" s="15" t="inlineStr">
        <x:is>
          <x:t xml:space="preserve">Disney+</x:t>
        </x:is>
      </x:c>
      <x:c r="J120" s="18" t="e">
        <x:f>HYPERLINK("https://www.disneyplus.com/video/29f4f86d-1c16-47b5-9f2c-9df1e58fc01f?cid=DTCI-Synergy-DDN-Site-Acquisition-StarWars-US-StarWars-StarWarsTheCloneWars-EN-BlogArticleEmbed-TCWChronological_StreamOnDisneyPlusCTA-NA","Watch")</x:f>
        <x:v>HYPERLINK is not implemented. linkLocation=https://www.disneyplus.com/video/29f4f86d-1c16-47b5-9f2c-9df1e58fc01f?cid=DTCI-Synergy-DDN-Site-Acquisition-StarWars-US-StarWars-StarWarsTheCloneWars-EN-BlogArticleEmbed-TCWChronological_StreamOnDisneyPlusCTA-NA, friendlyName=Watch</x:v>
      </x:c>
      <x:c r="K120" s="22" t="e">
        <x:f>HYPERLINK("https://www.starwars.com/tv-shows/clone-wars/secret-weapons-episode-guide","Season 5, Episode 10 · Episode guide")</x:f>
        <x:v>HYPERLINK is not implemented. linkLocation=https://www.starwars.com/tv-shows/clone-wars/secret-weapons-episode-guide, friendlyName=Season 5, Episode 10 · Episode guide</x:v>
      </x:c>
    </x:row>
    <x:row r="121" s="23" customFormat="1" ht="15.75" customHeight="1">
      <x:c r="A121" s="28" t="b">
        <x:v>0</x:v>
      </x:c>
      <x:c r="B121" s="21" t="n">
        <x:v>115</x:v>
      </x:c>
      <x:c r="C121" s="14" t="inlineStr">
        <x:is>
          <x:t xml:space="preserve">Fall of the Jedi</x:t>
        </x:is>
      </x:c>
      <x:c r="D121" s="15" t="inlineStr">
        <x:is>
          <x:t xml:space="preserve">The Clone Wars: A Sunny Day in the Void</x:t>
        </x:is>
      </x:c>
      <x:c r="E121" s="16" t="inlineStr">
        <x:is>
          <x:t xml:space="preserve">Season 5, Episode 11</x:t>
        </x:is>
      </x:c>
      <x:c r="F121" s="15" t="inlineStr">
        <x:is>
          <x:t xml:space="preserve">Series aired October 3, 2008–May 4, 2020</x:t>
        </x:is>
      </x:c>
      <x:c r="G121" s="15" t="inlineStr">
        <x:is>
          <x:t xml:space="preserve">Canon</x:t>
        </x:is>
      </x:c>
      <x:c r="H121" s="15" t="inlineStr">
        <x:is>
          <x:t xml:space="preserve">Episode</x:t>
        </x:is>
      </x:c>
      <x:c r="I121" s="15" t="inlineStr">
        <x:is>
          <x:t xml:space="preserve">Disney+</x:t>
        </x:is>
      </x:c>
      <x:c r="J121" s="18" t="e">
        <x:f>HYPERLINK("https://www.disneyplus.com/video/9c96ac8c-2f1e-463e-8361-218fb2796aff?cid=DTCI-Synergy-DDN-Site-Acquisition-StarWars-US-StarWars-StarWarsTheCloneWars-EN-BlogArticleEmbed-TCWChronological_StreamOnDisneyPlusCTA-NA","Watch")</x:f>
        <x:v>HYPERLINK is not implemented. linkLocation=https://www.disneyplus.com/video/9c96ac8c-2f1e-463e-8361-218fb2796aff?cid=DTCI-Synergy-DDN-Site-Acquisition-StarWars-US-StarWars-StarWarsTheCloneWars-EN-BlogArticleEmbed-TCWChronological_StreamOnDisneyPlusCTA-NA, friendlyName=Watch</x:v>
      </x:c>
      <x:c r="K121" s="22" t="e">
        <x:f>HYPERLINK("https://www.starwars.com/tv-shows/clone-wars/a-sunny-day-in-the-void-episode-guide","Season 5, Episode 11 · Episode guide")</x:f>
        <x:v>HYPERLINK is not implemented. linkLocation=https://www.starwars.com/tv-shows/clone-wars/a-sunny-day-in-the-void-episode-guide, friendlyName=Season 5, Episode 11 · Episode guide</x:v>
      </x:c>
    </x:row>
    <x:row r="122" s="23" customFormat="1" ht="15.75" customHeight="1">
      <x:c r="A122" s="28" t="b">
        <x:v>0</x:v>
      </x:c>
      <x:c r="B122" s="21" t="n">
        <x:v>116</x:v>
      </x:c>
      <x:c r="C122" s="14" t="inlineStr">
        <x:is>
          <x:t xml:space="preserve">Fall of the Jedi</x:t>
        </x:is>
      </x:c>
      <x:c r="D122" s="15" t="inlineStr">
        <x:is>
          <x:t xml:space="preserve">The Clone Wars: Missing in Action</x:t>
        </x:is>
      </x:c>
      <x:c r="E122" s="16" t="inlineStr">
        <x:is>
          <x:t xml:space="preserve">Season 5, Episode 12</x:t>
        </x:is>
      </x:c>
      <x:c r="F122" s="15" t="inlineStr">
        <x:is>
          <x:t xml:space="preserve">Series aired October 3, 2008–May 4, 2020</x:t>
        </x:is>
      </x:c>
      <x:c r="G122" s="15" t="inlineStr">
        <x:is>
          <x:t xml:space="preserve">Canon</x:t>
        </x:is>
      </x:c>
      <x:c r="H122" s="15" t="inlineStr">
        <x:is>
          <x:t xml:space="preserve">Episode</x:t>
        </x:is>
      </x:c>
      <x:c r="I122" s="15" t="inlineStr">
        <x:is>
          <x:t xml:space="preserve">Disney+</x:t>
        </x:is>
      </x:c>
      <x:c r="J122" s="18" t="e">
        <x:f>HYPERLINK("https://www.disneyplus.com/video/3f8328ff-925d-4554-808c-5dc2c03c5df7?cid=DTCI-Synergy-DDN-Site-Acquisition-StarWars-US-StarWars-StarWarsTheCloneWars-EN-BlogArticleEmbed-TCWChronological_StreamOnDisneyPlusCTA-NA","Watch")</x:f>
        <x:v>HYPERLINK is not implemented. linkLocation=https://www.disneyplus.com/video/3f8328ff-925d-4554-808c-5dc2c03c5df7?cid=DTCI-Synergy-DDN-Site-Acquisition-StarWars-US-StarWars-StarWarsTheCloneWars-EN-BlogArticleEmbed-TCWChronological_StreamOnDisneyPlusCTA-NA, friendlyName=Watch</x:v>
      </x:c>
      <x:c r="K122" s="22" t="e">
        <x:f>HYPERLINK("https://www.starwars.com/tv-shows/clone-wars/missing-in-action-episode-guide","Season 5, Episode 12 · Episode guide")</x:f>
        <x:v>HYPERLINK is not implemented. linkLocation=https://www.starwars.com/tv-shows/clone-wars/missing-in-action-episode-guide, friendlyName=Season 5, Episode 12 · Episode guide</x:v>
      </x:c>
    </x:row>
    <x:row r="123" s="23" customFormat="1" ht="15.75" customHeight="1">
      <x:c r="A123" s="28" t="b">
        <x:v>0</x:v>
      </x:c>
      <x:c r="B123" s="21" t="n">
        <x:v>117</x:v>
      </x:c>
      <x:c r="C123" s="14" t="inlineStr">
        <x:is>
          <x:t xml:space="preserve">Fall of the Jedi</x:t>
        </x:is>
      </x:c>
      <x:c r="D123" s="15" t="inlineStr">
        <x:is>
          <x:t xml:space="preserve">The Clone Wars: Point of No Return</x:t>
        </x:is>
      </x:c>
      <x:c r="E123" s="16" t="inlineStr">
        <x:is>
          <x:t xml:space="preserve">Season 5, Episode 13</x:t>
        </x:is>
      </x:c>
      <x:c r="F123" s="15" t="inlineStr">
        <x:is>
          <x:t xml:space="preserve">Series aired October 3, 2008–May 4, 2020</x:t>
        </x:is>
      </x:c>
      <x:c r="G123" s="15" t="inlineStr">
        <x:is>
          <x:t xml:space="preserve">Canon</x:t>
        </x:is>
      </x:c>
      <x:c r="H123" s="15" t="inlineStr">
        <x:is>
          <x:t xml:space="preserve">Episode</x:t>
        </x:is>
      </x:c>
      <x:c r="I123" s="15" t="inlineStr">
        <x:is>
          <x:t xml:space="preserve">Disney+</x:t>
        </x:is>
      </x:c>
      <x:c r="J123" s="18" t="e">
        <x:f>HYPERLINK("https://www.disneyplus.com/video/7fd11383-337a-43ef-a633-94f357cc511a?cid=DTCI-Synergy-DDN-Site-Acquisition-StarWars-US-StarWars-StarWarsTheCloneWars-EN-BlogArticleEmbed-TCWChronological_StreamOnDisneyPlusCTA-NA","Watch")</x:f>
        <x:v>HYPERLINK is not implemented. linkLocation=https://www.disneyplus.com/video/7fd11383-337a-43ef-a633-94f357cc511a?cid=DTCI-Synergy-DDN-Site-Acquisition-StarWars-US-StarWars-StarWarsTheCloneWars-EN-BlogArticleEmbed-TCWChronological_StreamOnDisneyPlusCTA-NA, friendlyName=Watch</x:v>
      </x:c>
      <x:c r="K123" s="22" t="e">
        <x:f>HYPERLINK("https://www.starwars.com/tv-shows/clone-wars/point-of-no-return-episode-guide","Season 5, Episode 13 · Episode guide")</x:f>
        <x:v>HYPERLINK is not implemented. linkLocation=https://www.starwars.com/tv-shows/clone-wars/point-of-no-return-episode-guide, friendlyName=Season 5, Episode 13 · Episode guide</x:v>
      </x:c>
    </x:row>
    <x:row r="124" s="23" customFormat="1" ht="15.75" customHeight="1">
      <x:c r="A124" s="28" t="b">
        <x:v>0</x:v>
      </x:c>
      <x:c r="B124" s="21" t="n">
        <x:v>118</x:v>
      </x:c>
      <x:c r="C124" s="14" t="inlineStr">
        <x:is>
          <x:t xml:space="preserve">Fall of the Jedi</x:t>
        </x:is>
      </x:c>
      <x:c r="D124" s="15" t="inlineStr">
        <x:is>
          <x:t xml:space="preserve">The Clone Wars: Revival</x:t>
        </x:is>
      </x:c>
      <x:c r="E124" s="16" t="inlineStr">
        <x:is>
          <x:t xml:space="preserve">Season 5, Episode 1</x:t>
        </x:is>
      </x:c>
      <x:c r="F124" s="15" t="inlineStr">
        <x:is>
          <x:t xml:space="preserve">Series aired October 3, 2008–May 4, 2020</x:t>
        </x:is>
      </x:c>
      <x:c r="G124" s="15" t="inlineStr">
        <x:is>
          <x:t xml:space="preserve">Canon</x:t>
        </x:is>
      </x:c>
      <x:c r="H124" s="15" t="inlineStr">
        <x:is>
          <x:t xml:space="preserve">Episode</x:t>
        </x:is>
      </x:c>
      <x:c r="I124" s="15" t="inlineStr">
        <x:is>
          <x:t xml:space="preserve">Disney+</x:t>
        </x:is>
      </x:c>
      <x:c r="J124" s="18" t="e">
        <x:f>HYPERLINK("https://www.disneyplus.com/video/46bf27c0-bc74-404a-98de-56bbe187d941?cid=DTCI-Synergy-DDN-Site-Acquisition-StarWars-US-StarWars-StarWarsTheCloneWars-EN-BlogArticleEmbed-TCWChronological_StreamOnDisneyPlusCTA-NA","Watch")</x:f>
        <x:v>HYPERLINK is not implemented. linkLocation=https://www.disneyplus.com/video/46bf27c0-bc74-404a-98de-56bbe187d941?cid=DTCI-Synergy-DDN-Site-Acquisition-StarWars-US-StarWars-StarWarsTheCloneWars-EN-BlogArticleEmbed-TCWChronological_StreamOnDisneyPlusCTA-NA, friendlyName=Watch</x:v>
      </x:c>
      <x:c r="K124" s="22" t="e">
        <x:f>HYPERLINK("https://www.starwars.com/tv-shows/clone-wars/revival-episode-guide","Season 5, Episode 1 · Episode guide")</x:f>
        <x:v>HYPERLINK is not implemented. linkLocation=https://www.starwars.com/tv-shows/clone-wars/revival-episode-guide, friendlyName=Season 5, Episode 1 · Episode guide</x:v>
      </x:c>
    </x:row>
    <x:row r="125" s="23" customFormat="1" ht="15.75" customHeight="1">
      <x:c r="A125" s="28" t="b">
        <x:v>0</x:v>
      </x:c>
      <x:c r="B125" s="21" t="n">
        <x:v>119</x:v>
      </x:c>
      <x:c r="C125" s="14" t="inlineStr">
        <x:is>
          <x:t xml:space="preserve">Fall of the Jedi</x:t>
        </x:is>
      </x:c>
      <x:c r="D125" s="15" t="inlineStr">
        <x:is>
          <x:t xml:space="preserve">The Clone Wars: Eminence</x:t>
        </x:is>
      </x:c>
      <x:c r="E125" s="16" t="inlineStr">
        <x:is>
          <x:t xml:space="preserve">Season 5, Episode 14</x:t>
        </x:is>
      </x:c>
      <x:c r="F125" s="15" t="inlineStr">
        <x:is>
          <x:t xml:space="preserve">Series aired October 3, 2008–May 4, 2020</x:t>
        </x:is>
      </x:c>
      <x:c r="G125" s="15" t="inlineStr">
        <x:is>
          <x:t xml:space="preserve">Canon</x:t>
        </x:is>
      </x:c>
      <x:c r="H125" s="15" t="inlineStr">
        <x:is>
          <x:t xml:space="preserve">Episode</x:t>
        </x:is>
      </x:c>
      <x:c r="I125" s="15" t="inlineStr">
        <x:is>
          <x:t xml:space="preserve">Disney+</x:t>
        </x:is>
      </x:c>
      <x:c r="J125" s="18" t="e">
        <x:f>HYPERLINK("https://www.disneyplus.com/video/bce6b831-36ff-4ef7-9c85-7ae8030cdbcb?cid=DTCI-Synergy-DDN-Site-Acquisition-StarWars-US-StarWars-StarWarsTheCloneWars-EN-BlogArticleEmbed-TCWChronological_StreamOnDisneyPlusCTA-NA","Watch")</x:f>
        <x:v>HYPERLINK is not implemented. linkLocation=https://www.disneyplus.com/video/bce6b831-36ff-4ef7-9c85-7ae8030cdbcb?cid=DTCI-Synergy-DDN-Site-Acquisition-StarWars-US-StarWars-StarWarsTheCloneWars-EN-BlogArticleEmbed-TCWChronological_StreamOnDisneyPlusCTA-NA, friendlyName=Watch</x:v>
      </x:c>
      <x:c r="K125" s="22" t="e">
        <x:f>HYPERLINK("https://www.starwars.com/tv-shows/clone-wars/eminence-episode-guide","Season 5, Episode 14 · Episode guide")</x:f>
        <x:v>HYPERLINK is not implemented. linkLocation=https://www.starwars.com/tv-shows/clone-wars/eminence-episode-guide, friendlyName=Season 5, Episode 14 · Episode guide</x:v>
      </x:c>
    </x:row>
    <x:row r="126" s="23" customFormat="1" ht="15.75" customHeight="1">
      <x:c r="A126" s="28" t="b">
        <x:v>0</x:v>
      </x:c>
      <x:c r="B126" s="21" t="n">
        <x:v>120</x:v>
      </x:c>
      <x:c r="C126" s="14" t="inlineStr">
        <x:is>
          <x:t xml:space="preserve">Fall of the Jedi</x:t>
        </x:is>
      </x:c>
      <x:c r="D126" s="15" t="inlineStr">
        <x:is>
          <x:t xml:space="preserve">The Clone Wars: Shades of Reason</x:t>
        </x:is>
      </x:c>
      <x:c r="E126" s="16" t="inlineStr">
        <x:is>
          <x:t xml:space="preserve">Season 5, Episode 15</x:t>
        </x:is>
      </x:c>
      <x:c r="F126" s="15" t="inlineStr">
        <x:is>
          <x:t xml:space="preserve">Series aired October 3, 2008–May 4, 2020</x:t>
        </x:is>
      </x:c>
      <x:c r="G126" s="15" t="inlineStr">
        <x:is>
          <x:t xml:space="preserve">Canon</x:t>
        </x:is>
      </x:c>
      <x:c r="H126" s="15" t="inlineStr">
        <x:is>
          <x:t xml:space="preserve">Episode</x:t>
        </x:is>
      </x:c>
      <x:c r="I126" s="15" t="inlineStr">
        <x:is>
          <x:t xml:space="preserve">Disney+</x:t>
        </x:is>
      </x:c>
      <x:c r="J126" s="18" t="e">
        <x:f>HYPERLINK("https://www.disneyplus.com/video/9fce5334-6a7b-4308-9d90-e50e579b5cbb?cid=DTCI-Synergy-DDN-Site-Acquisition-StarWars-US-StarWars-StarWarsTheCloneWars-EN-BlogArticleEmbed-TCWChronological_StreamOnDisneyPlusCTA-NA","Watch")</x:f>
        <x:v>HYPERLINK is not implemented. linkLocation=https://www.disneyplus.com/video/9fce5334-6a7b-4308-9d90-e50e579b5cbb?cid=DTCI-Synergy-DDN-Site-Acquisition-StarWars-US-StarWars-StarWarsTheCloneWars-EN-BlogArticleEmbed-TCWChronological_StreamOnDisneyPlusCTA-NA, friendlyName=Watch</x:v>
      </x:c>
      <x:c r="K126" s="22" t="e">
        <x:f>HYPERLINK("https://www.starwars.com/tv-shows/clone-wars/shades-of-reason-episode-guide","Season 5, Episode 15 · Episode guide")</x:f>
        <x:v>HYPERLINK is not implemented. linkLocation=https://www.starwars.com/tv-shows/clone-wars/shades-of-reason-episode-guide, friendlyName=Season 5, Episode 15 · Episode guide</x:v>
      </x:c>
    </x:row>
    <x:row r="127" s="23" customFormat="1" ht="15.75" customHeight="1">
      <x:c r="A127" s="28" t="b">
        <x:v>0</x:v>
      </x:c>
      <x:c r="B127" s="21" t="n">
        <x:v>121</x:v>
      </x:c>
      <x:c r="C127" s="14" t="inlineStr">
        <x:is>
          <x:t xml:space="preserve">Fall of the Jedi</x:t>
        </x:is>
      </x:c>
      <x:c r="D127" s="15" t="inlineStr">
        <x:is>
          <x:t xml:space="preserve">The Clone Wars: The Lawless</x:t>
        </x:is>
      </x:c>
      <x:c r="E127" s="16" t="inlineStr">
        <x:is>
          <x:t xml:space="preserve">Season 5, Episode 16</x:t>
        </x:is>
      </x:c>
      <x:c r="F127" s="15" t="inlineStr">
        <x:is>
          <x:t xml:space="preserve">Series aired October 3, 2008–May 4, 2020</x:t>
        </x:is>
      </x:c>
      <x:c r="G127" s="15" t="inlineStr">
        <x:is>
          <x:t xml:space="preserve">Canon</x:t>
        </x:is>
      </x:c>
      <x:c r="H127" s="15" t="inlineStr">
        <x:is>
          <x:t xml:space="preserve">Episode</x:t>
        </x:is>
      </x:c>
      <x:c r="I127" s="15" t="inlineStr">
        <x:is>
          <x:t xml:space="preserve">Disney+</x:t>
        </x:is>
      </x:c>
      <x:c r="J127" s="18" t="e">
        <x:f>HYPERLINK("https://www.disneyplus.com/video/13bc0d23-46f6-4650-952c-57a19aac17bd?cid=DTCI-Synergy-DDN-Site-Acquisition-StarWars-US-StarWars-StarWarsTheCloneWars-EN-BlogArticleEmbed-TCWChronological_StreamOnDisneyPlusCTA-NA","Watch")</x:f>
        <x:v>HYPERLINK is not implemented. linkLocation=https://www.disneyplus.com/video/13bc0d23-46f6-4650-952c-57a19aac17bd?cid=DTCI-Synergy-DDN-Site-Acquisition-StarWars-US-StarWars-StarWarsTheCloneWars-EN-BlogArticleEmbed-TCWChronological_StreamOnDisneyPlusCTA-NA, friendlyName=Watch</x:v>
      </x:c>
      <x:c r="K127" s="22" t="e">
        <x:f>HYPERLINK("https://www.starwars.com/tv-shows/clone-wars/the-lawless-episode-guide","Season 5, Episode 16 · Episode guide")</x:f>
        <x:v>HYPERLINK is not implemented. linkLocation=https://www.starwars.com/tv-shows/clone-wars/the-lawless-episode-guide, friendlyName=Season 5, Episode 16 · Episode guide</x:v>
      </x:c>
    </x:row>
    <x:row r="128" s="23" customFormat="1" ht="15.75" customHeight="1">
      <x:c r="A128" s="28" t="b">
        <x:v>0</x:v>
      </x:c>
      <x:c r="B128" s="21" t="n">
        <x:v>122</x:v>
      </x:c>
      <x:c r="C128" s="14" t="inlineStr">
        <x:is>
          <x:t xml:space="preserve">Fall of the Jedi</x:t>
        </x:is>
      </x:c>
      <x:c r="D128" s="15" t="inlineStr">
        <x:is>
          <x:t xml:space="preserve">The Clone Wars: Sabotage</x:t>
        </x:is>
      </x:c>
      <x:c r="E128" s="16" t="inlineStr">
        <x:is>
          <x:t xml:space="preserve">Season 5, Episode 17</x:t>
        </x:is>
      </x:c>
      <x:c r="F128" s="15" t="inlineStr">
        <x:is>
          <x:t xml:space="preserve">Series aired October 3, 2008–May 4, 2020</x:t>
        </x:is>
      </x:c>
      <x:c r="G128" s="15" t="inlineStr">
        <x:is>
          <x:t xml:space="preserve">Canon</x:t>
        </x:is>
      </x:c>
      <x:c r="H128" s="15" t="inlineStr">
        <x:is>
          <x:t xml:space="preserve">Episode</x:t>
        </x:is>
      </x:c>
      <x:c r="I128" s="15" t="inlineStr">
        <x:is>
          <x:t xml:space="preserve">Disney+</x:t>
        </x:is>
      </x:c>
      <x:c r="J128" s="18" t="e">
        <x:f>HYPERLINK("https://www.disneyplus.com/video/17176f47-85e5-4687-ae84-a3d7f6984415?cid=DTCI-Synergy-DDN-Site-Acquisition-StarWars-US-StarWars-StarWarsTheCloneWars-EN-BlogArticleEmbed-TCWChronological_StreamOnDisneyPlusCTA-NA","Watch")</x:f>
        <x:v>HYPERLINK is not implemented. linkLocation=https://www.disneyplus.com/video/17176f47-85e5-4687-ae84-a3d7f6984415?cid=DTCI-Synergy-DDN-Site-Acquisition-StarWars-US-StarWars-StarWarsTheCloneWars-EN-BlogArticleEmbed-TCWChronological_StreamOnDisneyPlusCTA-NA, friendlyName=Watch</x:v>
      </x:c>
      <x:c r="K128" s="22" t="e">
        <x:f>HYPERLINK("https://www.starwars.com/tv-shows/clone-wars/sabotage-episode-guide","Season 5, Episode 17 · Episode guide")</x:f>
        <x:v>HYPERLINK is not implemented. linkLocation=https://www.starwars.com/tv-shows/clone-wars/sabotage-episode-guide, friendlyName=Season 5, Episode 17 · Episode guide</x:v>
      </x:c>
    </x:row>
    <x:row r="129" s="23" customFormat="1" ht="15.75" customHeight="1">
      <x:c r="A129" s="28" t="b">
        <x:v>0</x:v>
      </x:c>
      <x:c r="B129" s="21" t="n">
        <x:v>123</x:v>
      </x:c>
      <x:c r="C129" s="14" t="inlineStr">
        <x:is>
          <x:t xml:space="preserve">Fall of the Jedi</x:t>
        </x:is>
      </x:c>
      <x:c r="D129" s="15" t="inlineStr">
        <x:is>
          <x:t xml:space="preserve">The Clone Wars: The Jedi Who Knew Too Much</x:t>
        </x:is>
      </x:c>
      <x:c r="E129" s="16" t="inlineStr">
        <x:is>
          <x:t xml:space="preserve">Season 5, Episode 18</x:t>
        </x:is>
      </x:c>
      <x:c r="F129" s="15" t="inlineStr">
        <x:is>
          <x:t xml:space="preserve">Series aired October 3, 2008–May 4, 2020</x:t>
        </x:is>
      </x:c>
      <x:c r="G129" s="15" t="inlineStr">
        <x:is>
          <x:t xml:space="preserve">Canon</x:t>
        </x:is>
      </x:c>
      <x:c r="H129" s="15" t="inlineStr">
        <x:is>
          <x:t xml:space="preserve">Episode</x:t>
        </x:is>
      </x:c>
      <x:c r="I129" s="15" t="inlineStr">
        <x:is>
          <x:t xml:space="preserve">Disney+</x:t>
        </x:is>
      </x:c>
      <x:c r="J129" s="18" t="e">
        <x:f>HYPERLINK("https://www.disneyplus.com/video/a799d6f3-a50e-4be0-b8f2-8102f11c1bb7?cid=DTCI-Synergy-DDN-Site-Acquisition-StarWars-US-StarWars-StarWarsTheCloneWars-EN-BlogArticleEmbed-TCWChronological_StreamOnDisneyPlusCTA-NA","Watch")</x:f>
        <x:v>HYPERLINK is not implemented. linkLocation=https://www.disneyplus.com/video/a799d6f3-a50e-4be0-b8f2-8102f11c1bb7?cid=DTCI-Synergy-DDN-Site-Acquisition-StarWars-US-StarWars-StarWarsTheCloneWars-EN-BlogArticleEmbed-TCWChronological_StreamOnDisneyPlusCTA-NA, friendlyName=Watch</x:v>
      </x:c>
      <x:c r="K129" s="22" t="e">
        <x:f>HYPERLINK("https://www.starwars.com/tv-shows/clone-wars/the-jedi-who-knew-too-much-episode-guide","Season 5, Episode 18 · Episode guide")</x:f>
        <x:v>HYPERLINK is not implemented. linkLocation=https://www.starwars.com/tv-shows/clone-wars/the-jedi-who-knew-too-much-episode-guide, friendlyName=Season 5, Episode 18 · Episode guide</x:v>
      </x:c>
    </x:row>
    <x:row r="130" s="23" customFormat="1" ht="15.75" customHeight="1">
      <x:c r="A130" s="28" t="b">
        <x:v>0</x:v>
      </x:c>
      <x:c r="B130" s="21" t="n">
        <x:v>124</x:v>
      </x:c>
      <x:c r="C130" s="14" t="inlineStr">
        <x:is>
          <x:t xml:space="preserve">Fall of the Jedi</x:t>
        </x:is>
      </x:c>
      <x:c r="D130" s="15" t="inlineStr">
        <x:is>
          <x:t xml:space="preserve">The Clone Wars: To Catch a Jedi</x:t>
        </x:is>
      </x:c>
      <x:c r="E130" s="16" t="inlineStr">
        <x:is>
          <x:t xml:space="preserve">Season 5, Episode 19</x:t>
        </x:is>
      </x:c>
      <x:c r="F130" s="15" t="inlineStr">
        <x:is>
          <x:t xml:space="preserve">Series aired October 3, 2008–May 4, 2020</x:t>
        </x:is>
      </x:c>
      <x:c r="G130" s="15" t="inlineStr">
        <x:is>
          <x:t xml:space="preserve">Canon</x:t>
        </x:is>
      </x:c>
      <x:c r="H130" s="15" t="inlineStr">
        <x:is>
          <x:t xml:space="preserve">Episode</x:t>
        </x:is>
      </x:c>
      <x:c r="I130" s="15" t="inlineStr">
        <x:is>
          <x:t xml:space="preserve">Disney+</x:t>
        </x:is>
      </x:c>
      <x:c r="J130" s="18" t="e">
        <x:f>HYPERLINK("https://www.disneyplus.com/video/d504b77e-8c64-44a4-b051-ca5e9300d4a9?cid=DTCI-Synergy-DDN-Site-Acquisition-StarWars-US-StarWars-StarWarsTheCloneWars-EN-BlogArticleEmbed-TCWChronological_StreamOnDisneyPlusCTA-NA","Watch")</x:f>
        <x:v>HYPERLINK is not implemented. linkLocation=https://www.disneyplus.com/video/d504b77e-8c64-44a4-b051-ca5e9300d4a9?cid=DTCI-Synergy-DDN-Site-Acquisition-StarWars-US-StarWars-StarWarsTheCloneWars-EN-BlogArticleEmbed-TCWChronological_StreamOnDisneyPlusCTA-NA, friendlyName=Watch</x:v>
      </x:c>
      <x:c r="K130" s="22" t="e">
        <x:f>HYPERLINK("https://www.starwars.com/tv-shows/clone-wars/to-catch-a-jedi-episode-guide","Season 5, Episode 19 · Episode guide")</x:f>
        <x:v>HYPERLINK is not implemented. linkLocation=https://www.starwars.com/tv-shows/clone-wars/to-catch-a-jedi-episode-guide, friendlyName=Season 5, Episode 19 · Episode guide</x:v>
      </x:c>
    </x:row>
    <x:row r="131" s="23" customFormat="1" ht="15.75" customHeight="1">
      <x:c r="A131" s="28" t="b">
        <x:v>0</x:v>
      </x:c>
      <x:c r="B131" s="21" t="n">
        <x:v>125</x:v>
      </x:c>
      <x:c r="C131" s="14" t="inlineStr">
        <x:is>
          <x:t xml:space="preserve">Fall of the Jedi</x:t>
        </x:is>
      </x:c>
      <x:c r="D131" s="15" t="inlineStr">
        <x:is>
          <x:t xml:space="preserve">The Clone Wars: The Wrong Jedi</x:t>
        </x:is>
      </x:c>
      <x:c r="E131" s="16" t="inlineStr">
        <x:is>
          <x:t xml:space="preserve">Season 5, Episode 20</x:t>
        </x:is>
      </x:c>
      <x:c r="F131" s="15" t="inlineStr">
        <x:is>
          <x:t xml:space="preserve">Series aired October 3, 2008–May 4, 2020</x:t>
        </x:is>
      </x:c>
      <x:c r="G131" s="15" t="inlineStr">
        <x:is>
          <x:t xml:space="preserve">Canon</x:t>
        </x:is>
      </x:c>
      <x:c r="H131" s="15" t="inlineStr">
        <x:is>
          <x:t xml:space="preserve">Episode</x:t>
        </x:is>
      </x:c>
      <x:c r="I131" s="15" t="inlineStr">
        <x:is>
          <x:t xml:space="preserve">Disney+</x:t>
        </x:is>
      </x:c>
      <x:c r="J131" s="18" t="e">
        <x:f>HYPERLINK("https://www.disneyplus.com/video/c09fcde1-1b4d-40da-af52-5d8fa0611a53?cid=DTCI-Synergy-DDN-Site-Acquisition-StarWars-US-StarWars-StarWarsTheCloneWars-EN-BlogArticleEmbed-TCWChronological_StreamOnDisneyPlusCTA-NA","Watch")</x:f>
        <x:v>HYPERLINK is not implemented. linkLocation=https://www.disneyplus.com/video/c09fcde1-1b4d-40da-af52-5d8fa0611a53?cid=DTCI-Synergy-DDN-Site-Acquisition-StarWars-US-StarWars-StarWarsTheCloneWars-EN-BlogArticleEmbed-TCWChronological_StreamOnDisneyPlusCTA-NA, friendlyName=Watch</x:v>
      </x:c>
      <x:c r="K131" s="22" t="e">
        <x:f>HYPERLINK("https://www.starwars.com/tv-shows/clone-wars/the-wrong-jedi-episode-guide","Season 5, Episode 20 · Episode guide")</x:f>
        <x:v>HYPERLINK is not implemented. linkLocation=https://www.starwars.com/tv-shows/clone-wars/the-wrong-jedi-episode-guide, friendlyName=Season 5, Episode 20 · Episode guide</x:v>
      </x:c>
    </x:row>
    <x:row r="132" s="23" customFormat="1" ht="15.75" customHeight="1">
      <x:c r="A132" s="28" t="b">
        <x:v>0</x:v>
      </x:c>
      <x:c r="B132" s="21" t="n">
        <x:v>126</x:v>
      </x:c>
      <x:c r="C132" s="14" t="inlineStr">
        <x:is>
          <x:t xml:space="preserve">Fall of the Jedi</x:t>
        </x:is>
      </x:c>
      <x:c r="D132" s="15" t="inlineStr">
        <x:is>
          <x:t xml:space="preserve">The Clone Wars: The Unknown</x:t>
        </x:is>
      </x:c>
      <x:c r="E132" s="16" t="inlineStr">
        <x:is>
          <x:t xml:space="preserve">Season 6, Episode 1</x:t>
        </x:is>
      </x:c>
      <x:c r="F132" s="15" t="inlineStr">
        <x:is>
          <x:t xml:space="preserve">Series aired October 3, 2008–May 4, 2020</x:t>
        </x:is>
      </x:c>
      <x:c r="G132" s="15" t="inlineStr">
        <x:is>
          <x:t xml:space="preserve">Canon</x:t>
        </x:is>
      </x:c>
      <x:c r="H132" s="15" t="inlineStr">
        <x:is>
          <x:t xml:space="preserve">Episode</x:t>
        </x:is>
      </x:c>
      <x:c r="I132" s="15" t="inlineStr">
        <x:is>
          <x:t xml:space="preserve">Disney+</x:t>
        </x:is>
      </x:c>
      <x:c r="J132" s="18" t="e">
        <x:f>HYPERLINK("https://www.disneyplus.com/video/ec135b2d-d990-4564-99d4-2e3a2ee866bd?cid=DTCI-Synergy-DDN-Site-Acquisition-StarWars-US-StarWars-StarWarsTheCloneWars-EN-BlogArticleEmbed-TCWChronological_StreamOnDisneyPlusCTA-NA","Watch")</x:f>
        <x:v>HYPERLINK is not implemented. linkLocation=https://www.disneyplus.com/video/ec135b2d-d990-4564-99d4-2e3a2ee866bd?cid=DTCI-Synergy-DDN-Site-Acquisition-StarWars-US-StarWars-StarWarsTheCloneWars-EN-BlogArticleEmbed-TCWChronological_StreamOnDisneyPlusCTA-NA, friendlyName=Watch</x:v>
      </x:c>
      <x:c r="K132" s="22" t="e">
        <x:f>HYPERLINK("https://www.starwars.com/tv-shows/clone-wars/the-unknown-episode-guide","Season 6, Episode 1 · Episode guide")</x:f>
        <x:v>HYPERLINK is not implemented. linkLocation=https://www.starwars.com/tv-shows/clone-wars/the-unknown-episode-guide, friendlyName=Season 6, Episode 1 · Episode guide</x:v>
      </x:c>
    </x:row>
    <x:row r="133" s="23" customFormat="1" ht="15.75" customHeight="1">
      <x:c r="A133" s="28" t="b">
        <x:v>0</x:v>
      </x:c>
      <x:c r="B133" s="21" t="n">
        <x:v>127</x:v>
      </x:c>
      <x:c r="C133" s="14" t="inlineStr">
        <x:is>
          <x:t xml:space="preserve">Fall of the Jedi</x:t>
        </x:is>
      </x:c>
      <x:c r="D133" s="15" t="inlineStr">
        <x:is>
          <x:t xml:space="preserve">The Clone Wars: Conspiracy</x:t>
        </x:is>
      </x:c>
      <x:c r="E133" s="16" t="inlineStr">
        <x:is>
          <x:t xml:space="preserve">Season 6, Episode 2</x:t>
        </x:is>
      </x:c>
      <x:c r="F133" s="15" t="inlineStr">
        <x:is>
          <x:t xml:space="preserve">Series aired October 3, 2008–May 4, 2020</x:t>
        </x:is>
      </x:c>
      <x:c r="G133" s="15" t="inlineStr">
        <x:is>
          <x:t xml:space="preserve">Canon</x:t>
        </x:is>
      </x:c>
      <x:c r="H133" s="15" t="inlineStr">
        <x:is>
          <x:t xml:space="preserve">Episode</x:t>
        </x:is>
      </x:c>
      <x:c r="I133" s="15" t="inlineStr">
        <x:is>
          <x:t xml:space="preserve">Disney+</x:t>
        </x:is>
      </x:c>
      <x:c r="J133" s="18" t="e">
        <x:f>HYPERLINK("https://www.disneyplus.com/video/d4e8fd92-4d92-494d-8d49-d5b148bdcbb5?cid=DTCI-Synergy-DDN-Site-Acquisition-StarWars-US-StarWars-StarWarsTheCloneWars-EN-BlogArticleEmbed-TCWChronological_StreamOnDisneyPlusCTA-NA","Watch")</x:f>
        <x:v>HYPERLINK is not implemented. linkLocation=https://www.disneyplus.com/video/d4e8fd92-4d92-494d-8d49-d5b148bdcbb5?cid=DTCI-Synergy-DDN-Site-Acquisition-StarWars-US-StarWars-StarWarsTheCloneWars-EN-BlogArticleEmbed-TCWChronological_StreamOnDisneyPlusCTA-NA, friendlyName=Watch</x:v>
      </x:c>
      <x:c r="K133" s="22" t="e">
        <x:f>HYPERLINK("https://www.starwars.com/tv-shows/clone-wars/conspiracy-episode-guide","Season 6, Episode 2 · Episode guide")</x:f>
        <x:v>HYPERLINK is not implemented. linkLocation=https://www.starwars.com/tv-shows/clone-wars/conspiracy-episode-guide, friendlyName=Season 6, Episode 2 · Episode guide</x:v>
      </x:c>
    </x:row>
    <x:row r="134" s="23" customFormat="1" ht="15.75" customHeight="1">
      <x:c r="A134" s="28" t="b">
        <x:v>0</x:v>
      </x:c>
      <x:c r="B134" s="21" t="n">
        <x:v>128</x:v>
      </x:c>
      <x:c r="C134" s="14" t="inlineStr">
        <x:is>
          <x:t xml:space="preserve">Fall of the Jedi</x:t>
        </x:is>
      </x:c>
      <x:c r="D134" s="15" t="inlineStr">
        <x:is>
          <x:t xml:space="preserve">The Clone Wars: Fugitive</x:t>
        </x:is>
      </x:c>
      <x:c r="E134" s="16" t="inlineStr">
        <x:is>
          <x:t xml:space="preserve">Season 6, Episode 3</x:t>
        </x:is>
      </x:c>
      <x:c r="F134" s="15" t="inlineStr">
        <x:is>
          <x:t xml:space="preserve">Series aired October 3, 2008–May 4, 2020</x:t>
        </x:is>
      </x:c>
      <x:c r="G134" s="15" t="inlineStr">
        <x:is>
          <x:t xml:space="preserve">Canon</x:t>
        </x:is>
      </x:c>
      <x:c r="H134" s="15" t="inlineStr">
        <x:is>
          <x:t xml:space="preserve">Episode</x:t>
        </x:is>
      </x:c>
      <x:c r="I134" s="15" t="inlineStr">
        <x:is>
          <x:t xml:space="preserve">Disney+</x:t>
        </x:is>
      </x:c>
      <x:c r="J134" s="18" t="e">
        <x:f>HYPERLINK("https://www.disneyplus.com/video/e3d63b2f-8e40-4064-9fe8-1f32299f17d3?cid=DTCI-Synergy-DDN-Site-Acquisition-StarWars-US-StarWars-StarWarsTheCloneWars-EN-BlogArticleEmbed-TCWChronological_StreamOnDisneyPlusCTA-NA","Watch")</x:f>
        <x:v>HYPERLINK is not implemented. linkLocation=https://www.disneyplus.com/video/e3d63b2f-8e40-4064-9fe8-1f32299f17d3?cid=DTCI-Synergy-DDN-Site-Acquisition-StarWars-US-StarWars-StarWarsTheCloneWars-EN-BlogArticleEmbed-TCWChronological_StreamOnDisneyPlusCTA-NA, friendlyName=Watch</x:v>
      </x:c>
      <x:c r="K134" s="22" t="e">
        <x:f>HYPERLINK("https://www.starwars.com/tv-shows/clone-wars/fugitive-episode-guide","Season 6, Episode 3 · Episode guide")</x:f>
        <x:v>HYPERLINK is not implemented. linkLocation=https://www.starwars.com/tv-shows/clone-wars/fugitive-episode-guide, friendlyName=Season 6, Episode 3 · Episode guide</x:v>
      </x:c>
    </x:row>
    <x:row r="135" s="23" customFormat="1" ht="15.75" customHeight="1">
      <x:c r="A135" s="28" t="b">
        <x:v>0</x:v>
      </x:c>
      <x:c r="B135" s="21" t="n">
        <x:v>129</x:v>
      </x:c>
      <x:c r="C135" s="14" t="inlineStr">
        <x:is>
          <x:t xml:space="preserve">Fall of the Jedi</x:t>
        </x:is>
      </x:c>
      <x:c r="D135" s="15" t="inlineStr">
        <x:is>
          <x:t xml:space="preserve">The Clone Wars: Orders</x:t>
        </x:is>
      </x:c>
      <x:c r="E135" s="16" t="inlineStr">
        <x:is>
          <x:t xml:space="preserve">Season 6, Episode 4</x:t>
        </x:is>
      </x:c>
      <x:c r="F135" s="15" t="inlineStr">
        <x:is>
          <x:t xml:space="preserve">Series aired October 3, 2008–May 4, 2020</x:t>
        </x:is>
      </x:c>
      <x:c r="G135" s="15" t="inlineStr">
        <x:is>
          <x:t xml:space="preserve">Canon</x:t>
        </x:is>
      </x:c>
      <x:c r="H135" s="15" t="inlineStr">
        <x:is>
          <x:t xml:space="preserve">Episode</x:t>
        </x:is>
      </x:c>
      <x:c r="I135" s="15" t="inlineStr">
        <x:is>
          <x:t xml:space="preserve">Disney+</x:t>
        </x:is>
      </x:c>
      <x:c r="J135" s="18" t="e">
        <x:f>HYPERLINK("https://www.disneyplus.com/video/46c3decc-a11c-4d2e-a792-069ebe535003?cid=DTCI-Synergy-DDN-Site-Acquisition-StarWars-US-StarWars-StarWarsTheCloneWars-EN-BlogArticleEmbed-TCWChronological_StreamOnDisneyPlusCTA-NA","Watch")</x:f>
        <x:v>HYPERLINK is not implemented. linkLocation=https://www.disneyplus.com/video/46c3decc-a11c-4d2e-a792-069ebe535003?cid=DTCI-Synergy-DDN-Site-Acquisition-StarWars-US-StarWars-StarWarsTheCloneWars-EN-BlogArticleEmbed-TCWChronological_StreamOnDisneyPlusCTA-NA, friendlyName=Watch</x:v>
      </x:c>
      <x:c r="K135" s="22" t="e">
        <x:f>HYPERLINK("https://www.starwars.com/tv-shows/clone-wars/orders-episode-guide","Season 6, Episode 4 · Episode guide")</x:f>
        <x:v>HYPERLINK is not implemented. linkLocation=https://www.starwars.com/tv-shows/clone-wars/orders-episode-guide, friendlyName=Season 6, Episode 4 · Episode guide</x:v>
      </x:c>
    </x:row>
    <x:row r="136" s="23" customFormat="1" ht="15.75" customHeight="1">
      <x:c r="A136" s="28" t="b">
        <x:v>0</x:v>
      </x:c>
      <x:c r="B136" s="21" t="n">
        <x:v>130</x:v>
      </x:c>
      <x:c r="C136" s="14" t="inlineStr">
        <x:is>
          <x:t xml:space="preserve">Fall of the Jedi</x:t>
        </x:is>
      </x:c>
      <x:c r="D136" s="15" t="inlineStr">
        <x:is>
          <x:t xml:space="preserve">The Clone Wars: An Old Friend</x:t>
        </x:is>
      </x:c>
      <x:c r="E136" s="16" t="inlineStr">
        <x:is>
          <x:t xml:space="preserve">Season 6, Episode 5</x:t>
        </x:is>
      </x:c>
      <x:c r="F136" s="15" t="inlineStr">
        <x:is>
          <x:t xml:space="preserve">Series aired October 3, 2008–May 4, 2020</x:t>
        </x:is>
      </x:c>
      <x:c r="G136" s="15" t="inlineStr">
        <x:is>
          <x:t xml:space="preserve">Canon</x:t>
        </x:is>
      </x:c>
      <x:c r="H136" s="15" t="inlineStr">
        <x:is>
          <x:t xml:space="preserve">Episode</x:t>
        </x:is>
      </x:c>
      <x:c r="I136" s="15" t="inlineStr">
        <x:is>
          <x:t xml:space="preserve">Disney+</x:t>
        </x:is>
      </x:c>
      <x:c r="J136" s="18" t="e">
        <x:f>HYPERLINK("https://www.disneyplus.com/video/64438a1c-f629-4085-b461-33fac7ea99ba?cid=DTCI-Synergy-DDN-Site-Acquisition-StarWars-US-StarWars-StarWarsTheCloneWars-EN-BlogArticleEmbed-TCWChronological_StreamOnDisneyPlusCTA-NA","Watch")</x:f>
        <x:v>HYPERLINK is not implemented. linkLocation=https://www.disneyplus.com/video/64438a1c-f629-4085-b461-33fac7ea99ba?cid=DTCI-Synergy-DDN-Site-Acquisition-StarWars-US-StarWars-StarWarsTheCloneWars-EN-BlogArticleEmbed-TCWChronological_StreamOnDisneyPlusCTA-NA, friendlyName=Watch</x:v>
      </x:c>
      <x:c r="K136" s="22" t="e">
        <x:f>HYPERLINK("https://www.starwars.com/tv-shows/clone-wars/an-old-friend-episode-guide","Season 6, Episode 5 · Episode guide")</x:f>
        <x:v>HYPERLINK is not implemented. linkLocation=https://www.starwars.com/tv-shows/clone-wars/an-old-friend-episode-guide, friendlyName=Season 6, Episode 5 · Episode guide</x:v>
      </x:c>
    </x:row>
    <x:row r="137" s="23" customFormat="1" ht="15.75" customHeight="1">
      <x:c r="A137" s="28" t="b">
        <x:v>0</x:v>
      </x:c>
      <x:c r="B137" s="21" t="n">
        <x:v>131</x:v>
      </x:c>
      <x:c r="C137" s="14" t="inlineStr">
        <x:is>
          <x:t xml:space="preserve">Fall of the Jedi</x:t>
        </x:is>
      </x:c>
      <x:c r="D137" s="15" t="inlineStr">
        <x:is>
          <x:t xml:space="preserve">The Clone Wars: The Rise of Clovis</x:t>
        </x:is>
      </x:c>
      <x:c r="E137" s="16" t="inlineStr">
        <x:is>
          <x:t xml:space="preserve">Season 6, Episode 6</x:t>
        </x:is>
      </x:c>
      <x:c r="F137" s="15" t="inlineStr">
        <x:is>
          <x:t xml:space="preserve">Series aired October 3, 2008–May 4, 2020</x:t>
        </x:is>
      </x:c>
      <x:c r="G137" s="15" t="inlineStr">
        <x:is>
          <x:t xml:space="preserve">Canon</x:t>
        </x:is>
      </x:c>
      <x:c r="H137" s="15" t="inlineStr">
        <x:is>
          <x:t xml:space="preserve">Episode</x:t>
        </x:is>
      </x:c>
      <x:c r="I137" s="15" t="inlineStr">
        <x:is>
          <x:t xml:space="preserve">Disney+</x:t>
        </x:is>
      </x:c>
      <x:c r="J137" s="18" t="e">
        <x:f>HYPERLINK("https://www.disneyplus.com/video/cad54530-94eb-4b92-b380-b0a807d195c5?cid=DTCI-Synergy-DDN-Site-Acquisition-StarWars-US-StarWars-StarWarsTheCloneWars-EN-BlogArticleEmbed-TCWChronological_StreamOnDisneyPlusCTA-NA","Watch")</x:f>
        <x:v>HYPERLINK is not implemented. linkLocation=https://www.disneyplus.com/video/cad54530-94eb-4b92-b380-b0a807d195c5?cid=DTCI-Synergy-DDN-Site-Acquisition-StarWars-US-StarWars-StarWarsTheCloneWars-EN-BlogArticleEmbed-TCWChronological_StreamOnDisneyPlusCTA-NA, friendlyName=Watch</x:v>
      </x:c>
      <x:c r="K137" s="22" t="e">
        <x:f>HYPERLINK("https://www.starwars.com/tv-shows/clone-wars/the-rise-of-clovis-episode-guide","Season 6, Episode 6 · Episode guide")</x:f>
        <x:v>HYPERLINK is not implemented. linkLocation=https://www.starwars.com/tv-shows/clone-wars/the-rise-of-clovis-episode-guide, friendlyName=Season 6, Episode 6 · Episode guide</x:v>
      </x:c>
    </x:row>
    <x:row r="138" s="23" customFormat="1" ht="15.75" customHeight="1">
      <x:c r="A138" s="28" t="b">
        <x:v>0</x:v>
      </x:c>
      <x:c r="B138" s="21" t="n">
        <x:v>132</x:v>
      </x:c>
      <x:c r="C138" s="14" t="inlineStr">
        <x:is>
          <x:t xml:space="preserve">Fall of the Jedi</x:t>
        </x:is>
      </x:c>
      <x:c r="D138" s="15" t="inlineStr">
        <x:is>
          <x:t xml:space="preserve">The Clone Wars: Crisis at the Heart</x:t>
        </x:is>
      </x:c>
      <x:c r="E138" s="16" t="inlineStr">
        <x:is>
          <x:t xml:space="preserve">Season 6, Episode 7</x:t>
        </x:is>
      </x:c>
      <x:c r="F138" s="15" t="inlineStr">
        <x:is>
          <x:t xml:space="preserve">Series aired October 3, 2008–May 4, 2020</x:t>
        </x:is>
      </x:c>
      <x:c r="G138" s="15" t="inlineStr">
        <x:is>
          <x:t xml:space="preserve">Canon</x:t>
        </x:is>
      </x:c>
      <x:c r="H138" s="15" t="inlineStr">
        <x:is>
          <x:t xml:space="preserve">Episode</x:t>
        </x:is>
      </x:c>
      <x:c r="I138" s="15" t="inlineStr">
        <x:is>
          <x:t xml:space="preserve">Disney+</x:t>
        </x:is>
      </x:c>
      <x:c r="J138" s="18" t="e">
        <x:f>HYPERLINK("https://www.disneyplus.com/video/2a2fc61d-3813-4cf8-88a7-cab1975cee35?cid=DTCI-Synergy-DDN-Site-Acquisition-StarWars-US-StarWars-StarWarsTheCloneWars-EN-BlogArticleEmbed-TCWChronological_StreamOnDisneyPlusCTA-NA","Watch")</x:f>
        <x:v>HYPERLINK is not implemented. linkLocation=https://www.disneyplus.com/video/2a2fc61d-3813-4cf8-88a7-cab1975cee35?cid=DTCI-Synergy-DDN-Site-Acquisition-StarWars-US-StarWars-StarWarsTheCloneWars-EN-BlogArticleEmbed-TCWChronological_StreamOnDisneyPlusCTA-NA, friendlyName=Watch</x:v>
      </x:c>
      <x:c r="K138" s="22" t="e">
        <x:f>HYPERLINK("https://www.starwars.com/tv-shows/clone-wars/crisis-at-the-heart-episode-guide","Season 6, Episode 7 · Episode guide")</x:f>
        <x:v>HYPERLINK is not implemented. linkLocation=https://www.starwars.com/tv-shows/clone-wars/crisis-at-the-heart-episode-guide, friendlyName=Season 6, Episode 7 · Episode guide</x:v>
      </x:c>
    </x:row>
    <x:row r="139" s="23" customFormat="1" ht="15.75" customHeight="1">
      <x:c r="A139" s="28" t="b">
        <x:v>0</x:v>
      </x:c>
      <x:c r="B139" s="21" t="n">
        <x:v>133</x:v>
      </x:c>
      <x:c r="C139" s="14" t="inlineStr">
        <x:is>
          <x:t xml:space="preserve">Fall of the Jedi</x:t>
        </x:is>
      </x:c>
      <x:c r="D139" s="15" t="inlineStr">
        <x:is>
          <x:t xml:space="preserve">The Clone Wars: The Disappeared</x:t>
        </x:is>
      </x:c>
      <x:c r="E139" s="16" t="inlineStr">
        <x:is>
          <x:t xml:space="preserve">Season 6, Episode 8</x:t>
        </x:is>
      </x:c>
      <x:c r="F139" s="15" t="inlineStr">
        <x:is>
          <x:t xml:space="preserve">Series aired October 3, 2008–May 4, 2020</x:t>
        </x:is>
      </x:c>
      <x:c r="G139" s="15" t="inlineStr">
        <x:is>
          <x:t xml:space="preserve">Canon</x:t>
        </x:is>
      </x:c>
      <x:c r="H139" s="15" t="inlineStr">
        <x:is>
          <x:t xml:space="preserve">Episode</x:t>
        </x:is>
      </x:c>
      <x:c r="I139" s="15" t="inlineStr">
        <x:is>
          <x:t xml:space="preserve">Disney+</x:t>
        </x:is>
      </x:c>
      <x:c r="J139" s="18" t="e">
        <x:f>HYPERLINK("https://www.disneyplus.com/video/6173c7f8-b2d8-448c-8143-77eb71c73589?cid=DTCI-Synergy-DDN-Site-Acquisition-StarWars-US-StarWars-StarWarsTheCloneWars-EN-BlogArticleEmbed-TCWChronological_StreamOnDisneyPlusCTA-NA","Watch")</x:f>
        <x:v>HYPERLINK is not implemented. linkLocation=https://www.disneyplus.com/video/6173c7f8-b2d8-448c-8143-77eb71c73589?cid=DTCI-Synergy-DDN-Site-Acquisition-StarWars-US-StarWars-StarWarsTheCloneWars-EN-BlogArticleEmbed-TCWChronological_StreamOnDisneyPlusCTA-NA, friendlyName=Watch</x:v>
      </x:c>
      <x:c r="K139" s="22" t="e">
        <x:f>HYPERLINK("https://www.starwars.com/tv-shows/clone-wars/the-disappeared-part-i-episode-guide","Season 6, Episode 8 · Episode guide")</x:f>
        <x:v>HYPERLINK is not implemented. linkLocation=https://www.starwars.com/tv-shows/clone-wars/the-disappeared-part-i-episode-guide, friendlyName=Season 6, Episode 8 · Episode guide</x:v>
      </x:c>
    </x:row>
    <x:row r="140" s="23" customFormat="1" ht="15.75" customHeight="1">
      <x:c r="A140" s="28" t="b">
        <x:v>0</x:v>
      </x:c>
      <x:c r="B140" s="21" t="n">
        <x:v>134</x:v>
      </x:c>
      <x:c r="C140" s="14" t="inlineStr">
        <x:is>
          <x:t xml:space="preserve">Fall of the Jedi</x:t>
        </x:is>
      </x:c>
      <x:c r="D140" s="15" t="inlineStr">
        <x:is>
          <x:t xml:space="preserve">The Clone Wars: The Disappeared: Part II</x:t>
        </x:is>
      </x:c>
      <x:c r="E140" s="16" t="inlineStr">
        <x:is>
          <x:t xml:space="preserve">Season 6, Episode 9</x:t>
        </x:is>
      </x:c>
      <x:c r="F140" s="15" t="inlineStr">
        <x:is>
          <x:t xml:space="preserve">Series aired October 3, 2008–May 4, 2020</x:t>
        </x:is>
      </x:c>
      <x:c r="G140" s="15" t="inlineStr">
        <x:is>
          <x:t xml:space="preserve">Canon</x:t>
        </x:is>
      </x:c>
      <x:c r="H140" s="15" t="inlineStr">
        <x:is>
          <x:t xml:space="preserve">Episode</x:t>
        </x:is>
      </x:c>
      <x:c r="I140" s="15" t="inlineStr">
        <x:is>
          <x:t xml:space="preserve">Disney+</x:t>
        </x:is>
      </x:c>
      <x:c r="J140" s="18" t="e">
        <x:f>HYPERLINK("https://www.disneyplus.com/video/2e4fe8fe-c7e3-40dc-87d7-bdb7e02eb896?cid=DTCI-Synergy-DDN-Site-Acquisition-StarWars-US-StarWars-StarWarsTheCloneWars-EN-BlogArticleEmbed-TCWChronological_StreamOnDisneyPlusCTA-NA","Watch")</x:f>
        <x:v>HYPERLINK is not implemented. linkLocation=https://www.disneyplus.com/video/2e4fe8fe-c7e3-40dc-87d7-bdb7e02eb896?cid=DTCI-Synergy-DDN-Site-Acquisition-StarWars-US-StarWars-StarWarsTheCloneWars-EN-BlogArticleEmbed-TCWChronological_StreamOnDisneyPlusCTA-NA, friendlyName=Watch</x:v>
      </x:c>
      <x:c r="K140" s="22" t="e">
        <x:f>HYPERLINK("https://www.starwars.com/tv-shows/clone-wars/the-disappeared-part-ii-episode-guide","Season 6, Episode 9 · Episode guide")</x:f>
        <x:v>HYPERLINK is not implemented. linkLocation=https://www.starwars.com/tv-shows/clone-wars/the-disappeared-part-ii-episode-guide, friendlyName=Season 6, Episode 9 · Episode guide</x:v>
      </x:c>
    </x:row>
    <x:row r="141" s="23" customFormat="1" ht="15.75" customHeight="1">
      <x:c r="A141" s="28" t="b">
        <x:v>0</x:v>
      </x:c>
      <x:c r="B141" s="21" t="n">
        <x:v>135</x:v>
      </x:c>
      <x:c r="C141" s="14" t="inlineStr">
        <x:is>
          <x:t xml:space="preserve">Fall of the Jedi</x:t>
        </x:is>
      </x:c>
      <x:c r="D141" s="15" t="inlineStr">
        <x:is>
          <x:t xml:space="preserve">The Clone Wars: The Lost One</x:t>
        </x:is>
      </x:c>
      <x:c r="E141" s="16" t="inlineStr">
        <x:is>
          <x:t xml:space="preserve">Season 6, Episode 10</x:t>
        </x:is>
      </x:c>
      <x:c r="F141" s="15" t="inlineStr">
        <x:is>
          <x:t xml:space="preserve">Series aired October 3, 2008–May 4, 2020</x:t>
        </x:is>
      </x:c>
      <x:c r="G141" s="15" t="inlineStr">
        <x:is>
          <x:t xml:space="preserve">Canon</x:t>
        </x:is>
      </x:c>
      <x:c r="H141" s="15" t="inlineStr">
        <x:is>
          <x:t xml:space="preserve">Episode</x:t>
        </x:is>
      </x:c>
      <x:c r="I141" s="15" t="inlineStr">
        <x:is>
          <x:t xml:space="preserve">Disney+</x:t>
        </x:is>
      </x:c>
      <x:c r="J141" s="18" t="e">
        <x:f>HYPERLINK("https://www.disneyplus.com/video/f8d1131b-c197-4e8e-b1a5-9f9ad5e7cb9b?cid=DTCI-Synergy-DDN-Site-Acquisition-StarWars-US-StarWars-StarWarsTheCloneWars-EN-BlogArticleEmbed-TCWChronological_StreamOnDisneyPlusCTA-NA","Watch")</x:f>
        <x:v>HYPERLINK is not implemented. linkLocation=https://www.disneyplus.com/video/f8d1131b-c197-4e8e-b1a5-9f9ad5e7cb9b?cid=DTCI-Synergy-DDN-Site-Acquisition-StarWars-US-StarWars-StarWarsTheCloneWars-EN-BlogArticleEmbed-TCWChronological_StreamOnDisneyPlusCTA-NA, friendlyName=Watch</x:v>
      </x:c>
      <x:c r="K141" s="22" t="e">
        <x:f>HYPERLINK("https://www.starwars.com/tv-shows/clone-wars/the-lost-one-episode-guide","Season 6, Episode 10 · Episode guide")</x:f>
        <x:v>HYPERLINK is not implemented. linkLocation=https://www.starwars.com/tv-shows/clone-wars/the-lost-one-episode-guide, friendlyName=Season 6, Episode 10 · Episode guide</x:v>
      </x:c>
    </x:row>
    <x:row r="142" s="23" customFormat="1" ht="15.75" customHeight="1">
      <x:c r="A142" s="28" t="b">
        <x:v>0</x:v>
      </x:c>
      <x:c r="B142" s="21" t="n">
        <x:v>136</x:v>
      </x:c>
      <x:c r="C142" s="14" t="inlineStr">
        <x:is>
          <x:t xml:space="preserve">Fall of the Jedi</x:t>
        </x:is>
      </x:c>
      <x:c r="D142" s="15" t="inlineStr">
        <x:is>
          <x:t xml:space="preserve">The Clone Wars: Voices</x:t>
        </x:is>
      </x:c>
      <x:c r="E142" s="16" t="inlineStr">
        <x:is>
          <x:t xml:space="preserve">Season 6, Episode 11</x:t>
        </x:is>
      </x:c>
      <x:c r="F142" s="15" t="inlineStr">
        <x:is>
          <x:t xml:space="preserve">Series aired October 3, 2008–May 4, 2020</x:t>
        </x:is>
      </x:c>
      <x:c r="G142" s="15" t="inlineStr">
        <x:is>
          <x:t xml:space="preserve">Canon</x:t>
        </x:is>
      </x:c>
      <x:c r="H142" s="15" t="inlineStr">
        <x:is>
          <x:t xml:space="preserve">Episode</x:t>
        </x:is>
      </x:c>
      <x:c r="I142" s="15" t="inlineStr">
        <x:is>
          <x:t xml:space="preserve">Disney+</x:t>
        </x:is>
      </x:c>
      <x:c r="J142" s="18" t="e">
        <x:f>HYPERLINK("https://www.disneyplus.com/video/ced4924c-6c39-4346-b07e-d22fb33de653?cid=DTCI-Synergy-DDN-Site-Acquisition-StarWars-US-StarWars-StarWarsTheCloneWars-EN-BlogArticleEmbed-TCWChronological_StreamOnDisneyPlusCTA-NA","Watch")</x:f>
        <x:v>HYPERLINK is not implemented. linkLocation=https://www.disneyplus.com/video/ced4924c-6c39-4346-b07e-d22fb33de653?cid=DTCI-Synergy-DDN-Site-Acquisition-StarWars-US-StarWars-StarWarsTheCloneWars-EN-BlogArticleEmbed-TCWChronological_StreamOnDisneyPlusCTA-NA, friendlyName=Watch</x:v>
      </x:c>
      <x:c r="K142" s="22" t="e">
        <x:f>HYPERLINK("https://www.starwars.com/tv-shows/clone-wars/voices-episode-guide","Season 6, Episode 11 · Episode guide")</x:f>
        <x:v>HYPERLINK is not implemented. linkLocation=https://www.starwars.com/tv-shows/clone-wars/voices-episode-guide, friendlyName=Season 6, Episode 11 · Episode guide</x:v>
      </x:c>
    </x:row>
    <x:row r="143" s="23" customFormat="1" ht="15.75" customHeight="1">
      <x:c r="A143" s="28" t="b">
        <x:v>0</x:v>
      </x:c>
      <x:c r="B143" s="21" t="n">
        <x:v>137</x:v>
      </x:c>
      <x:c r="C143" s="14" t="inlineStr">
        <x:is>
          <x:t xml:space="preserve">Fall of the Jedi</x:t>
        </x:is>
      </x:c>
      <x:c r="D143" s="15" t="inlineStr">
        <x:is>
          <x:t xml:space="preserve">The Clone Wars: Destiny</x:t>
        </x:is>
      </x:c>
      <x:c r="E143" s="16" t="inlineStr">
        <x:is>
          <x:t xml:space="preserve">Season 6, Episode 12</x:t>
        </x:is>
      </x:c>
      <x:c r="F143" s="15" t="inlineStr">
        <x:is>
          <x:t xml:space="preserve">Series aired October 3, 2008–May 4, 2020</x:t>
        </x:is>
      </x:c>
      <x:c r="G143" s="15" t="inlineStr">
        <x:is>
          <x:t xml:space="preserve">Canon</x:t>
        </x:is>
      </x:c>
      <x:c r="H143" s="15" t="inlineStr">
        <x:is>
          <x:t xml:space="preserve">Episode</x:t>
        </x:is>
      </x:c>
      <x:c r="I143" s="15" t="inlineStr">
        <x:is>
          <x:t xml:space="preserve">Disney+</x:t>
        </x:is>
      </x:c>
      <x:c r="J143" s="18" t="e">
        <x:f>HYPERLINK("https://www.disneyplus.com/video/99e77e6b-d43a-4f6f-b07c-51d48ee4c3bd?cid=DTCI-Synergy-DDN-Site-Acquisition-StarWars-US-StarWars-StarWarsTheCloneWars-EN-BlogArticleEmbed-TCWChronological_StreamOnDisneyPlusCTA-NA","Watch")</x:f>
        <x:v>HYPERLINK is not implemented. linkLocation=https://www.disneyplus.com/video/99e77e6b-d43a-4f6f-b07c-51d48ee4c3bd?cid=DTCI-Synergy-DDN-Site-Acquisition-StarWars-US-StarWars-StarWarsTheCloneWars-EN-BlogArticleEmbed-TCWChronological_StreamOnDisneyPlusCTA-NA, friendlyName=Watch</x:v>
      </x:c>
      <x:c r="K143" s="22" t="e">
        <x:f>HYPERLINK("https://www.starwars.com/tv-shows/clone-wars/destiny-episode-guide","Season 6, Episode 12 · Episode guide")</x:f>
        <x:v>HYPERLINK is not implemented. linkLocation=https://www.starwars.com/tv-shows/clone-wars/destiny-episode-guide, friendlyName=Season 6, Episode 12 · Episode guide</x:v>
      </x:c>
    </x:row>
    <x:row r="144" s="23" customFormat="1" ht="15.75" customHeight="1">
      <x:c r="A144" s="28" t="b">
        <x:v>0</x:v>
      </x:c>
      <x:c r="B144" s="21" t="n">
        <x:v>138</x:v>
      </x:c>
      <x:c r="C144" s="14" t="inlineStr">
        <x:is>
          <x:t xml:space="preserve">Fall of the Jedi</x:t>
        </x:is>
      </x:c>
      <x:c r="D144" s="15" t="inlineStr">
        <x:is>
          <x:t xml:space="preserve">The Clone Wars: Sacrifice</x:t>
        </x:is>
      </x:c>
      <x:c r="E144" s="16" t="inlineStr">
        <x:is>
          <x:t xml:space="preserve">Season 6, Episode 13</x:t>
        </x:is>
      </x:c>
      <x:c r="F144" s="15" t="inlineStr">
        <x:is>
          <x:t xml:space="preserve">Series aired October 3, 2008–May 4, 2020</x:t>
        </x:is>
      </x:c>
      <x:c r="G144" s="15" t="inlineStr">
        <x:is>
          <x:t xml:space="preserve">Canon</x:t>
        </x:is>
      </x:c>
      <x:c r="H144" s="15" t="inlineStr">
        <x:is>
          <x:t xml:space="preserve">Episode</x:t>
        </x:is>
      </x:c>
      <x:c r="I144" s="15" t="inlineStr">
        <x:is>
          <x:t xml:space="preserve">Disney+</x:t>
        </x:is>
      </x:c>
      <x:c r="J144" s="18" t="e">
        <x:f>HYPERLINK("https://www.disneyplus.com/video/37357ff9-88a7-4652-b16e-cda4808d1930?cid=DTCI-Synergy-DDN-Site-Acquisition-StarWars-US-StarWars-StarWarsTheCloneWars-EN-BlogArticleEmbed-TCWChronological_StreamOnDisneyPlusCTA-NA","Watch")</x:f>
        <x:v>HYPERLINK is not implemented. linkLocation=https://www.disneyplus.com/video/37357ff9-88a7-4652-b16e-cda4808d1930?cid=DTCI-Synergy-DDN-Site-Acquisition-StarWars-US-StarWars-StarWarsTheCloneWars-EN-BlogArticleEmbed-TCWChronological_StreamOnDisneyPlusCTA-NA, friendlyName=Watch</x:v>
      </x:c>
      <x:c r="K144" s="22" t="e">
        <x:f>HYPERLINK("https://www.starwars.com/tv-shows/clone-wars/sacrifice-episode-guide","Season 6, Episode 13 · Episode guide")</x:f>
        <x:v>HYPERLINK is not implemented. linkLocation=https://www.starwars.com/tv-shows/clone-wars/sacrifice-episode-guide, friendlyName=Season 6, Episode 13 · Episode guide</x:v>
      </x:c>
    </x:row>
    <x:row r="145" s="23" customFormat="1" ht="15.75" customHeight="1">
      <x:c r="A145" s="28" t="b">
        <x:v>0</x:v>
      </x:c>
      <x:c r="B145" s="21" t="n">
        <x:v>139</x:v>
      </x:c>
      <x:c r="C145" s="14" t="inlineStr">
        <x:is>
          <x:t xml:space="preserve">Fall of the Jedi</x:t>
        </x:is>
      </x:c>
      <x:c r="D145" s="15" t="inlineStr">
        <x:is>
          <x:t xml:space="preserve">The Clone Wars: Gone with a Trace</x:t>
        </x:is>
      </x:c>
      <x:c r="E145" s="16" t="inlineStr">
        <x:is>
          <x:t xml:space="preserve">Season 7, Episode 5</x:t>
        </x:is>
      </x:c>
      <x:c r="F145" s="15" t="inlineStr">
        <x:is>
          <x:t xml:space="preserve">Series aired October 3, 2008–May 4, 2020</x:t>
        </x:is>
      </x:c>
      <x:c r="G145" s="15" t="inlineStr">
        <x:is>
          <x:t xml:space="preserve">Canon</x:t>
        </x:is>
      </x:c>
      <x:c r="H145" s="15" t="inlineStr">
        <x:is>
          <x:t xml:space="preserve">Episode</x:t>
        </x:is>
      </x:c>
      <x:c r="I145" s="15" t="inlineStr">
        <x:is>
          <x:t xml:space="preserve">Disney+</x:t>
        </x:is>
      </x:c>
      <x:c r="J145" s="18" t="e">
        <x:f>HYPERLINK("https://www.disneyplus.com/en-gb/video/a1dfba86-2134-41e9-8794-e8040896bef6?cid=DTCI-Synergy-DDN-Site-Acquisition-StarWars-US-StarWars-StarWarsTheCloneWars-EN-BlogArticleEmbed-TCWChronological_StreamOnDisneyPlusCTA-NA","Watch")</x:f>
        <x:v>HYPERLINK is not implemented. linkLocation=https://www.disneyplus.com/en-gb/video/a1dfba86-2134-41e9-8794-e8040896bef6?cid=DTCI-Synergy-DDN-Site-Acquisition-StarWars-US-StarWars-StarWarsTheCloneWars-EN-BlogArticleEmbed-TCWChronological_StreamOnDisneyPlusCTA-NA, friendlyName=Watch</x:v>
      </x:c>
      <x:c r="K145" s="22" t="e">
        <x:f>HYPERLINK("https://www.starwars.com/series/clone-wars/gone-with-a-trace-episode-guide","Season 7, Episode 5 · Episode guide")</x:f>
        <x:v>HYPERLINK is not implemented. linkLocation=https://www.starwars.com/series/clone-wars/gone-with-a-trace-episode-guide, friendlyName=Season 7, Episode 5 · Episode guide</x:v>
      </x:c>
    </x:row>
    <x:row r="146" s="23" customFormat="1" ht="15.75" customHeight="1">
      <x:c r="A146" s="28" t="b">
        <x:v>0</x:v>
      </x:c>
      <x:c r="B146" s="21" t="n">
        <x:v>140</x:v>
      </x:c>
      <x:c r="C146" s="14" t="inlineStr">
        <x:is>
          <x:t xml:space="preserve">Fall of the Jedi</x:t>
        </x:is>
      </x:c>
      <x:c r="D146" s="15" t="inlineStr">
        <x:is>
          <x:t xml:space="preserve">The Clone Wars: Deal No Deal</x:t>
        </x:is>
      </x:c>
      <x:c r="E146" s="16" t="inlineStr">
        <x:is>
          <x:t xml:space="preserve">Season 7, Episode 6</x:t>
        </x:is>
      </x:c>
      <x:c r="F146" s="15" t="inlineStr">
        <x:is>
          <x:t xml:space="preserve">Series aired October 3, 2008–May 4, 2020</x:t>
        </x:is>
      </x:c>
      <x:c r="G146" s="15" t="inlineStr">
        <x:is>
          <x:t xml:space="preserve">Canon</x:t>
        </x:is>
      </x:c>
      <x:c r="H146" s="15" t="inlineStr">
        <x:is>
          <x:t xml:space="preserve">Episode</x:t>
        </x:is>
      </x:c>
      <x:c r="I146" s="15" t="inlineStr">
        <x:is>
          <x:t xml:space="preserve">Disney+</x:t>
        </x:is>
      </x:c>
      <x:c r="J146" s="18" t="e">
        <x:f>HYPERLINK("https://www.disneyplus.com/en-gb/video/7ed29bb0-bfff-462c-ae96-f89a4f3f89e2?cid=DTCI-Synergy-DDN-Site-Acquisition-StarWars-US-StarWars-StarWarsTheCloneWars-EN-BlogArticleEmbed-TCWChronological_StreamOnDisneyPlusCTA-NA","Watch")</x:f>
        <x:v>HYPERLINK is not implemented. linkLocation=https://www.disneyplus.com/en-gb/video/7ed29bb0-bfff-462c-ae96-f89a4f3f89e2?cid=DTCI-Synergy-DDN-Site-Acquisition-StarWars-US-StarWars-StarWarsTheCloneWars-EN-BlogArticleEmbed-TCWChronological_StreamOnDisneyPlusCTA-NA, friendlyName=Watch</x:v>
      </x:c>
      <x:c r="K146" s="22" t="e">
        <x:f>HYPERLINK("https://www.starwars.com/series/clone-wars/deal-no-deal-episode-guide","Season 7, Episode 6 · Episode guide")</x:f>
        <x:v>HYPERLINK is not implemented. linkLocation=https://www.starwars.com/series/clone-wars/deal-no-deal-episode-guide, friendlyName=Season 7, Episode 6 · Episode guide</x:v>
      </x:c>
    </x:row>
    <x:row r="147" s="23" customFormat="1" ht="15.75" customHeight="1">
      <x:c r="A147" s="28" t="b">
        <x:v>0</x:v>
      </x:c>
      <x:c r="B147" s="21" t="n">
        <x:v>141</x:v>
      </x:c>
      <x:c r="C147" s="14" t="inlineStr">
        <x:is>
          <x:t xml:space="preserve">Fall of the Jedi</x:t>
        </x:is>
      </x:c>
      <x:c r="D147" s="15" t="inlineStr">
        <x:is>
          <x:t xml:space="preserve">The Clone Wars: Dangerous Debt</x:t>
        </x:is>
      </x:c>
      <x:c r="E147" s="16" t="inlineStr">
        <x:is>
          <x:t xml:space="preserve">Season 7, Episode 7</x:t>
        </x:is>
      </x:c>
      <x:c r="F147" s="15" t="inlineStr">
        <x:is>
          <x:t xml:space="preserve">Series aired October 3, 2008–May 4, 2020</x:t>
        </x:is>
      </x:c>
      <x:c r="G147" s="15" t="inlineStr">
        <x:is>
          <x:t xml:space="preserve">Canon</x:t>
        </x:is>
      </x:c>
      <x:c r="H147" s="15" t="inlineStr">
        <x:is>
          <x:t xml:space="preserve">Episode</x:t>
        </x:is>
      </x:c>
      <x:c r="I147" s="15" t="inlineStr">
        <x:is>
          <x:t xml:space="preserve">Disney+</x:t>
        </x:is>
      </x:c>
      <x:c r="J147" s="18" t="e">
        <x:f>HYPERLINK("https://www.disneyplus.com/video/468b341b-4d54-4adf-823f-8934ff05800b?cid=DTCI-Synergy-DDN-Site-Acquisition-StarWars-US-StarWars-StarWarsTheCloneWars-EN-BlogArticleEmbed-TCWChronological_StreamOnDisneyPlusCTA-NA","Watch")</x:f>
        <x:v>HYPERLINK is not implemented. linkLocation=https://www.disneyplus.com/video/468b341b-4d54-4adf-823f-8934ff05800b?cid=DTCI-Synergy-DDN-Site-Acquisition-StarWars-US-StarWars-StarWarsTheCloneWars-EN-BlogArticleEmbed-TCWChronological_StreamOnDisneyPlusCTA-NA, friendlyName=Watch</x:v>
      </x:c>
      <x:c r="K147" s="22" t="e">
        <x:f>HYPERLINK("https://www.starwars.com/series/clone-wars/dangerous-debt-episode-guide","Season 7, Episode 7 · Episode guide")</x:f>
        <x:v>HYPERLINK is not implemented. linkLocation=https://www.starwars.com/series/clone-wars/dangerous-debt-episode-guide, friendlyName=Season 7, Episode 7 · Episode guide</x:v>
      </x:c>
    </x:row>
    <x:row r="148" s="23" customFormat="1" ht="15.75" customHeight="1">
      <x:c r="A148" s="28" t="b">
        <x:v>0</x:v>
      </x:c>
      <x:c r="B148" s="21" t="n">
        <x:v>142</x:v>
      </x:c>
      <x:c r="C148" s="14" t="inlineStr">
        <x:is>
          <x:t xml:space="preserve">Fall of the Jedi</x:t>
        </x:is>
      </x:c>
      <x:c r="D148" s="15" t="inlineStr">
        <x:is>
          <x:t xml:space="preserve">The Clone Wars: Together Again</x:t>
        </x:is>
      </x:c>
      <x:c r="E148" s="16" t="inlineStr">
        <x:is>
          <x:t xml:space="preserve">Season 7, Episode 8</x:t>
        </x:is>
      </x:c>
      <x:c r="F148" s="15" t="inlineStr">
        <x:is>
          <x:t xml:space="preserve">Series aired October 3, 2008–May 4, 2020</x:t>
        </x:is>
      </x:c>
      <x:c r="G148" s="15" t="inlineStr">
        <x:is>
          <x:t xml:space="preserve">Canon</x:t>
        </x:is>
      </x:c>
      <x:c r="H148" s="15" t="inlineStr">
        <x:is>
          <x:t xml:space="preserve">Episode</x:t>
        </x:is>
      </x:c>
      <x:c r="I148" s="15" t="inlineStr">
        <x:is>
          <x:t xml:space="preserve">Disney+</x:t>
        </x:is>
      </x:c>
      <x:c r="J148" s="18" t="e">
        <x:f>HYPERLINK("https://www.disneyplus.com/video/c59f5965-71d6-40e5-8650-ddf076125e0d?cid=DTCI-Synergy-DDN-Site-Acquisition-StarWars-US-StarWars-StarWarsTheCloneWars-EN-BlogArticleEmbed-TCWChronological_StreamOnDisneyPlusCTA-NA","Watch")</x:f>
        <x:v>HYPERLINK is not implemented. linkLocation=https://www.disneyplus.com/video/c59f5965-71d6-40e5-8650-ddf076125e0d?cid=DTCI-Synergy-DDN-Site-Acquisition-StarWars-US-StarWars-StarWarsTheCloneWars-EN-BlogArticleEmbed-TCWChronological_StreamOnDisneyPlusCTA-NA, friendlyName=Watch</x:v>
      </x:c>
      <x:c r="K148" s="22" t="e">
        <x:f>HYPERLINK("https://www.starwars.com/series/clone-wars/together-again-episode-guide","Season 7, Episode 8 · Episode guide")</x:f>
        <x:v>HYPERLINK is not implemented. linkLocation=https://www.starwars.com/series/clone-wars/together-again-episode-guide, friendlyName=Season 7, Episode 8 · Episode guide</x:v>
      </x:c>
    </x:row>
    <x:row r="149" s="23" customFormat="1" ht="15.75" customHeight="1">
      <x:c r="A149" s="28" t="b">
        <x:v>0</x:v>
      </x:c>
      <x:c r="B149" s="21" t="n">
        <x:v>143</x:v>
      </x:c>
      <x:c r="C149" s="14" t="inlineStr">
        <x:is>
          <x:t xml:space="preserve">Fall of the Jedi</x:t>
        </x:is>
      </x:c>
      <x:c r="D149" s="15" t="inlineStr">
        <x:is>
          <x:t xml:space="preserve">The Clone Wars: The Bad Batch</x:t>
        </x:is>
      </x:c>
      <x:c r="E149" s="16" t="inlineStr">
        <x:is>
          <x:t xml:space="preserve">Season 7, Episode 1</x:t>
        </x:is>
      </x:c>
      <x:c r="F149" s="15" t="inlineStr">
        <x:is>
          <x:t xml:space="preserve">Series aired October 3, 2008–May 4, 2020</x:t>
        </x:is>
      </x:c>
      <x:c r="G149" s="15" t="inlineStr">
        <x:is>
          <x:t xml:space="preserve">Canon</x:t>
        </x:is>
      </x:c>
      <x:c r="H149" s="15" t="inlineStr">
        <x:is>
          <x:t xml:space="preserve">Episode</x:t>
        </x:is>
      </x:c>
      <x:c r="I149" s="15" t="inlineStr">
        <x:is>
          <x:t xml:space="preserve">Disney+</x:t>
        </x:is>
      </x:c>
      <x:c r="J149" s="18" t="e">
        <x:f>HYPERLINK("https://www.disneyplus.com/en-gb/video/9ee46453-c414-4c89-b3ef-b0d4d1c001fc?cid=DTCI-Synergy-DDN-Site-Acquisition-StarWars-US-StarWars-StarWarsTheCloneWars-EN-BlogArticleEmbed-TCWChronological_StreamOnDisneyPlusCTA-NA","Watch")</x:f>
        <x:v>HYPERLINK is not implemented. linkLocation=https://www.disneyplus.com/en-gb/video/9ee46453-c414-4c89-b3ef-b0d4d1c001fc?cid=DTCI-Synergy-DDN-Site-Acquisition-StarWars-US-StarWars-StarWarsTheCloneWars-EN-BlogArticleEmbed-TCWChronological_StreamOnDisneyPlusCTA-NA, friendlyName=Watch</x:v>
      </x:c>
      <x:c r="K149" s="22" t="e">
        <x:f>HYPERLINK("https://www.starwars.com/series/clone-wars/the-bad-batch-episode-guide","Season 7, Episode 1 · Episode guide")</x:f>
        <x:v>HYPERLINK is not implemented. linkLocation=https://www.starwars.com/series/clone-wars/the-bad-batch-episode-guide, friendlyName=Season 7, Episode 1 · Episode guide</x:v>
      </x:c>
    </x:row>
    <x:row r="150" s="23" customFormat="1" ht="15.75" customHeight="1">
      <x:c r="A150" s="28" t="b">
        <x:v>0</x:v>
      </x:c>
      <x:c r="B150" s="21" t="n">
        <x:v>144</x:v>
      </x:c>
      <x:c r="C150" s="14" t="inlineStr">
        <x:is>
          <x:t xml:space="preserve">Fall of the Jedi</x:t>
        </x:is>
      </x:c>
      <x:c r="D150" s="15" t="inlineStr">
        <x:is>
          <x:t xml:space="preserve">The Clone Wars: A Distant Echo</x:t>
        </x:is>
      </x:c>
      <x:c r="E150" s="16" t="inlineStr">
        <x:is>
          <x:t xml:space="preserve">Season 7, Episode 2</x:t>
        </x:is>
      </x:c>
      <x:c r="F150" s="15" t="inlineStr">
        <x:is>
          <x:t xml:space="preserve">Series aired October 3, 2008–May 4, 2020</x:t>
        </x:is>
      </x:c>
      <x:c r="G150" s="15" t="inlineStr">
        <x:is>
          <x:t xml:space="preserve">Canon</x:t>
        </x:is>
      </x:c>
      <x:c r="H150" s="15" t="inlineStr">
        <x:is>
          <x:t xml:space="preserve">Episode</x:t>
        </x:is>
      </x:c>
      <x:c r="I150" s="15" t="inlineStr">
        <x:is>
          <x:t xml:space="preserve">Disney+</x:t>
        </x:is>
      </x:c>
      <x:c r="J150" s="18" t="e">
        <x:f>HYPERLINK("https://www.disneyplus.com/en-gb/video/cbcde944-1622-4f15-a136-47a85e7f75c1?cid=DTCI-Synergy-DDN-Site-Acquisition-StarWars-US-StarWars-StarWarsTheCloneWars-EN-BlogArticleEmbed-TCWChronological_StreamOnDisneyPlusCTA-NA","Watch")</x:f>
        <x:v>HYPERLINK is not implemented. linkLocation=https://www.disneyplus.com/en-gb/video/cbcde944-1622-4f15-a136-47a85e7f75c1?cid=DTCI-Synergy-DDN-Site-Acquisition-StarWars-US-StarWars-StarWarsTheCloneWars-EN-BlogArticleEmbed-TCWChronological_StreamOnDisneyPlusCTA-NA, friendlyName=Watch</x:v>
      </x:c>
      <x:c r="K150" s="22" t="e">
        <x:f>HYPERLINK("https://www.starwars.com/series/clone-wars/a-distant-echo-episode-guide","Season 7, Episode 2 · Episode guide")</x:f>
        <x:v>HYPERLINK is not implemented. linkLocation=https://www.starwars.com/series/clone-wars/a-distant-echo-episode-guide, friendlyName=Season 7, Episode 2 · Episode guide</x:v>
      </x:c>
    </x:row>
    <x:row r="151" s="23" customFormat="1" ht="15.75" customHeight="1">
      <x:c r="A151" s="28" t="b">
        <x:v>0</x:v>
      </x:c>
      <x:c r="B151" s="21" t="n">
        <x:v>145</x:v>
      </x:c>
      <x:c r="C151" s="14" t="inlineStr">
        <x:is>
          <x:t xml:space="preserve">Fall of the Jedi</x:t>
        </x:is>
      </x:c>
      <x:c r="D151" s="15" t="inlineStr">
        <x:is>
          <x:t xml:space="preserve">The Clone Wars: On the Wings of Keeradaks</x:t>
        </x:is>
      </x:c>
      <x:c r="E151" s="16" t="inlineStr">
        <x:is>
          <x:t xml:space="preserve">Season 7, Episode 3</x:t>
        </x:is>
      </x:c>
      <x:c r="F151" s="15" t="inlineStr">
        <x:is>
          <x:t xml:space="preserve">Series aired October 3, 2008–May 4, 2020</x:t>
        </x:is>
      </x:c>
      <x:c r="G151" s="15" t="inlineStr">
        <x:is>
          <x:t xml:space="preserve">Canon</x:t>
        </x:is>
      </x:c>
      <x:c r="H151" s="15" t="inlineStr">
        <x:is>
          <x:t xml:space="preserve">Episode</x:t>
        </x:is>
      </x:c>
      <x:c r="I151" s="15" t="inlineStr">
        <x:is>
          <x:t xml:space="preserve">Disney+</x:t>
        </x:is>
      </x:c>
      <x:c r="J151" s="18" t="e">
        <x:f>HYPERLINK("https://www.disneyplus.com/en-gb/video/1df8336f-23c4-437a-a360-043e5cb26a41?cid=DTCI-Synergy-DDN-Site-Acquisition-StarWars-US-StarWars-StarWarsTheCloneWars-EN-BlogArticleEmbed-TCWChronological_StreamOnDisneyPlusCTA-NA","Watch")</x:f>
        <x:v>HYPERLINK is not implemented. linkLocation=https://www.disneyplus.com/en-gb/video/1df8336f-23c4-437a-a360-043e5cb26a41?cid=DTCI-Synergy-DDN-Site-Acquisition-StarWars-US-StarWars-StarWarsTheCloneWars-EN-BlogArticleEmbed-TCWChronological_StreamOnDisneyPlusCTA-NA, friendlyName=Watch</x:v>
      </x:c>
      <x:c r="K151" s="22" t="e">
        <x:f>HYPERLINK("https://www.starwars.com/series/clone-wars/on-the-wings-of-keeradaks-episode-guide","Season 7, Episode 3 · Episode guide")</x:f>
        <x:v>HYPERLINK is not implemented. linkLocation=https://www.starwars.com/series/clone-wars/on-the-wings-of-keeradaks-episode-guide, friendlyName=Season 7, Episode 3 · Episode guide</x:v>
      </x:c>
    </x:row>
    <x:row r="152" s="23" customFormat="1" ht="15.75" customHeight="1">
      <x:c r="A152" s="28" t="b">
        <x:v>0</x:v>
      </x:c>
      <x:c r="B152" s="21" t="n">
        <x:v>146</x:v>
      </x:c>
      <x:c r="C152" s="14" t="inlineStr">
        <x:is>
          <x:t xml:space="preserve">Fall of the Jedi</x:t>
        </x:is>
      </x:c>
      <x:c r="D152" s="15" t="inlineStr">
        <x:is>
          <x:t xml:space="preserve">The Clone Wars: Unfinished Business</x:t>
        </x:is>
      </x:c>
      <x:c r="E152" s="16" t="inlineStr">
        <x:is>
          <x:t xml:space="preserve">Season 7, Episode 4</x:t>
        </x:is>
      </x:c>
      <x:c r="F152" s="15" t="inlineStr">
        <x:is>
          <x:t xml:space="preserve">Series aired October 3, 2008–May 4, 2020</x:t>
        </x:is>
      </x:c>
      <x:c r="G152" s="15" t="inlineStr">
        <x:is>
          <x:t xml:space="preserve">Canon</x:t>
        </x:is>
      </x:c>
      <x:c r="H152" s="15" t="inlineStr">
        <x:is>
          <x:t xml:space="preserve">Episode</x:t>
        </x:is>
      </x:c>
      <x:c r="I152" s="15" t="inlineStr">
        <x:is>
          <x:t xml:space="preserve">Disney+</x:t>
        </x:is>
      </x:c>
      <x:c r="J152" s="18" t="e">
        <x:f>HYPERLINK("https://www.disneyplus.com/en-gb/video/2aba28e0-4dbe-49ab-9512-fa856ff1e791?cid=DTCI-Synergy-DDN-Site-Acquisition-StarWars-US-StarWars-StarWarsTheCloneWars-EN-BlogArticleEmbed-TCWChronological_StreamOnDisneyPlusCTA-NA","Watch")</x:f>
        <x:v>HYPERLINK is not implemented. linkLocation=https://www.disneyplus.com/en-gb/video/2aba28e0-4dbe-49ab-9512-fa856ff1e791?cid=DTCI-Synergy-DDN-Site-Acquisition-StarWars-US-StarWars-StarWarsTheCloneWars-EN-BlogArticleEmbed-TCWChronological_StreamOnDisneyPlusCTA-NA, friendlyName=Watch</x:v>
      </x:c>
      <x:c r="K152" s="22" t="e">
        <x:f>HYPERLINK("https://www.starwars.com/series/clone-wars/unfinished-business-episode-guide","Season 7, Episode 4 · Episode guide")</x:f>
        <x:v>HYPERLINK is not implemented. linkLocation=https://www.starwars.com/series/clone-wars/unfinished-business-episode-guide, friendlyName=Season 7, Episode 4 · Episode guide</x:v>
      </x:c>
    </x:row>
    <x:row r="153" s="23" customFormat="1" ht="15.75" customHeight="1">
      <x:c r="A153" s="28" t="b">
        <x:v>0</x:v>
      </x:c>
      <x:c r="B153" s="21" t="n">
        <x:v>147</x:v>
      </x:c>
      <x:c r="C153" s="14" t="inlineStr">
        <x:is>
          <x:t xml:space="preserve">Fall of the Jedi</x:t>
        </x:is>
      </x:c>
      <x:c r="D153" s="15" t="inlineStr">
        <x:is>
          <x:t xml:space="preserve">The Clone Wars: Old Friends Not Forgotten</x:t>
        </x:is>
      </x:c>
      <x:c r="E153" s="16" t="inlineStr">
        <x:is>
          <x:t xml:space="preserve">Season 7, Episode 9</x:t>
        </x:is>
      </x:c>
      <x:c r="F153" s="15" t="inlineStr">
        <x:is>
          <x:t xml:space="preserve">Series aired October 3, 2008–May 4, 2020</x:t>
        </x:is>
      </x:c>
      <x:c r="G153" s="15" t="inlineStr">
        <x:is>
          <x:t xml:space="preserve">Canon</x:t>
        </x:is>
      </x:c>
      <x:c r="H153" s="15" t="inlineStr">
        <x:is>
          <x:t xml:space="preserve">Episode</x:t>
        </x:is>
      </x:c>
      <x:c r="I153" s="15" t="inlineStr">
        <x:is>
          <x:t xml:space="preserve">Disney+</x:t>
        </x:is>
      </x:c>
      <x:c r="J153" s="18" t="e">
        <x:f>HYPERLINK("https://www.disneyplus.com/video/0626c961-a67c-4203-bee2-a8166e95b895?cid=DTCI-Synergy-DDN-Site-Acquisition-StarWars-US-StarWars-StarWarsTheCloneWars-EN-BlogArticleEmbed-TCWChronological_StreamOnDisneyPlusCTA-NA","Watch")</x:f>
        <x:v>HYPERLINK is not implemented. linkLocation=https://www.disneyplus.com/video/0626c961-a67c-4203-bee2-a8166e95b895?cid=DTCI-Synergy-DDN-Site-Acquisition-StarWars-US-StarWars-StarWarsTheCloneWars-EN-BlogArticleEmbed-TCWChronological_StreamOnDisneyPlusCTA-NA, friendlyName=Watch</x:v>
      </x:c>
      <x:c r="K153" s="22" t="e">
        <x:f>HYPERLINK("https://www.starwars.com/series/clone-wars/old-friends-not-forgotten-episode-guide","Season 7, Episode 9 · Episode guide")</x:f>
        <x:v>HYPERLINK is not implemented. linkLocation=https://www.starwars.com/series/clone-wars/old-friends-not-forgotten-episode-guide, friendlyName=Season 7, Episode 9 · Episode guide</x:v>
      </x:c>
    </x:row>
    <x:row r="154" s="23" customFormat="1" ht="15.75" customHeight="1">
      <x:c r="A154" s="28" t="b">
        <x:v>0</x:v>
      </x:c>
      <x:c r="B154" s="21" t="n">
        <x:v>148</x:v>
      </x:c>
      <x:c r="C154" s="14" t="inlineStr">
        <x:is>
          <x:t xml:space="preserve">Fall of the Jedi</x:t>
        </x:is>
      </x:c>
      <x:c r="D154" s="15" t="inlineStr">
        <x:is>
          <x:t xml:space="preserve">The Clone Wars: The Phantom Apprentice</x:t>
        </x:is>
      </x:c>
      <x:c r="E154" s="16" t="inlineStr">
        <x:is>
          <x:t xml:space="preserve">Season 7, Episode 10</x:t>
        </x:is>
      </x:c>
      <x:c r="F154" s="15" t="inlineStr">
        <x:is>
          <x:t xml:space="preserve">Series aired October 3, 2008–May 4, 2020</x:t>
        </x:is>
      </x:c>
      <x:c r="G154" s="15" t="inlineStr">
        <x:is>
          <x:t xml:space="preserve">Canon</x:t>
        </x:is>
      </x:c>
      <x:c r="H154" s="15" t="inlineStr">
        <x:is>
          <x:t xml:space="preserve">Episode</x:t>
        </x:is>
      </x:c>
      <x:c r="I154" s="15" t="inlineStr">
        <x:is>
          <x:t xml:space="preserve">Disney+</x:t>
        </x:is>
      </x:c>
      <x:c r="J154" s="18" t="e">
        <x:f>HYPERLINK("https://www.disneyplus.com/video/24dd0033-1f7d-492e-9114-63a684fa4f78?cid=DTCI-Synergy-DDN-Site-Acquisition-StarWars-US-StarWars-StarWarsTheCloneWars-EN-BlogArticleEmbed-TCWChronological_StreamOnDisneyPlusCTA-NA","Watch")</x:f>
        <x:v>HYPERLINK is not implemented. linkLocation=https://www.disneyplus.com/video/24dd0033-1f7d-492e-9114-63a684fa4f78?cid=DTCI-Synergy-DDN-Site-Acquisition-StarWars-US-StarWars-StarWarsTheCloneWars-EN-BlogArticleEmbed-TCWChronological_StreamOnDisneyPlusCTA-NA, friendlyName=Watch</x:v>
      </x:c>
      <x:c r="K154" s="22" t="e">
        <x:f>HYPERLINK("https://www.starwars.com/series/clone-wars/the-phantom-apprentice-episode-guide","Season 7, Episode 10 · Episode guide")</x:f>
        <x:v>HYPERLINK is not implemented. linkLocation=https://www.starwars.com/series/clone-wars/the-phantom-apprentice-episode-guide, friendlyName=Season 7, Episode 10 · Episode guide</x:v>
      </x:c>
    </x:row>
    <x:row r="155" s="23" customFormat="1" ht="15.75" customHeight="1">
      <x:c r="A155" s="28" t="b">
        <x:v>0</x:v>
      </x:c>
      <x:c r="B155" s="21" t="n">
        <x:v>149</x:v>
      </x:c>
      <x:c r="C155" s="14" t="inlineStr">
        <x:is>
          <x:t xml:space="preserve">Fall of the Jedi</x:t>
        </x:is>
      </x:c>
      <x:c r="D155" s="15" t="inlineStr">
        <x:is>
          <x:t xml:space="preserve">The Clone Wars: Shattered</x:t>
        </x:is>
      </x:c>
      <x:c r="E155" s="16" t="inlineStr">
        <x:is>
          <x:t xml:space="preserve">Season 7, Episode 11</x:t>
        </x:is>
      </x:c>
      <x:c r="F155" s="15" t="inlineStr">
        <x:is>
          <x:t xml:space="preserve">Series aired October 3, 2008–May 4, 2020</x:t>
        </x:is>
      </x:c>
      <x:c r="G155" s="15" t="inlineStr">
        <x:is>
          <x:t xml:space="preserve">Canon</x:t>
        </x:is>
      </x:c>
      <x:c r="H155" s="15" t="inlineStr">
        <x:is>
          <x:t xml:space="preserve">Episode</x:t>
        </x:is>
      </x:c>
      <x:c r="I155" s="15" t="inlineStr">
        <x:is>
          <x:t xml:space="preserve">Disney+</x:t>
        </x:is>
      </x:c>
      <x:c r="J155" s="18" t="e">
        <x:f>HYPERLINK("https://www.disneyplus.com/video/cfcd7267-d3d1-4e98-92d6-3129b4c8d686?cid=DTCI-Synergy-DDN-Site-Acquisition-StarWars-US-StarWars-StarWarsTheCloneWars-EN-BlogArticleEmbed-TCWChronological_StreamOnDisneyPlusCTA-NA","Watch")</x:f>
        <x:v>HYPERLINK is not implemented. linkLocation=https://www.disneyplus.com/video/cfcd7267-d3d1-4e98-92d6-3129b4c8d686?cid=DTCI-Synergy-DDN-Site-Acquisition-StarWars-US-StarWars-StarWarsTheCloneWars-EN-BlogArticleEmbed-TCWChronological_StreamOnDisneyPlusCTA-NA, friendlyName=Watch</x:v>
      </x:c>
      <x:c r="K155" s="22" t="e">
        <x:f>HYPERLINK("https://www.starwars.com/series/clone-wars/shattered-episode-guide","Season 7, Episode 11 · Episode guide")</x:f>
        <x:v>HYPERLINK is not implemented. linkLocation=https://www.starwars.com/series/clone-wars/shattered-episode-guide, friendlyName=Season 7, Episode 11 · Episode guide</x:v>
      </x:c>
    </x:row>
    <x:row r="156" s="23" customFormat="1" ht="15.75" customHeight="1">
      <x:c r="A156" s="28" t="b">
        <x:v>0</x:v>
      </x:c>
      <x:c r="B156" s="21" t="n">
        <x:v>150</x:v>
      </x:c>
      <x:c r="C156" s="14" t="inlineStr">
        <x:is>
          <x:t xml:space="preserve">Fall of the Jedi</x:t>
        </x:is>
      </x:c>
      <x:c r="D156" s="15" t="inlineStr">
        <x:is>
          <x:t xml:space="preserve">The Clone Wars: Victory and Death</x:t>
        </x:is>
      </x:c>
      <x:c r="E156" s="16" t="inlineStr">
        <x:is>
          <x:t xml:space="preserve">Season 7, Episode 12</x:t>
        </x:is>
      </x:c>
      <x:c r="F156" s="15" t="inlineStr">
        <x:is>
          <x:t xml:space="preserve">Series aired October 3, 2008–May 4, 2020</x:t>
        </x:is>
      </x:c>
      <x:c r="G156" s="15" t="inlineStr">
        <x:is>
          <x:t xml:space="preserve">Canon</x:t>
        </x:is>
      </x:c>
      <x:c r="H156" s="15" t="inlineStr">
        <x:is>
          <x:t xml:space="preserve">Episode</x:t>
        </x:is>
      </x:c>
      <x:c r="I156" s="15" t="inlineStr">
        <x:is>
          <x:t xml:space="preserve">Disney+</x:t>
        </x:is>
      </x:c>
      <x:c r="J156" s="18" t="e">
        <x:f>HYPERLINK("https://www.disneyplus.com/video/f21bd5ab-d24d-4a4a-b09c-d09d4361148b?cid=DTCI-Synergy-DDN-Site-Acquisition-StarWars-US-StarWars-StarWarsTheCloneWars-EN-BlogArticleEmbed-TCWChronological_StreamOnDisneyPlusCTA-NA","Watch")</x:f>
        <x:v>HYPERLINK is not implemented. linkLocation=https://www.disneyplus.com/video/f21bd5ab-d24d-4a4a-b09c-d09d4361148b?cid=DTCI-Synergy-DDN-Site-Acquisition-StarWars-US-StarWars-StarWarsTheCloneWars-EN-BlogArticleEmbed-TCWChronological_StreamOnDisneyPlusCTA-NA, friendlyName=Watch</x:v>
      </x:c>
      <x:c r="K156" s="22" t="e">
        <x:f>HYPERLINK("https://www.starwars.com/series/clone-wars/victory-and-death-episode-guide","Season 7, Episode 12 · Episode guide")</x:f>
        <x:v>HYPERLINK is not implemented. linkLocation=https://www.starwars.com/series/clone-wars/victory-and-death-episode-guide, friendlyName=Season 7, Episode 12 · Episode guide</x:v>
      </x:c>
    </x:row>
    <x:row r="157" s="23" customFormat="1" ht="15.75" customHeight="1">
      <x:c r="A157" s="28" t="b">
        <x:v>0</x:v>
      </x:c>
      <x:c r="B157" s="21" t="n">
        <x:v>151</x:v>
      </x:c>
      <x:c r="C157" s="14" t="inlineStr">
        <x:is>
          <x:t xml:space="preserve">Fall of the Jedi</x:t>
        </x:is>
      </x:c>
      <x:c r="D157" s="15" t="inlineStr">
        <x:is>
          <x:t xml:space="preserve">Forces of Destiny: The Padawan Path</x:t>
        </x:is>
      </x:c>
      <x:c r="E157" s="16" t="inlineStr">
        <x:is>
          <x:t xml:space="preserve">Season 1, Episode 4</x:t>
        </x:is>
      </x:c>
      <x:c r="F157" s="17" t="inlineStr">
        <x:is>
          <x:t xml:space="preserve">July 6, 2017</x:t>
        </x:is>
      </x:c>
      <x:c r="G157" s="15" t="inlineStr">
        <x:is>
          <x:t xml:space="preserve">Canon</x:t>
        </x:is>
      </x:c>
      <x:c r="H157" s="15" t="inlineStr">
        <x:is>
          <x:t xml:space="preserve">Short</x:t>
        </x:is>
      </x:c>
      <x:c r="I157" s="15" t="inlineStr">
        <x:is>
          <x:t xml:space="preserve">Disney+ / official YouTube</x:t>
        </x:is>
      </x:c>
      <x:c r="J157" s="18" t="e">
        <x:f>HYPERLINK("https://www.youtube.com/results?search_query=Star%20Wars%20Forces%20of%20Destiny%20The%20Padawan%20Path%20official","Open")</x:f>
        <x:v>HYPERLINK is not implemented. linkLocation=https://www.youtube.com/results?search_query=Star%20Wars%20Forces%20of%20Destiny%20The%20Padawan%20Path%20official, friendlyName=Open</x:v>
      </x:c>
      <x:c r="K157" s="15" t="inlineStr">
        <x:is>
          <x:t xml:space="preserve">During The Clone Wars</x:t>
        </x:is>
      </x:c>
    </x:row>
    <x:row r="158" s="23" customFormat="1" ht="15.75" customHeight="1">
      <x:c r="A158" s="28" t="b">
        <x:v>0</x:v>
      </x:c>
      <x:c r="B158" s="21" t="n">
        <x:v>152</x:v>
      </x:c>
      <x:c r="C158" s="14" t="inlineStr">
        <x:is>
          <x:t xml:space="preserve">Fall of the Jedi</x:t>
        </x:is>
      </x:c>
      <x:c r="D158" s="15" t="inlineStr">
        <x:is>
          <x:t xml:space="preserve">Forces of Destiny: The Imposter Inside</x:t>
        </x:is>
      </x:c>
      <x:c r="E158" s="16" t="inlineStr">
        <x:is>
          <x:t xml:space="preserve">Season 1, Episode 6</x:t>
        </x:is>
      </x:c>
      <x:c r="F158" s="17" t="inlineStr">
        <x:is>
          <x:t xml:space="preserve">July 8, 2017</x:t>
        </x:is>
      </x:c>
      <x:c r="G158" s="15" t="inlineStr">
        <x:is>
          <x:t xml:space="preserve">Canon</x:t>
        </x:is>
      </x:c>
      <x:c r="H158" s="15" t="inlineStr">
        <x:is>
          <x:t xml:space="preserve">Short</x:t>
        </x:is>
      </x:c>
      <x:c r="I158" s="15" t="inlineStr">
        <x:is>
          <x:t xml:space="preserve">Disney+ / official YouTube</x:t>
        </x:is>
      </x:c>
      <x:c r="J158" s="18" t="e">
        <x:f>HYPERLINK("https://www.youtube.com/results?search_query=Star%20Wars%20Forces%20of%20Destiny%20The%20Imposter%20Inside%20official","Open")</x:f>
        <x:v>HYPERLINK is not implemented. linkLocation=https://www.youtube.com/results?search_query=Star%20Wars%20Forces%20of%20Destiny%20The%20Imposter%20Inside%20official, friendlyName=Open</x:v>
      </x:c>
      <x:c r="K158" s="15" t="inlineStr">
        <x:is>
          <x:t xml:space="preserve">During The Clone Wars</x:t>
        </x:is>
      </x:c>
    </x:row>
    <x:row r="159" s="23" customFormat="1" ht="15.75" customHeight="1">
      <x:c r="A159" s="28" t="b">
        <x:v>0</x:v>
      </x:c>
      <x:c r="B159" s="21" t="n">
        <x:v>153</x:v>
      </x:c>
      <x:c r="C159" s="14" t="inlineStr">
        <x:is>
          <x:t xml:space="preserve">Fall of the Jedi</x:t>
        </x:is>
      </x:c>
      <x:c r="D159" s="15" t="inlineStr">
        <x:is>
          <x:t xml:space="preserve">Forces of Destiny: Teach You, I Will</x:t>
        </x:is>
      </x:c>
      <x:c r="E159" s="16" t="inlineStr">
        <x:is>
          <x:t xml:space="preserve">Season 1, Episode 10</x:t>
        </x:is>
      </x:c>
      <x:c r="F159" s="17" t="inlineStr">
        <x:is>
          <x:t xml:space="preserve">October 3, 2017</x:t>
        </x:is>
      </x:c>
      <x:c r="G159" s="15" t="inlineStr">
        <x:is>
          <x:t xml:space="preserve">Canon</x:t>
        </x:is>
      </x:c>
      <x:c r="H159" s="15" t="inlineStr">
        <x:is>
          <x:t xml:space="preserve">Short</x:t>
        </x:is>
      </x:c>
      <x:c r="I159" s="15" t="inlineStr">
        <x:is>
          <x:t xml:space="preserve">Disney+ / official YouTube</x:t>
        </x:is>
      </x:c>
      <x:c r="J159" s="18" t="e">
        <x:f>HYPERLINK("https://www.youtube.com/results?search_query=Star%20Wars%20Forces%20of%20Destiny%20Teach%20You%2C%20I%20Will%20official","Open")</x:f>
        <x:v>HYPERLINK is not implemented. linkLocation=https://www.youtube.com/results?search_query=Star%20Wars%20Forces%20of%20Destiny%20Teach%20You%2C%20I%20Will%20official, friendlyName=Open</x:v>
      </x:c>
      <x:c r="K159" s="15" t="inlineStr">
        <x:is>
          <x:t xml:space="preserve">During The Clone Wars</x:t>
        </x:is>
      </x:c>
    </x:row>
    <x:row r="160" s="23" customFormat="1" ht="15.75" customHeight="1">
      <x:c r="A160" s="28" t="b">
        <x:v>0</x:v>
      </x:c>
      <x:c r="B160" s="21" t="n">
        <x:v>154</x:v>
      </x:c>
      <x:c r="C160" s="14" t="inlineStr">
        <x:is>
          <x:t xml:space="preserve">Fall of the Jedi</x:t>
        </x:is>
      </x:c>
      <x:c r="D160" s="15" t="inlineStr">
        <x:is>
          <x:t xml:space="preserve">Forces of Destiny: The Starfighter Stunt</x:t>
        </x:is>
      </x:c>
      <x:c r="E160" s="16" t="inlineStr">
        <x:is>
          <x:t xml:space="preserve">Season 1, Episode 11</x:t>
        </x:is>
      </x:c>
      <x:c r="F160" s="17" t="inlineStr">
        <x:is>
          <x:t xml:space="preserve">October 4, 2017</x:t>
        </x:is>
      </x:c>
      <x:c r="G160" s="15" t="inlineStr">
        <x:is>
          <x:t xml:space="preserve">Canon</x:t>
        </x:is>
      </x:c>
      <x:c r="H160" s="15" t="inlineStr">
        <x:is>
          <x:t xml:space="preserve">Short</x:t>
        </x:is>
      </x:c>
      <x:c r="I160" s="15" t="inlineStr">
        <x:is>
          <x:t xml:space="preserve">Disney+ / official YouTube</x:t>
        </x:is>
      </x:c>
      <x:c r="J160" s="18" t="e">
        <x:f>HYPERLINK("https://www.youtube.com/results?search_query=Star%20Wars%20Forces%20of%20Destiny%20The%20Starfighter%20Stunt%20official","Open")</x:f>
        <x:v>HYPERLINK is not implemented. linkLocation=https://www.youtube.com/results?search_query=Star%20Wars%20Forces%20of%20Destiny%20The%20Starfighter%20Stunt%20official, friendlyName=Open</x:v>
      </x:c>
      <x:c r="K160" s="15" t="inlineStr">
        <x:is>
          <x:t xml:space="preserve">During The Clone Wars</x:t>
        </x:is>
      </x:c>
    </x:row>
    <x:row r="161" s="23" customFormat="1" ht="15.75" customHeight="1">
      <x:c r="A161" s="28" t="b">
        <x:v>0</x:v>
      </x:c>
      <x:c r="B161" s="21" t="n">
        <x:v>155</x:v>
      </x:c>
      <x:c r="C161" s="14" t="inlineStr">
        <x:is>
          <x:t xml:space="preserve">Fall of the Jedi</x:t>
        </x:is>
      </x:c>
      <x:c r="D161" s="15" t="inlineStr">
        <x:is>
          <x:t xml:space="preserve">Forces of Destiny: Unexpected Company</x:t>
        </x:is>
      </x:c>
      <x:c r="E161" s="16" t="inlineStr">
        <x:is>
          <x:t xml:space="preserve">Season 2, Episode 2</x:t>
        </x:is>
      </x:c>
      <x:c r="F161" s="17" t="inlineStr">
        <x:is>
          <x:t xml:space="preserve">March 19, 2018</x:t>
        </x:is>
      </x:c>
      <x:c r="G161" s="15" t="inlineStr">
        <x:is>
          <x:t xml:space="preserve">Canon</x:t>
        </x:is>
      </x:c>
      <x:c r="H161" s="15" t="inlineStr">
        <x:is>
          <x:t xml:space="preserve">Short</x:t>
        </x:is>
      </x:c>
      <x:c r="I161" s="15" t="inlineStr">
        <x:is>
          <x:t xml:space="preserve">Disney+ / official YouTube</x:t>
        </x:is>
      </x:c>
      <x:c r="J161" s="18" t="e">
        <x:f>HYPERLINK("https://www.youtube.com/results?search_query=Star%20Wars%20Forces%20of%20Destiny%20Unexpected%20Company%20official","Open")</x:f>
        <x:v>HYPERLINK is not implemented. linkLocation=https://www.youtube.com/results?search_query=Star%20Wars%20Forces%20of%20Destiny%20Unexpected%20Company%20official, friendlyName=Open</x:v>
      </x:c>
      <x:c r="K161" s="15" t="inlineStr">
        <x:is>
          <x:t xml:space="preserve">During The Clone Wars</x:t>
        </x:is>
      </x:c>
    </x:row>
    <x:row r="162" s="23" customFormat="1" ht="15.75" customHeight="1">
      <x:c r="A162" s="28" t="b">
        <x:v>0</x:v>
      </x:c>
      <x:c r="B162" s="21" t="n">
        <x:v>156</x:v>
      </x:c>
      <x:c r="C162" s="14" t="inlineStr">
        <x:is>
          <x:t xml:space="preserve">Fall of the Jedi</x:t>
        </x:is>
      </x:c>
      <x:c r="D162" s="15" t="inlineStr">
        <x:is>
          <x:t xml:space="preserve">Tales of the Empire: The Path of Fear</x:t>
        </x:is>
      </x:c>
      <x:c r="E162" s="16" t="inlineStr">
        <x:is>
          <x:t xml:space="preserve"/>
        </x:is>
      </x:c>
      <x:c r="F162" s="17" t="inlineStr">
        <x:is>
          <x:t xml:space="preserve">May 4, 2024</x:t>
        </x:is>
      </x:c>
      <x:c r="G162" s="15" t="inlineStr">
        <x:is>
          <x:t xml:space="preserve">Canon</x:t>
        </x:is>
      </x:c>
      <x:c r="H162" s="15" t="inlineStr">
        <x:is>
          <x:t xml:space="preserve">Episode</x:t>
        </x:is>
      </x:c>
      <x:c r="I162" s="15" t="inlineStr">
        <x:is>
          <x:t xml:space="preserve">Disney+</x:t>
        </x:is>
      </x:c>
      <x:c r="J162" s="19" t="inlineStr">
        <x:is>
          <x:t xml:space="preserve"/>
        </x:is>
      </x:c>
      <x:c r="K162" s="15" t="inlineStr">
        <x:is>
          <x:t xml:space="preserve"/>
        </x:is>
      </x:c>
    </x:row>
    <x:row r="163" s="23" customFormat="1" ht="15.75" customHeight="1">
      <x:c r="A163" s="28" t="b">
        <x:v>0</x:v>
      </x:c>
      <x:c r="B163" s="21" t="n">
        <x:v>157</x:v>
      </x:c>
      <x:c r="C163" s="14" t="inlineStr">
        <x:is>
          <x:t xml:space="preserve">Fall of the Jedi</x:t>
        </x:is>
      </x:c>
      <x:c r="D163" s="15" t="inlineStr">
        <x:is>
          <x:t xml:space="preserve">Republic Commando</x:t>
        </x:is>
      </x:c>
      <x:c r="E163" s="16" t="inlineStr">
        <x:is>
          <x:t xml:space="preserve"/>
        </x:is>
      </x:c>
      <x:c r="F163" s="15" t="inlineStr">
        <x:is>
          <x:t xml:space="preserve">February 28 / March 1, 2005</x:t>
        </x:is>
      </x:c>
      <x:c r="G163" s="15" t="inlineStr">
        <x:is>
          <x:t xml:space="preserve">Legends</x:t>
        </x:is>
      </x:c>
      <x:c r="H163" s="15" t="inlineStr">
        <x:is>
          <x:t xml:space="preserve">Game movie</x:t>
        </x:is>
      </x:c>
      <x:c r="I163" s="15" t="inlineStr">
        <x:is>
          <x:t xml:space="preserve">YouTube</x:t>
        </x:is>
      </x:c>
      <x:c r="J163" s="18" t="e">
        <x:f>HYPERLINK("https://www.youtube.com/watch?v=xLmcUuS8p2Y","Open")</x:f>
        <x:v>HYPERLINK is not implemented. linkLocation=https://www.youtube.com/watch?v=xLmcUuS8p2Y, friendlyName=Open</x:v>
      </x:c>
      <x:c r="K163" s="15" t="inlineStr">
        <x:is>
          <x:t xml:space="preserve"/>
        </x:is>
      </x:c>
    </x:row>
    <x:row r="164" s="23" customFormat="1" ht="15.75" customHeight="1">
      <x:c r="A164" s="28" t="b">
        <x:v>0</x:v>
      </x:c>
      <x:c r="B164" s="21" t="n">
        <x:v>158</x:v>
      </x:c>
      <x:c r="C164" s="14" t="inlineStr">
        <x:is>
          <x:t xml:space="preserve">Fall of the Jedi</x:t>
        </x:is>
      </x:c>
      <x:c r="D164" s="15" t="inlineStr">
        <x:is>
          <x:t xml:space="preserve">Star Wars: Zero Company</x:t>
        </x:is>
      </x:c>
      <x:c r="E164" s="16" t="inlineStr">
        <x:is>
          <x:t xml:space="preserve"/>
        </x:is>
      </x:c>
      <x:c r="F164" s="17" t="inlineStr">
        <x:is>
          <x:t xml:space="preserve">August 27, 2026</x:t>
        </x:is>
      </x:c>
      <x:c r="G164" s="15" t="inlineStr">
        <x:is>
          <x:t xml:space="preserve">Canon</x:t>
        </x:is>
      </x:c>
      <x:c r="H164" s="15" t="inlineStr">
        <x:is>
          <x:t xml:space="preserve">Game movie</x:t>
        </x:is>
      </x:c>
      <x:c r="I164" s="15" t="inlineStr">
        <x:is>
          <x:t xml:space="preserve">YouTube</x:t>
        </x:is>
      </x:c>
      <x:c r="J164" s="18" t="e">
        <x:f>HYPERLINK("https://www.youtube.com/watch?v=UUi9k61OntU","Open")</x:f>
        <x:v>HYPERLINK is not implemented. linkLocation=https://www.youtube.com/watch?v=UUi9k61OntU, friendlyName=Open</x:v>
      </x:c>
      <x:c r="K164" s="15" t="inlineStr">
        <x:is>
          <x:t xml:space="preserve">Tactical game set near the end of the Clone Wars</x:t>
        </x:is>
      </x:c>
    </x:row>
    <x:row r="165" s="23" customFormat="1" ht="15.75" customHeight="1">
      <x:c r="A165" s="28" t="b">
        <x:v>0</x:v>
      </x:c>
      <x:c r="B165" s="21" t="n">
        <x:v>159</x:v>
      </x:c>
      <x:c r="C165" s="14" t="inlineStr">
        <x:is>
          <x:t xml:space="preserve">Fall of the Jedi</x:t>
        </x:is>
      </x:c>
      <x:c r="D165" s="15" t="inlineStr">
        <x:is>
          <x:t xml:space="preserve">Tales of the Jedi: Practice Makes Perfect</x:t>
        </x:is>
      </x:c>
      <x:c r="E165" s="16" t="inlineStr">
        <x:is>
          <x:t xml:space="preserve"/>
        </x:is>
      </x:c>
      <x:c r="F165" s="17" t="inlineStr">
        <x:is>
          <x:t xml:space="preserve">October 26, 2022</x:t>
        </x:is>
      </x:c>
      <x:c r="G165" s="15" t="inlineStr">
        <x:is>
          <x:t xml:space="preserve">Canon</x:t>
        </x:is>
      </x:c>
      <x:c r="H165" s="15" t="inlineStr">
        <x:is>
          <x:t xml:space="preserve">Episode</x:t>
        </x:is>
      </x:c>
      <x:c r="I165" s="15" t="inlineStr">
        <x:is>
          <x:t xml:space="preserve">Disney+</x:t>
        </x:is>
      </x:c>
      <x:c r="J165" s="19" t="inlineStr">
        <x:is>
          <x:t xml:space="preserve"/>
        </x:is>
      </x:c>
      <x:c r="K165" s="15" t="inlineStr">
        <x:is>
          <x:t xml:space="preserve"/>
        </x:is>
      </x:c>
    </x:row>
    <x:row r="166" s="23" customFormat="1" ht="15.75" customHeight="1">
      <x:c r="A166" s="28" t="b">
        <x:v>0</x:v>
      </x:c>
      <x:c r="B166" s="21" t="n">
        <x:v>160</x:v>
      </x:c>
      <x:c r="C166" s="14" t="inlineStr">
        <x:is>
          <x:t xml:space="preserve">Fall of the Jedi</x:t>
        </x:is>
      </x:c>
      <x:c r="D166" s="15" t="inlineStr">
        <x:is>
          <x:t xml:space="preserve">Clone Wars (2003)</x:t>
        </x:is>
      </x:c>
      <x:c r="E166" s="16" t="inlineStr">
        <x:is>
          <x:t xml:space="preserve"/>
        </x:is>
      </x:c>
      <x:c r="F166" s="15" t="inlineStr">
        <x:is>
          <x:t xml:space="preserve">November 7, 2003–March 25, 2005</x:t>
        </x:is>
      </x:c>
      <x:c r="G166" s="15" t="inlineStr">
        <x:is>
          <x:t xml:space="preserve">Legends</x:t>
        </x:is>
      </x:c>
      <x:c r="H166" s="15" t="inlineStr">
        <x:is>
          <x:t xml:space="preserve">2D series</x:t>
        </x:is>
      </x:c>
      <x:c r="I166" s="15" t="inlineStr">
        <x:is>
          <x:t xml:space="preserve">Disney+</x:t>
        </x:is>
      </x:c>
      <x:c r="J166" s="19" t="inlineStr">
        <x:is>
          <x:t xml:space="preserve"/>
        </x:is>
      </x:c>
      <x:c r="K166" s="15" t="inlineStr">
        <x:is>
          <x:t xml:space="preserve">Different from the 2008 CGI series; about two hours total</x:t>
        </x:is>
      </x:c>
    </x:row>
    <x:row r="167" s="23" customFormat="1" ht="15.75" customHeight="1">
      <x:c r="A167" s="28" t="b">
        <x:v>0</x:v>
      </x:c>
      <x:c r="B167" s="21" t="n">
        <x:v>161</x:v>
      </x:c>
      <x:c r="C167" s="14" t="inlineStr">
        <x:is>
          <x:t xml:space="preserve">Fall of the Jedi</x:t>
        </x:is>
      </x:c>
      <x:c r="D167" s="15" t="inlineStr">
        <x:is>
          <x:t xml:space="preserve">Episode III: Revenge of the Sith</x:t>
        </x:is>
      </x:c>
      <x:c r="E167" s="16" t="inlineStr">
        <x:is>
          <x:t xml:space="preserve"/>
        </x:is>
      </x:c>
      <x:c r="F167" s="17" t="inlineStr">
        <x:is>
          <x:t xml:space="preserve">May 19, 2005</x:t>
        </x:is>
      </x:c>
      <x:c r="G167" s="15" t="inlineStr">
        <x:is>
          <x:t xml:space="preserve">Canon</x:t>
        </x:is>
      </x:c>
      <x:c r="H167" s="15" t="inlineStr">
        <x:is>
          <x:t xml:space="preserve">Movie</x:t>
        </x:is>
      </x:c>
      <x:c r="I167" s="15" t="inlineStr">
        <x:is>
          <x:t xml:space="preserve">Disney+</x:t>
        </x:is>
      </x:c>
      <x:c r="J167" s="19" t="inlineStr">
        <x:is>
          <x:t xml:space="preserve"/>
        </x:is>
      </x:c>
      <x:c r="K167" s="15" t="inlineStr">
        <x:is>
          <x:t xml:space="preserve">Optional: legally sourced Siege of Mandalore supercut</x:t>
        </x:is>
      </x:c>
    </x:row>
    <x:row r="168" s="23" customFormat="1" ht="15.75" customHeight="1">
      <x:c r="A168" s="28" t="b">
        <x:v>0</x:v>
      </x:c>
      <x:c r="B168" s="21" t="n">
        <x:v>162</x:v>
      </x:c>
      <x:c r="C168" s="14" t="inlineStr">
        <x:is>
          <x:t xml:space="preserve">Imperial era</x:t>
        </x:is>
      </x:c>
      <x:c r="D168" s="15" t="inlineStr">
        <x:is>
          <x:t xml:space="preserve">Tales of the Jedi: Resolve</x:t>
        </x:is>
      </x:c>
      <x:c r="E168" s="16" t="inlineStr">
        <x:is>
          <x:t xml:space="preserve"/>
        </x:is>
      </x:c>
      <x:c r="F168" s="17" t="inlineStr">
        <x:is>
          <x:t xml:space="preserve">October 26, 2022</x:t>
        </x:is>
      </x:c>
      <x:c r="G168" s="15" t="inlineStr">
        <x:is>
          <x:t xml:space="preserve">Canon</x:t>
        </x:is>
      </x:c>
      <x:c r="H168" s="15" t="inlineStr">
        <x:is>
          <x:t xml:space="preserve">Episode</x:t>
        </x:is>
      </x:c>
      <x:c r="I168" s="15" t="inlineStr">
        <x:is>
          <x:t xml:space="preserve">Disney+</x:t>
        </x:is>
      </x:c>
      <x:c r="J168" s="19" t="inlineStr">
        <x:is>
          <x:t xml:space="preserve"/>
        </x:is>
      </x:c>
      <x:c r="K168" s="15" t="inlineStr">
        <x:is>
          <x:t xml:space="preserve"/>
        </x:is>
      </x:c>
    </x:row>
    <x:row r="169" s="23" customFormat="1" ht="15.75" customHeight="1">
      <x:c r="A169" s="28" t="b">
        <x:v>0</x:v>
      </x:c>
      <x:c r="B169" s="21" t="n">
        <x:v>163</x:v>
      </x:c>
      <x:c r="C169" s="14" t="inlineStr">
        <x:is>
          <x:t xml:space="preserve">Imperial era</x:t>
        </x:is>
      </x:c>
      <x:c r="D169" s="15" t="inlineStr">
        <x:is>
          <x:t xml:space="preserve">The Bad Batch</x:t>
        </x:is>
      </x:c>
      <x:c r="E169" s="16" t="inlineStr">
        <x:is>
          <x:t xml:space="preserve"/>
        </x:is>
      </x:c>
      <x:c r="F169" s="15" t="inlineStr">
        <x:is>
          <x:t xml:space="preserve">May 4, 2021–May 1, 2024</x:t>
        </x:is>
      </x:c>
      <x:c r="G169" s="15" t="inlineStr">
        <x:is>
          <x:t xml:space="preserve">Canon</x:t>
        </x:is>
      </x:c>
      <x:c r="H169" s="15" t="inlineStr">
        <x:is>
          <x:t xml:space="preserve">Series</x:t>
        </x:is>
      </x:c>
      <x:c r="I169" s="15" t="inlineStr">
        <x:is>
          <x:t xml:space="preserve">Disney+</x:t>
        </x:is>
      </x:c>
      <x:c r="J169" s="19" t="inlineStr">
        <x:is>
          <x:t xml:space="preserve"/>
        </x:is>
      </x:c>
      <x:c r="K169" s="15" t="inlineStr">
        <x:is>
          <x:t xml:space="preserve">Seasons 1–3</x:t>
        </x:is>
      </x:c>
    </x:row>
    <x:row r="170" s="23" customFormat="1" ht="15.75" customHeight="1">
      <x:c r="A170" s="28" t="b">
        <x:v>0</x:v>
      </x:c>
      <x:c r="B170" s="21" t="n">
        <x:v>164</x:v>
      </x:c>
      <x:c r="C170" s="14" t="inlineStr">
        <x:is>
          <x:t xml:space="preserve">Imperial era</x:t>
        </x:is>
      </x:c>
      <x:c r="D170" s="15" t="inlineStr">
        <x:is>
          <x:t xml:space="preserve">Vader: Shards of the Past</x:t>
        </x:is>
      </x:c>
      <x:c r="E170" s="16" t="inlineStr">
        <x:is>
          <x:t xml:space="preserve"/>
        </x:is>
      </x:c>
      <x:c r="F170" s="17" t="inlineStr">
        <x:is>
          <x:t xml:space="preserve">December 21, 2018</x:t>
        </x:is>
      </x:c>
      <x:c r="G170" s="15" t="inlineStr">
        <x:is>
          <x:t xml:space="preserve">Fan / non-canon</x:t>
        </x:is>
      </x:c>
      <x:c r="H170" s="15" t="inlineStr">
        <x:is>
          <x:t xml:space="preserve">Fan film</x:t>
        </x:is>
      </x:c>
      <x:c r="I170" s="15" t="inlineStr">
        <x:is>
          <x:t xml:space="preserve">YouTube</x:t>
        </x:is>
      </x:c>
      <x:c r="J170" s="18" t="e">
        <x:f>HYPERLINK("https://www.youtube.com/watch?v=Ey68aMOV9gc","Open")</x:f>
        <x:v>HYPERLINK is not implemented. linkLocation=https://www.youtube.com/watch?v=Ey68aMOV9gc, friendlyName=Open</x:v>
      </x:c>
      <x:c r="K170" s="15" t="inlineStr">
        <x:is>
          <x:t xml:space="preserve">Set about eight months after Revenge of the Sith</x:t>
        </x:is>
      </x:c>
    </x:row>
    <x:row r="171" s="23" customFormat="1" ht="15.75" customHeight="1">
      <x:c r="A171" s="28" t="b">
        <x:v>0</x:v>
      </x:c>
      <x:c r="B171" s="21" t="n">
        <x:v>165</x:v>
      </x:c>
      <x:c r="C171" s="14" t="inlineStr">
        <x:is>
          <x:t xml:space="preserve">Imperial era</x:t>
        </x:is>
      </x:c>
      <x:c r="D171" s="15" t="inlineStr">
        <x:is>
          <x:t xml:space="preserve">Tales of the Empire: Barriss Offee trilogy</x:t>
        </x:is>
      </x:c>
      <x:c r="E171" s="16" t="inlineStr">
        <x:is>
          <x:t xml:space="preserve"/>
        </x:is>
      </x:c>
      <x:c r="F171" s="17" t="inlineStr">
        <x:is>
          <x:t xml:space="preserve">May 4, 2024</x:t>
        </x:is>
      </x:c>
      <x:c r="G171" s="15" t="inlineStr">
        <x:is>
          <x:t xml:space="preserve">Canon</x:t>
        </x:is>
      </x:c>
      <x:c r="H171" s="15" t="inlineStr">
        <x:is>
          <x:t xml:space="preserve">3 episodes</x:t>
        </x:is>
      </x:c>
      <x:c r="I171" s="15" t="inlineStr">
        <x:is>
          <x:t xml:space="preserve">Disney+</x:t>
        </x:is>
      </x:c>
      <x:c r="J171" s="19" t="inlineStr">
        <x:is>
          <x:t xml:space="preserve"/>
        </x:is>
      </x:c>
      <x:c r="K171" s="15" t="inlineStr">
        <x:is>
          <x:t xml:space="preserve"/>
        </x:is>
      </x:c>
    </x:row>
    <x:row r="172" s="23" customFormat="1" ht="15.75" customHeight="1">
      <x:c r="A172" s="28" t="b">
        <x:v>0</x:v>
      </x:c>
      <x:c r="B172" s="21" t="n">
        <x:v>166</x:v>
      </x:c>
      <x:c r="C172" s="14" t="inlineStr">
        <x:is>
          <x:t xml:space="preserve">Imperial era</x:t>
        </x:is>
      </x:c>
      <x:c r="D172" s="15" t="inlineStr">
        <x:is>
          <x:t xml:space="preserve">Tales of the Underworld: Asajj Ventress trilogy</x:t>
        </x:is>
      </x:c>
      <x:c r="E172" s="16" t="inlineStr">
        <x:is>
          <x:t xml:space="preserve"/>
        </x:is>
      </x:c>
      <x:c r="F172" s="17" t="inlineStr">
        <x:is>
          <x:t xml:space="preserve">May 4, 2025</x:t>
        </x:is>
      </x:c>
      <x:c r="G172" s="15" t="inlineStr">
        <x:is>
          <x:t xml:space="preserve">Canon</x:t>
        </x:is>
      </x:c>
      <x:c r="H172" s="15" t="inlineStr">
        <x:is>
          <x:t xml:space="preserve">3 episodes</x:t>
        </x:is>
      </x:c>
      <x:c r="I172" s="15" t="inlineStr">
        <x:is>
          <x:t xml:space="preserve">Disney+</x:t>
        </x:is>
      </x:c>
      <x:c r="J172" s="19" t="inlineStr">
        <x:is>
          <x:t xml:space="preserve"/>
        </x:is>
      </x:c>
      <x:c r="K172" s="15" t="inlineStr">
        <x:is>
          <x:t xml:space="preserve"/>
        </x:is>
      </x:c>
    </x:row>
    <x:row r="173" s="23" customFormat="1" ht="15.75" customHeight="1">
      <x:c r="A173" s="28" t="b">
        <x:v>0</x:v>
      </x:c>
      <x:c r="B173" s="21" t="n">
        <x:v>167</x:v>
      </x:c>
      <x:c r="C173" s="14" t="inlineStr">
        <x:is>
          <x:t xml:space="preserve">Imperial era</x:t>
        </x:is>
      </x:c>
      <x:c r="D173" s="15" t="inlineStr">
        <x:is>
          <x:t xml:space="preserve">Maul – Shadow Lord</x:t>
        </x:is>
      </x:c>
      <x:c r="E173" s="16" t="inlineStr">
        <x:is>
          <x:t xml:space="preserve"/>
        </x:is>
      </x:c>
      <x:c r="F173" s="15" t="inlineStr">
        <x:is>
          <x:t xml:space="preserve">April 6–May 4, 2026</x:t>
        </x:is>
      </x:c>
      <x:c r="G173" s="15" t="inlineStr">
        <x:is>
          <x:t xml:space="preserve">Canon</x:t>
        </x:is>
      </x:c>
      <x:c r="H173" s="15" t="inlineStr">
        <x:is>
          <x:t xml:space="preserve">Series</x:t>
        </x:is>
      </x:c>
      <x:c r="I173" s="15" t="inlineStr">
        <x:is>
          <x:t xml:space="preserve">Disney+</x:t>
        </x:is>
      </x:c>
      <x:c r="J173" s="19" t="inlineStr">
        <x:is>
          <x:t xml:space="preserve"/>
        </x:is>
      </x:c>
      <x:c r="K173" s="15" t="inlineStr">
        <x:is>
          <x:t xml:space="preserve"/>
        </x:is>
      </x:c>
    </x:row>
    <x:row r="174" s="23" customFormat="1" ht="15.75" customHeight="1">
      <x:c r="A174" s="28" t="b">
        <x:v>0</x:v>
      </x:c>
      <x:c r="B174" s="21" t="n">
        <x:v>168</x:v>
      </x:c>
      <x:c r="C174" s="14" t="inlineStr">
        <x:is>
          <x:t xml:space="preserve">Imperial era</x:t>
        </x:is>
      </x:c>
      <x:c r="D174" s="15" t="inlineStr">
        <x:is>
          <x:t xml:space="preserve">Jedi: Fallen Order</x:t>
        </x:is>
      </x:c>
      <x:c r="E174" s="16" t="inlineStr">
        <x:is>
          <x:t xml:space="preserve"/>
        </x:is>
      </x:c>
      <x:c r="F174" s="17" t="inlineStr">
        <x:is>
          <x:t xml:space="preserve">November 15, 2019</x:t>
        </x:is>
      </x:c>
      <x:c r="G174" s="15" t="inlineStr">
        <x:is>
          <x:t xml:space="preserve">Canon</x:t>
        </x:is>
      </x:c>
      <x:c r="H174" s="15" t="inlineStr">
        <x:is>
          <x:t xml:space="preserve">Game movie</x:t>
        </x:is>
      </x:c>
      <x:c r="I174" s="15" t="inlineStr">
        <x:is>
          <x:t xml:space="preserve">YouTube</x:t>
        </x:is>
      </x:c>
      <x:c r="J174" s="18" t="e">
        <x:f>HYPERLINK("https://www.youtube.com/watch?v=D_D_bR2cGgM","Open")</x:f>
        <x:v>HYPERLINK is not implemented. linkLocation=https://www.youtube.com/watch?v=D_D_bR2cGgM, friendlyName=Open</x:v>
      </x:c>
      <x:c r="K174" s="15" t="inlineStr">
        <x:is>
          <x:t xml:space="preserve"/>
        </x:is>
      </x:c>
    </x:row>
    <x:row r="175" s="23" customFormat="1" ht="15.75" customHeight="1">
      <x:c r="A175" s="28" t="b">
        <x:v>0</x:v>
      </x:c>
      <x:c r="B175" s="21" t="n">
        <x:v>169</x:v>
      </x:c>
      <x:c r="C175" s="14" t="inlineStr">
        <x:is>
          <x:t xml:space="preserve">Imperial era</x:t>
        </x:is>
      </x:c>
      <x:c r="D175" s="15" t="inlineStr">
        <x:is>
          <x:t xml:space="preserve">Solo: A Star Wars Story</x:t>
        </x:is>
      </x:c>
      <x:c r="E175" s="16" t="inlineStr">
        <x:is>
          <x:t xml:space="preserve"/>
        </x:is>
      </x:c>
      <x:c r="F175" s="17" t="inlineStr">
        <x:is>
          <x:t xml:space="preserve">May 25, 2018</x:t>
        </x:is>
      </x:c>
      <x:c r="G175" s="15" t="inlineStr">
        <x:is>
          <x:t xml:space="preserve">Canon</x:t>
        </x:is>
      </x:c>
      <x:c r="H175" s="15" t="inlineStr">
        <x:is>
          <x:t xml:space="preserve">Movie</x:t>
        </x:is>
      </x:c>
      <x:c r="I175" s="15" t="inlineStr">
        <x:is>
          <x:t xml:space="preserve">Disney+</x:t>
        </x:is>
      </x:c>
      <x:c r="J175" s="19" t="inlineStr">
        <x:is>
          <x:t xml:space="preserve"/>
        </x:is>
      </x:c>
      <x:c r="K175" s="15" t="inlineStr">
        <x:is>
          <x:t xml:space="preserve"/>
        </x:is>
      </x:c>
    </x:row>
    <x:row r="176" s="23" customFormat="1" ht="15.75" customHeight="1">
      <x:c r="A176" s="28" t="b">
        <x:v>0</x:v>
      </x:c>
      <x:c r="B176" s="21" t="n">
        <x:v>170</x:v>
      </x:c>
      <x:c r="C176" s="14" t="inlineStr">
        <x:is>
          <x:t xml:space="preserve">Imperial era</x:t>
        </x:is>
      </x:c>
      <x:c r="D176" s="15" t="inlineStr">
        <x:is>
          <x:t xml:space="preserve">Forces of Destiny: Triplecross</x:t>
        </x:is>
      </x:c>
      <x:c r="E176" s="16" t="inlineStr">
        <x:is>
          <x:t xml:space="preserve">Season 2, Episode 12</x:t>
        </x:is>
      </x:c>
      <x:c r="F176" s="17" t="inlineStr">
        <x:is>
          <x:t xml:space="preserve">May 25, 2018</x:t>
        </x:is>
      </x:c>
      <x:c r="G176" s="15" t="inlineStr">
        <x:is>
          <x:t xml:space="preserve">Canon</x:t>
        </x:is>
      </x:c>
      <x:c r="H176" s="15" t="inlineStr">
        <x:is>
          <x:t xml:space="preserve">Short</x:t>
        </x:is>
      </x:c>
      <x:c r="I176" s="15" t="inlineStr">
        <x:is>
          <x:t xml:space="preserve">Disney+ / official YouTube</x:t>
        </x:is>
      </x:c>
      <x:c r="J176" s="18" t="e">
        <x:f>HYPERLINK("https://www.youtube.com/results?search_query=Star%20Wars%20Forces%20of%20Destiny%20Triplecross%20official","Open")</x:f>
        <x:v>HYPERLINK is not implemented. linkLocation=https://www.youtube.com/results?search_query=Star%20Wars%20Forces%20of%20Destiny%20Triplecross%20official, friendlyName=Open</x:v>
      </x:c>
      <x:c r="K176" s="15" t="inlineStr">
        <x:is>
          <x:t xml:space="preserve">Around Solo</x:t>
        </x:is>
      </x:c>
    </x:row>
    <x:row r="177" s="23" customFormat="1" ht="15.75" customHeight="1">
      <x:c r="A177" s="28" t="b">
        <x:v>0</x:v>
      </x:c>
      <x:c r="B177" s="21" t="n">
        <x:v>171</x:v>
      </x:c>
      <x:c r="C177" s="14" t="inlineStr">
        <x:is>
          <x:t xml:space="preserve">Imperial era</x:t>
        </x:is>
      </x:c>
      <x:c r="D177" s="15" t="inlineStr">
        <x:is>
          <x:t xml:space="preserve">Obi-Wan Kenobi</x:t>
        </x:is>
      </x:c>
      <x:c r="E177" s="16" t="inlineStr">
        <x:is>
          <x:t xml:space="preserve"/>
        </x:is>
      </x:c>
      <x:c r="F177" s="15" t="inlineStr">
        <x:is>
          <x:t xml:space="preserve">May 27–June 22, 2022</x:t>
        </x:is>
      </x:c>
      <x:c r="G177" s="15" t="inlineStr">
        <x:is>
          <x:t xml:space="preserve">Canon</x:t>
        </x:is>
      </x:c>
      <x:c r="H177" s="15" t="inlineStr">
        <x:is>
          <x:t xml:space="preserve">Series</x:t>
        </x:is>
      </x:c>
      <x:c r="I177" s="15" t="inlineStr">
        <x:is>
          <x:t xml:space="preserve">Disney+</x:t>
        </x:is>
      </x:c>
      <x:c r="J177" s="19" t="inlineStr">
        <x:is>
          <x:t xml:space="preserve"/>
        </x:is>
      </x:c>
      <x:c r="K177" s="15" t="inlineStr">
        <x:is>
          <x:t xml:space="preserve"/>
        </x:is>
      </x:c>
    </x:row>
    <x:row r="178" s="23" customFormat="1" ht="15.75" customHeight="1">
      <x:c r="A178" s="28" t="b">
        <x:v>0</x:v>
      </x:c>
      <x:c r="B178" s="21" t="n">
        <x:v>172</x:v>
      </x:c>
      <x:c r="C178" s="14" t="inlineStr">
        <x:is>
          <x:t xml:space="preserve">Imperial era</x:t>
        </x:is>
      </x:c>
      <x:c r="D178" s="15" t="inlineStr">
        <x:is>
          <x:t xml:space="preserve">Jedi: Survivor</x:t>
        </x:is>
      </x:c>
      <x:c r="E178" s="16" t="inlineStr">
        <x:is>
          <x:t xml:space="preserve"/>
        </x:is>
      </x:c>
      <x:c r="F178" s="17" t="inlineStr">
        <x:is>
          <x:t xml:space="preserve">April 28, 2023</x:t>
        </x:is>
      </x:c>
      <x:c r="G178" s="15" t="inlineStr">
        <x:is>
          <x:t xml:space="preserve">Canon</x:t>
        </x:is>
      </x:c>
      <x:c r="H178" s="15" t="inlineStr">
        <x:is>
          <x:t xml:space="preserve">Game movie</x:t>
        </x:is>
      </x:c>
      <x:c r="I178" s="15" t="inlineStr">
        <x:is>
          <x:t xml:space="preserve">YouTube</x:t>
        </x:is>
      </x:c>
      <x:c r="J178" s="18" t="e">
        <x:f>HYPERLINK("https://www.youtube.com/watch?v=4kmQ_6uFyaU","Open")</x:f>
        <x:v>HYPERLINK is not implemented. linkLocation=https://www.youtube.com/watch?v=4kmQ_6uFyaU, friendlyName=Open</x:v>
      </x:c>
      <x:c r="K178" s="15" t="inlineStr">
        <x:is>
          <x:t xml:space="preserve"/>
        </x:is>
      </x:c>
    </x:row>
    <x:row r="179" s="23" customFormat="1" ht="15.75" customHeight="1">
      <x:c r="A179" s="28" t="b">
        <x:v>0</x:v>
      </x:c>
      <x:c r="B179" s="21" t="n">
        <x:v>173</x:v>
      </x:c>
      <x:c r="C179" s="14" t="inlineStr">
        <x:is>
          <x:t xml:space="preserve">Imperial era</x:t>
        </x:is>
      </x:c>
      <x:c r="D179" s="15" t="inlineStr">
        <x:is>
          <x:t xml:space="preserve">Droids animated series</x:t>
        </x:is>
      </x:c>
      <x:c r="E179" s="16" t="inlineStr">
        <x:is>
          <x:t xml:space="preserve"/>
        </x:is>
      </x:c>
      <x:c r="F179" s="15" t="inlineStr">
        <x:is>
          <x:t xml:space="preserve">September 7, 1985–June 7, 1986</x:t>
        </x:is>
      </x:c>
      <x:c r="G179" s="15" t="inlineStr">
        <x:is>
          <x:t xml:space="preserve">Legends</x:t>
        </x:is>
      </x:c>
      <x:c r="H179" s="15" t="inlineStr">
        <x:is>
          <x:t xml:space="preserve">Animated series</x:t>
        </x:is>
      </x:c>
      <x:c r="I179" s="15" t="inlineStr">
        <x:is>
          <x:t xml:space="preserve">Disney+</x:t>
        </x:is>
      </x:c>
      <x:c r="J179" s="19" t="inlineStr">
        <x:is>
          <x:t xml:space="preserve"/>
        </x:is>
      </x:c>
      <x:c r="K179" s="15" t="inlineStr">
        <x:is>
          <x:t xml:space="preserve">Broad placement; continuity conflicts</x:t>
        </x:is>
      </x:c>
    </x:row>
    <x:row r="180" s="23" customFormat="1" ht="15.75" customHeight="1">
      <x:c r="A180" s="28" t="b">
        <x:v>0</x:v>
      </x:c>
      <x:c r="B180" s="21" t="n">
        <x:v>174</x:v>
      </x:c>
      <x:c r="C180" s="14" t="inlineStr">
        <x:is>
          <x:t xml:space="preserve">Imperial era</x:t>
        </x:is>
      </x:c>
      <x:c r="D180" s="15" t="inlineStr">
        <x:is>
          <x:t xml:space="preserve">Andor</x:t>
        </x:is>
      </x:c>
      <x:c r="E180" s="16" t="inlineStr">
        <x:is>
          <x:t xml:space="preserve"/>
        </x:is>
      </x:c>
      <x:c r="F180" s="15" t="inlineStr">
        <x:is>
          <x:t xml:space="preserve">S1 Sept. 21–Nov. 23, 2022; S2 Apr. 22–May 13, 2025</x:t>
        </x:is>
      </x:c>
      <x:c r="G180" s="15" t="inlineStr">
        <x:is>
          <x:t xml:space="preserve">Canon</x:t>
        </x:is>
      </x:c>
      <x:c r="H180" s="15" t="inlineStr">
        <x:is>
          <x:t xml:space="preserve">Series</x:t>
        </x:is>
      </x:c>
      <x:c r="I180" s="15" t="inlineStr">
        <x:is>
          <x:t xml:space="preserve">Disney+</x:t>
        </x:is>
      </x:c>
      <x:c r="J180" s="19" t="inlineStr">
        <x:is>
          <x:t xml:space="preserve"/>
        </x:is>
      </x:c>
      <x:c r="K180" s="15" t="inlineStr">
        <x:is>
          <x:t xml:space="preserve">Andor and Rebels overlap; watch each show intact</x:t>
        </x:is>
      </x:c>
    </x:row>
    <x:row r="181" s="23" customFormat="1" ht="15.75" customHeight="1">
      <x:c r="A181" s="28" t="b">
        <x:v>0</x:v>
      </x:c>
      <x:c r="B181" s="21" t="n">
        <x:v>175</x:v>
      </x:c>
      <x:c r="C181" s="14" t="inlineStr">
        <x:is>
          <x:t xml:space="preserve">Imperial era</x:t>
        </x:is>
      </x:c>
      <x:c r="D181" s="15" t="inlineStr">
        <x:is>
          <x:t xml:space="preserve">Rebels shorts</x:t>
        </x:is>
      </x:c>
      <x:c r="E181" s="16" t="inlineStr">
        <x:is>
          <x:t xml:space="preserve"/>
        </x:is>
      </x:c>
      <x:c r="F181" s="15" t="inlineStr">
        <x:is>
          <x:t xml:space="preserve">August 11–September 29, 2014</x:t>
        </x:is>
      </x:c>
      <x:c r="G181" s="15" t="inlineStr">
        <x:is>
          <x:t xml:space="preserve">Canon</x:t>
        </x:is>
      </x:c>
      <x:c r="H181" s="15" t="inlineStr">
        <x:is>
          <x:t xml:space="preserve">Shorts</x:t>
        </x:is>
      </x:c>
      <x:c r="I181" s="15" t="inlineStr">
        <x:is>
          <x:t xml:space="preserve">Disney+ / YouTube</x:t>
        </x:is>
      </x:c>
      <x:c r="J181" s="18" t="e">
        <x:f>HYPERLINK("https://www.youtube.com/results?search_query=Star+Wars+Rebels+shorts+official","Open")</x:f>
        <x:v>HYPERLINK is not implemented. linkLocation=https://www.youtube.com/results?search_query=Star+Wars+Rebels+shorts+official, friendlyName=Open</x:v>
      </x:c>
      <x:c r="K181" s="15" t="inlineStr">
        <x:is>
          <x:t xml:space="preserve"/>
        </x:is>
      </x:c>
    </x:row>
    <x:row r="182" s="23" customFormat="1" ht="15.75" customHeight="1">
      <x:c r="A182" s="28" t="b">
        <x:v>0</x:v>
      </x:c>
      <x:c r="B182" s="21" t="n">
        <x:v>176</x:v>
      </x:c>
      <x:c r="C182" s="14" t="inlineStr">
        <x:is>
          <x:t xml:space="preserve">Imperial era</x:t>
        </x:is>
      </x:c>
      <x:c r="D182" s="15" t="inlineStr">
        <x:is>
          <x:t xml:space="preserve">Star Wars Rebels</x:t>
        </x:is>
      </x:c>
      <x:c r="E182" s="16" t="inlineStr">
        <x:is>
          <x:t xml:space="preserve"/>
        </x:is>
      </x:c>
      <x:c r="F182" s="15" t="inlineStr">
        <x:is>
          <x:t xml:space="preserve">October 3, 2014–March 5, 2018</x:t>
        </x:is>
      </x:c>
      <x:c r="G182" s="15" t="inlineStr">
        <x:is>
          <x:t xml:space="preserve">Canon</x:t>
        </x:is>
      </x:c>
      <x:c r="H182" s="15" t="inlineStr">
        <x:is>
          <x:t xml:space="preserve">Series</x:t>
        </x:is>
      </x:c>
      <x:c r="I182" s="15" t="inlineStr">
        <x:is>
          <x:t xml:space="preserve">Disney+</x:t>
        </x:is>
      </x:c>
      <x:c r="J182" s="19" t="inlineStr">
        <x:is>
          <x:t xml:space="preserve"/>
        </x:is>
      </x:c>
      <x:c r="K182" s="15" t="inlineStr">
        <x:is>
          <x:t xml:space="preserve">Seasons 1–4</x:t>
        </x:is>
      </x:c>
    </x:row>
    <x:row r="183" s="23" customFormat="1" ht="15.75" customHeight="1">
      <x:c r="A183" s="28" t="b">
        <x:v>0</x:v>
      </x:c>
      <x:c r="B183" s="21" t="n">
        <x:v>177</x:v>
      </x:c>
      <x:c r="C183" s="14" t="inlineStr">
        <x:is>
          <x:t xml:space="preserve">Imperial era</x:t>
        </x:is>
      </x:c>
      <x:c r="D183" s="15" t="inlineStr">
        <x:is>
          <x:t xml:space="preserve">Forces of Destiny: Hasty Departure</x:t>
        </x:is>
      </x:c>
      <x:c r="E183" s="16" t="inlineStr">
        <x:is>
          <x:t xml:space="preserve">Season 2, Episode 1</x:t>
        </x:is>
      </x:c>
      <x:c r="F183" s="17" t="inlineStr">
        <x:is>
          <x:t xml:space="preserve">March 19, 2018</x:t>
        </x:is>
      </x:c>
      <x:c r="G183" s="15" t="inlineStr">
        <x:is>
          <x:t xml:space="preserve">Canon</x:t>
        </x:is>
      </x:c>
      <x:c r="H183" s="15" t="inlineStr">
        <x:is>
          <x:t xml:space="preserve">Short</x:t>
        </x:is>
      </x:c>
      <x:c r="I183" s="15" t="inlineStr">
        <x:is>
          <x:t xml:space="preserve">Disney+ / official YouTube</x:t>
        </x:is>
      </x:c>
      <x:c r="J183" s="18" t="e">
        <x:f>HYPERLINK("https://www.youtube.com/results?search_query=Star%20Wars%20Forces%20of%20Destiny%20Hasty%20Departure%20official","Open")</x:f>
        <x:v>HYPERLINK is not implemented. linkLocation=https://www.youtube.com/results?search_query=Star%20Wars%20Forces%20of%20Destiny%20Hasty%20Departure%20official, friendlyName=Open</x:v>
      </x:c>
      <x:c r="K183" s="15" t="inlineStr">
        <x:is>
          <x:t xml:space="preserve">Rebels era</x:t>
        </x:is>
      </x:c>
    </x:row>
    <x:row r="184" s="23" customFormat="1" ht="15.75" customHeight="1">
      <x:c r="A184" s="28" t="b">
        <x:v>0</x:v>
      </x:c>
      <x:c r="B184" s="21" t="n">
        <x:v>178</x:v>
      </x:c>
      <x:c r="C184" s="14" t="inlineStr">
        <x:is>
          <x:t xml:space="preserve">Imperial era</x:t>
        </x:is>
      </x:c>
      <x:c r="D184" s="15" t="inlineStr">
        <x:is>
          <x:t xml:space="preserve">Forces of Destiny: Bounty of Trouble</x:t>
        </x:is>
      </x:c>
      <x:c r="E184" s="16" t="inlineStr">
        <x:is>
          <x:t xml:space="preserve">Season 1, Episode 8</x:t>
        </x:is>
      </x:c>
      <x:c r="F184" s="17" t="inlineStr">
        <x:is>
          <x:t xml:space="preserve">July 9, 2017</x:t>
        </x:is>
      </x:c>
      <x:c r="G184" s="15" t="inlineStr">
        <x:is>
          <x:t xml:space="preserve">Canon</x:t>
        </x:is>
      </x:c>
      <x:c r="H184" s="15" t="inlineStr">
        <x:is>
          <x:t xml:space="preserve">Short</x:t>
        </x:is>
      </x:c>
      <x:c r="I184" s="15" t="inlineStr">
        <x:is>
          <x:t xml:space="preserve">Disney+ / official YouTube</x:t>
        </x:is>
      </x:c>
      <x:c r="J184" s="18" t="e">
        <x:f>HYPERLINK("https://www.youtube.com/results?search_query=Star%20Wars%20Forces%20of%20Destiny%20Bounty%20of%20Trouble%20official","Open")</x:f>
        <x:v>HYPERLINK is not implemented. linkLocation=https://www.youtube.com/results?search_query=Star%20Wars%20Forces%20of%20Destiny%20Bounty%20of%20Trouble%20official, friendlyName=Open</x:v>
      </x:c>
      <x:c r="K184" s="15" t="inlineStr">
        <x:is>
          <x:t xml:space="preserve">Rebels era</x:t>
        </x:is>
      </x:c>
    </x:row>
    <x:row r="185" s="23" customFormat="1" ht="15.75" customHeight="1">
      <x:c r="A185" s="28" t="b">
        <x:v>0</x:v>
      </x:c>
      <x:c r="B185" s="21" t="n">
        <x:v>179</x:v>
      </x:c>
      <x:c r="C185" s="14" t="inlineStr">
        <x:is>
          <x:t xml:space="preserve">Imperial era</x:t>
        </x:is>
      </x:c>
      <x:c r="D185" s="15" t="inlineStr">
        <x:is>
          <x:t xml:space="preserve">Forces of Destiny: Newest Recruit</x:t>
        </x:is>
      </x:c>
      <x:c r="E185" s="16" t="inlineStr">
        <x:is>
          <x:t xml:space="preserve">Season 1, Episode 12</x:t>
        </x:is>
      </x:c>
      <x:c r="F185" s="17" t="inlineStr">
        <x:is>
          <x:t xml:space="preserve">October 1, 2017</x:t>
        </x:is>
      </x:c>
      <x:c r="G185" s="15" t="inlineStr">
        <x:is>
          <x:t xml:space="preserve">Canon</x:t>
        </x:is>
      </x:c>
      <x:c r="H185" s="15" t="inlineStr">
        <x:is>
          <x:t xml:space="preserve">Short</x:t>
        </x:is>
      </x:c>
      <x:c r="I185" s="15" t="inlineStr">
        <x:is>
          <x:t xml:space="preserve">Disney+ / official YouTube</x:t>
        </x:is>
      </x:c>
      <x:c r="J185" s="18" t="e">
        <x:f>HYPERLINK("https://www.youtube.com/results?search_query=Star%20Wars%20Forces%20of%20Destiny%20Newest%20Recruit%20official","Open")</x:f>
        <x:v>HYPERLINK is not implemented. linkLocation=https://www.youtube.com/results?search_query=Star%20Wars%20Forces%20of%20Destiny%20Newest%20Recruit%20official, friendlyName=Open</x:v>
      </x:c>
      <x:c r="K185" s="15" t="inlineStr">
        <x:is>
          <x:t xml:space="preserve">Rebels era</x:t>
        </x:is>
      </x:c>
    </x:row>
    <x:row r="186" s="23" customFormat="1" ht="15.75" customHeight="1">
      <x:c r="A186" s="28" t="b">
        <x:v>0</x:v>
      </x:c>
      <x:c r="B186" s="21" t="n">
        <x:v>180</x:v>
      </x:c>
      <x:c r="C186" s="14" t="inlineStr">
        <x:is>
          <x:t xml:space="preserve">Imperial era</x:t>
        </x:is>
      </x:c>
      <x:c r="D186" s="15" t="inlineStr">
        <x:is>
          <x:t xml:space="preserve">Forces of Destiny: Crash Course</x:t>
        </x:is>
      </x:c>
      <x:c r="E186" s="16" t="inlineStr">
        <x:is>
          <x:t xml:space="preserve">Season 1, Episode 16</x:t>
        </x:is>
      </x:c>
      <x:c r="F186" s="17" t="inlineStr">
        <x:is>
          <x:t xml:space="preserve">November 1, 2017</x:t>
        </x:is>
      </x:c>
      <x:c r="G186" s="15" t="inlineStr">
        <x:is>
          <x:t xml:space="preserve">Canon</x:t>
        </x:is>
      </x:c>
      <x:c r="H186" s="15" t="inlineStr">
        <x:is>
          <x:t xml:space="preserve">Short</x:t>
        </x:is>
      </x:c>
      <x:c r="I186" s="15" t="inlineStr">
        <x:is>
          <x:t xml:space="preserve">Disney+ / official YouTube</x:t>
        </x:is>
      </x:c>
      <x:c r="J186" s="18" t="e">
        <x:f>HYPERLINK("https://www.youtube.com/results?search_query=Star%20Wars%20Forces%20of%20Destiny%20Crash%20Course%20official","Open")</x:f>
        <x:v>HYPERLINK is not implemented. linkLocation=https://www.youtube.com/results?search_query=Star%20Wars%20Forces%20of%20Destiny%20Crash%20Course%20official, friendlyName=Open</x:v>
      </x:c>
      <x:c r="K186" s="15" t="inlineStr">
        <x:is>
          <x:t xml:space="preserve">Rebels era</x:t>
        </x:is>
      </x:c>
    </x:row>
    <x:row r="187" s="23" customFormat="1" ht="15.75" customHeight="1">
      <x:c r="A187" s="28" t="b">
        <x:v>0</x:v>
      </x:c>
      <x:c r="B187" s="21" t="n">
        <x:v>181</x:v>
      </x:c>
      <x:c r="C187" s="14" t="inlineStr">
        <x:is>
          <x:t xml:space="preserve">Imperial era</x:t>
        </x:is>
      </x:c>
      <x:c r="D187" s="15" t="inlineStr">
        <x:is>
          <x:t xml:space="preserve">Forces of Destiny: A Disarming Lesson</x:t>
        </x:is>
      </x:c>
      <x:c r="E187" s="16" t="inlineStr">
        <x:is>
          <x:t xml:space="preserve">Season 2, Episode 16</x:t>
        </x:is>
      </x:c>
      <x:c r="F187" s="17" t="inlineStr">
        <x:is>
          <x:t xml:space="preserve">May 4, 2018</x:t>
        </x:is>
      </x:c>
      <x:c r="G187" s="15" t="inlineStr">
        <x:is>
          <x:t xml:space="preserve">Canon</x:t>
        </x:is>
      </x:c>
      <x:c r="H187" s="15" t="inlineStr">
        <x:is>
          <x:t xml:space="preserve">Short</x:t>
        </x:is>
      </x:c>
      <x:c r="I187" s="15" t="inlineStr">
        <x:is>
          <x:t xml:space="preserve">Disney+ / official YouTube</x:t>
        </x:is>
      </x:c>
      <x:c r="J187" s="18" t="e">
        <x:f>HYPERLINK("https://www.youtube.com/results?search_query=Star%20Wars%20Forces%20of%20Destiny%20A%20Disarming%20Lesson%20official","Open")</x:f>
        <x:v>HYPERLINK is not implemented. linkLocation=https://www.youtube.com/results?search_query=Star%20Wars%20Forces%20of%20Destiny%20A%20Disarming%20Lesson%20official, friendlyName=Open</x:v>
      </x:c>
      <x:c r="K187" s="15" t="inlineStr">
        <x:is>
          <x:t xml:space="preserve">Rebels era</x:t>
        </x:is>
      </x:c>
    </x:row>
    <x:row r="188" s="23" customFormat="1" ht="15.75" customHeight="1">
      <x:c r="A188" s="28" t="b">
        <x:v>0</x:v>
      </x:c>
      <x:c r="B188" s="21" t="n">
        <x:v>182</x:v>
      </x:c>
      <x:c r="C188" s="14" t="inlineStr">
        <x:is>
          <x:t xml:space="preserve">Imperial era</x:t>
        </x:is>
      </x:c>
      <x:c r="D188" s="15" t="inlineStr">
        <x:is>
          <x:t xml:space="preserve">Forces of Destiny: Art History</x:t>
        </x:is>
      </x:c>
      <x:c r="E188" s="16" t="inlineStr">
        <x:is>
          <x:t xml:space="preserve">Season 2, Episode 11</x:t>
        </x:is>
      </x:c>
      <x:c r="F188" s="17" t="inlineStr">
        <x:is>
          <x:t xml:space="preserve">May 4, 2018</x:t>
        </x:is>
      </x:c>
      <x:c r="G188" s="15" t="inlineStr">
        <x:is>
          <x:t xml:space="preserve">Canon</x:t>
        </x:is>
      </x:c>
      <x:c r="H188" s="15" t="inlineStr">
        <x:is>
          <x:t xml:space="preserve">Short</x:t>
        </x:is>
      </x:c>
      <x:c r="I188" s="15" t="inlineStr">
        <x:is>
          <x:t xml:space="preserve">Disney+ / official YouTube</x:t>
        </x:is>
      </x:c>
      <x:c r="J188" s="18" t="e">
        <x:f>HYPERLINK("https://www.youtube.com/results?search_query=Star%20Wars%20Forces%20of%20Destiny%20Art%20History%20official","Open")</x:f>
        <x:v>HYPERLINK is not implemented. linkLocation=https://www.youtube.com/results?search_query=Star%20Wars%20Forces%20of%20Destiny%20Art%20History%20official, friendlyName=Open</x:v>
      </x:c>
      <x:c r="K188" s="15" t="inlineStr">
        <x:is>
          <x:t xml:space="preserve">Late Rebels era</x:t>
        </x:is>
      </x:c>
    </x:row>
    <x:row r="189" s="23" customFormat="1" ht="15.75" customHeight="1">
      <x:c r="A189" s="28" t="b">
        <x:v>0</x:v>
      </x:c>
      <x:c r="B189" s="21" t="n">
        <x:v>183</x:v>
      </x:c>
      <x:c r="C189" s="14" t="inlineStr">
        <x:is>
          <x:t xml:space="preserve">Imperial era</x:t>
        </x:is>
      </x:c>
      <x:c r="D189" s="15" t="inlineStr">
        <x:is>
          <x:t xml:space="preserve">Forces of Destiny: Accidental Allies</x:t>
        </x:is>
      </x:c>
      <x:c r="E189" s="16" t="inlineStr">
        <x:is>
          <x:t xml:space="preserve">Season 1, Episode 13</x:t>
        </x:is>
      </x:c>
      <x:c r="F189" s="17" t="inlineStr">
        <x:is>
          <x:t xml:space="preserve">October 29, 2017</x:t>
        </x:is>
      </x:c>
      <x:c r="G189" s="15" t="inlineStr">
        <x:is>
          <x:t xml:space="preserve">Canon</x:t>
        </x:is>
      </x:c>
      <x:c r="H189" s="15" t="inlineStr">
        <x:is>
          <x:t xml:space="preserve">Short</x:t>
        </x:is>
      </x:c>
      <x:c r="I189" s="15" t="inlineStr">
        <x:is>
          <x:t xml:space="preserve">Disney+ / official YouTube</x:t>
        </x:is>
      </x:c>
      <x:c r="J189" s="18" t="e">
        <x:f>HYPERLINK("https://www.youtube.com/results?search_query=Star%20Wars%20Forces%20of%20Destiny%20Accidental%20Allies%20official","Open")</x:f>
        <x:v>HYPERLINK is not implemented. linkLocation=https://www.youtube.com/results?search_query=Star%20Wars%20Forces%20of%20Destiny%20Accidental%20Allies%20official, friendlyName=Open</x:v>
      </x:c>
      <x:c r="K189" s="15" t="inlineStr">
        <x:is>
          <x:t xml:space="preserve">Before Rogue One</x:t>
        </x:is>
      </x:c>
    </x:row>
    <x:row r="190" s="23" customFormat="1" ht="15.75" customHeight="1">
      <x:c r="A190" s="28" t="b">
        <x:v>0</x:v>
      </x:c>
      <x:c r="B190" s="21" t="n">
        <x:v>184</x:v>
      </x:c>
      <x:c r="C190" s="14" t="inlineStr">
        <x:is>
          <x:t xml:space="preserve">Imperial era</x:t>
        </x:is>
      </x:c>
      <x:c r="D190" s="15" t="inlineStr">
        <x:is>
          <x:t xml:space="preserve">Forces of Destiny: The Stranger</x:t>
        </x:is>
      </x:c>
      <x:c r="E190" s="16" t="inlineStr">
        <x:is>
          <x:t xml:space="preserve">Season 1, Episode 7</x:t>
        </x:is>
      </x:c>
      <x:c r="F190" s="17" t="inlineStr">
        <x:is>
          <x:t xml:space="preserve">July 9, 2017</x:t>
        </x:is>
      </x:c>
      <x:c r="G190" s="15" t="inlineStr">
        <x:is>
          <x:t xml:space="preserve">Canon</x:t>
        </x:is>
      </x:c>
      <x:c r="H190" s="15" t="inlineStr">
        <x:is>
          <x:t xml:space="preserve">Short</x:t>
        </x:is>
      </x:c>
      <x:c r="I190" s="15" t="inlineStr">
        <x:is>
          <x:t xml:space="preserve">Disney+ / official YouTube</x:t>
        </x:is>
      </x:c>
      <x:c r="J190" s="18" t="e">
        <x:f>HYPERLINK("https://www.youtube.com/results?search_query=Star%20Wars%20Forces%20of%20Destiny%20The%20Stranger%20official","Open")</x:f>
        <x:v>HYPERLINK is not implemented. linkLocation=https://www.youtube.com/results?search_query=Star%20Wars%20Forces%20of%20Destiny%20The%20Stranger%20official, friendlyName=Open</x:v>
      </x:c>
      <x:c r="K190" s="15" t="inlineStr">
        <x:is>
          <x:t xml:space="preserve">Before Rogue One</x:t>
        </x:is>
      </x:c>
    </x:row>
    <x:row r="191" s="23" customFormat="1" ht="15.75" customHeight="1">
      <x:c r="A191" s="28" t="b">
        <x:v>0</x:v>
      </x:c>
      <x:c r="B191" s="21" t="n">
        <x:v>185</x:v>
      </x:c>
      <x:c r="C191" s="14" t="inlineStr">
        <x:is>
          <x:t xml:space="preserve">Imperial era</x:t>
        </x:is>
      </x:c>
      <x:c r="D191" s="15" t="inlineStr">
        <x:is>
          <x:t xml:space="preserve">Forces of Destiny: Jyn's Trade</x:t>
        </x:is>
      </x:c>
      <x:c r="E191" s="16" t="inlineStr">
        <x:is>
          <x:t xml:space="preserve">Season 2, Episode 4</x:t>
        </x:is>
      </x:c>
      <x:c r="F191" s="17" t="inlineStr">
        <x:is>
          <x:t xml:space="preserve">March 19, 2018</x:t>
        </x:is>
      </x:c>
      <x:c r="G191" s="15" t="inlineStr">
        <x:is>
          <x:t xml:space="preserve">Canon</x:t>
        </x:is>
      </x:c>
      <x:c r="H191" s="15" t="inlineStr">
        <x:is>
          <x:t xml:space="preserve">Short</x:t>
        </x:is>
      </x:c>
      <x:c r="I191" s="15" t="inlineStr">
        <x:is>
          <x:t xml:space="preserve">Disney+ / official YouTube</x:t>
        </x:is>
      </x:c>
      <x:c r="J191" s="18" t="e">
        <x:f>HYPERLINK("https://www.youtube.com/results?search_query=Star%20Wars%20Forces%20of%20Destiny%20Jyn's%20Trade%20official","Open")</x:f>
        <x:v>HYPERLINK is not implemented. linkLocation=https://www.youtube.com/results?search_query=Star%20Wars%20Forces%20of%20Destiny%20Jyn's%20Trade%20official, friendlyName=Open</x:v>
      </x:c>
      <x:c r="K191" s="15" t="inlineStr">
        <x:is>
          <x:t xml:space="preserve">Before Rogue One</x:t>
        </x:is>
      </x:c>
    </x:row>
    <x:row r="192" s="23" customFormat="1" ht="15.75" customHeight="1">
      <x:c r="A192" s="28" t="b">
        <x:v>0</x:v>
      </x:c>
      <x:c r="B192" s="21" t="n">
        <x:v>186</x:v>
      </x:c>
      <x:c r="C192" s="14" t="inlineStr">
        <x:is>
          <x:t xml:space="preserve">Imperial era</x:t>
        </x:is>
      </x:c>
      <x:c r="D192" s="15" t="inlineStr">
        <x:is>
          <x:t xml:space="preserve">Tales of the Underworld: Cad Bane trilogy</x:t>
        </x:is>
      </x:c>
      <x:c r="E192" s="16" t="inlineStr">
        <x:is>
          <x:t xml:space="preserve"/>
        </x:is>
      </x:c>
      <x:c r="F192" s="17" t="inlineStr">
        <x:is>
          <x:t xml:space="preserve">May 4, 2025</x:t>
        </x:is>
      </x:c>
      <x:c r="G192" s="15" t="inlineStr">
        <x:is>
          <x:t xml:space="preserve">Canon</x:t>
        </x:is>
      </x:c>
      <x:c r="H192" s="15" t="inlineStr">
        <x:is>
          <x:t xml:space="preserve">3 episodes</x:t>
        </x:is>
      </x:c>
      <x:c r="I192" s="15" t="inlineStr">
        <x:is>
          <x:t xml:space="preserve">Disney+</x:t>
        </x:is>
      </x:c>
      <x:c r="J192" s="19" t="inlineStr">
        <x:is>
          <x:t xml:space="preserve"/>
        </x:is>
      </x:c>
      <x:c r="K192" s="15" t="inlineStr">
        <x:is>
          <x:t xml:space="preserve"/>
        </x:is>
      </x:c>
    </x:row>
    <x:row r="193" s="23" customFormat="1" ht="15.75" customHeight="1">
      <x:c r="A193" s="28" t="b">
        <x:v>0</x:v>
      </x:c>
      <x:c r="B193" s="21" t="n">
        <x:v>187</x:v>
      </x:c>
      <x:c r="C193" s="14" t="inlineStr">
        <x:is>
          <x:t xml:space="preserve">Imperial era</x:t>
        </x:is>
      </x:c>
      <x:c r="D193" s="15" t="inlineStr">
        <x:is>
          <x:t xml:space="preserve">Tales of the Empire: Morgan Elsbeth trilogy</x:t>
        </x:is>
      </x:c>
      <x:c r="E193" s="16" t="inlineStr">
        <x:is>
          <x:t xml:space="preserve"/>
        </x:is>
      </x:c>
      <x:c r="F193" s="17" t="inlineStr">
        <x:is>
          <x:t xml:space="preserve">May 4, 2024</x:t>
        </x:is>
      </x:c>
      <x:c r="G193" s="15" t="inlineStr">
        <x:is>
          <x:t xml:space="preserve">Canon</x:t>
        </x:is>
      </x:c>
      <x:c r="H193" s="15" t="inlineStr">
        <x:is>
          <x:t xml:space="preserve">3 episodes</x:t>
        </x:is>
      </x:c>
      <x:c r="I193" s="15" t="inlineStr">
        <x:is>
          <x:t xml:space="preserve">Disney+</x:t>
        </x:is>
      </x:c>
      <x:c r="J193" s="19" t="inlineStr">
        <x:is>
          <x:t xml:space="preserve"/>
        </x:is>
      </x:c>
      <x:c r="K193" s="15" t="inlineStr">
        <x:is>
          <x:t xml:space="preserve"/>
        </x:is>
      </x:c>
    </x:row>
    <x:row r="194" s="23" customFormat="1" ht="15.75" customHeight="1">
      <x:c r="A194" s="28" t="b">
        <x:v>0</x:v>
      </x:c>
      <x:c r="B194" s="21" t="n">
        <x:v>188</x:v>
      </x:c>
      <x:c r="C194" s="14" t="inlineStr">
        <x:is>
          <x:t xml:space="preserve">Imperial era</x:t>
        </x:is>
      </x:c>
      <x:c r="D194" s="15" t="inlineStr">
        <x:is>
          <x:t xml:space="preserve">Vader Immortal</x:t>
        </x:is>
      </x:c>
      <x:c r="E194" s="16" t="inlineStr">
        <x:is>
          <x:t xml:space="preserve"/>
        </x:is>
      </x:c>
      <x:c r="F194" s="15" t="inlineStr">
        <x:is>
          <x:t xml:space="preserve">May 21; Sept. 25; Nov. 21, 2019</x:t>
        </x:is>
      </x:c>
      <x:c r="G194" s="15" t="inlineStr">
        <x:is>
          <x:t xml:space="preserve">Canon</x:t>
        </x:is>
      </x:c>
      <x:c r="H194" s="15" t="inlineStr">
        <x:is>
          <x:t xml:space="preserve">VR game movie</x:t>
        </x:is>
      </x:c>
      <x:c r="I194" s="15" t="inlineStr">
        <x:is>
          <x:t xml:space="preserve">YouTube</x:t>
        </x:is>
      </x:c>
      <x:c r="J194" s="18" t="e">
        <x:f>HYPERLINK("https://www.youtube.com/results?search_query=Vader+Immortal+full+game+movie+all+episodes+no+commentary","Open")</x:f>
        <x:v>HYPERLINK is not implemented. linkLocation=https://www.youtube.com/results?search_query=Vader+Immortal+full+game+movie+all+episodes+no+commentary, friendlyName=Open</x:v>
      </x:c>
      <x:c r="K194" s="15" t="inlineStr">
        <x:is>
          <x:t xml:space="preserve">Episodes I–III</x:t>
        </x:is>
      </x:c>
    </x:row>
    <x:row r="195" s="23" customFormat="1" ht="15.75" customHeight="1">
      <x:c r="A195" s="28" t="b">
        <x:v>0</x:v>
      </x:c>
      <x:c r="B195" s="21" t="n">
        <x:v>189</x:v>
      </x:c>
      <x:c r="C195" s="14" t="inlineStr">
        <x:is>
          <x:t xml:space="preserve">Imperial era</x:t>
        </x:is>
      </x:c>
      <x:c r="D195" s="15" t="inlineStr">
        <x:is>
          <x:t xml:space="preserve">Rogue One</x:t>
        </x:is>
      </x:c>
      <x:c r="E195" s="16" t="inlineStr">
        <x:is>
          <x:t xml:space="preserve"/>
        </x:is>
      </x:c>
      <x:c r="F195" s="17" t="inlineStr">
        <x:is>
          <x:t xml:space="preserve">December 16, 2016</x:t>
        </x:is>
      </x:c>
      <x:c r="G195" s="15" t="inlineStr">
        <x:is>
          <x:t xml:space="preserve">Canon</x:t>
        </x:is>
      </x:c>
      <x:c r="H195" s="15" t="inlineStr">
        <x:is>
          <x:t xml:space="preserve">Movie</x:t>
        </x:is>
      </x:c>
      <x:c r="I195" s="15" t="inlineStr">
        <x:is>
          <x:t xml:space="preserve">Disney+</x:t>
        </x:is>
      </x:c>
      <x:c r="J195" s="19" t="inlineStr">
        <x:is>
          <x:t xml:space="preserve"/>
        </x:is>
      </x:c>
      <x:c r="K195" s="15" t="inlineStr">
        <x:is>
          <x:t xml:space="preserve"/>
        </x:is>
      </x:c>
    </x:row>
    <x:row r="196" s="23" customFormat="1" ht="15.75" customHeight="1">
      <x:c r="A196" s="28" t="b">
        <x:v>0</x:v>
      </x:c>
      <x:c r="B196" s="21" t="n">
        <x:v>190</x:v>
      </x:c>
      <x:c r="C196" s="14" t="inlineStr">
        <x:is>
          <x:t xml:space="preserve">Imperial era</x:t>
        </x:is>
      </x:c>
      <x:c r="D196" s="15" t="inlineStr">
        <x:is>
          <x:t xml:space="preserve">Episode IV: A New Hope</x:t>
        </x:is>
      </x:c>
      <x:c r="E196" s="16" t="inlineStr">
        <x:is>
          <x:t xml:space="preserve"/>
        </x:is>
      </x:c>
      <x:c r="F196" s="17" t="inlineStr">
        <x:is>
          <x:t xml:space="preserve">May 25, 1977</x:t>
        </x:is>
      </x:c>
      <x:c r="G196" s="15" t="inlineStr">
        <x:is>
          <x:t xml:space="preserve">Canon</x:t>
        </x:is>
      </x:c>
      <x:c r="H196" s="15" t="inlineStr">
        <x:is>
          <x:t xml:space="preserve">Movie</x:t>
        </x:is>
      </x:c>
      <x:c r="I196" s="15" t="inlineStr">
        <x:is>
          <x:t xml:space="preserve">Disney+</x:t>
        </x:is>
      </x:c>
      <x:c r="J196" s="19" t="inlineStr">
        <x:is>
          <x:t xml:space="preserve"/>
        </x:is>
      </x:c>
      <x:c r="K196" s="15" t="inlineStr">
        <x:is>
          <x:t xml:space="preserve"/>
        </x:is>
      </x:c>
    </x:row>
    <x:row r="197" s="23" customFormat="1" ht="15.75" customHeight="1">
      <x:c r="A197" s="28" t="b">
        <x:v>0</x:v>
      </x:c>
      <x:c r="B197" s="21" t="n">
        <x:v>191</x:v>
      </x:c>
      <x:c r="C197" s="14" t="inlineStr">
        <x:is>
          <x:t xml:space="preserve">Imperial era</x:t>
        </x:is>
      </x:c>
      <x:c r="D197" s="15" t="inlineStr">
        <x:is>
          <x:t xml:space="preserve">SC 38 Reimagined</x:t>
        </x:is>
      </x:c>
      <x:c r="E197" s="16" t="inlineStr">
        <x:is>
          <x:t xml:space="preserve"/>
        </x:is>
      </x:c>
      <x:c r="F197" s="17" t="inlineStr">
        <x:is>
          <x:t xml:space="preserve">May 8, 2019</x:t>
        </x:is>
      </x:c>
      <x:c r="G197" s="15" t="inlineStr">
        <x:is>
          <x:t xml:space="preserve">Fan / non-canon</x:t>
        </x:is>
      </x:c>
      <x:c r="H197" s="15" t="inlineStr">
        <x:is>
          <x:t xml:space="preserve">Fan film</x:t>
        </x:is>
      </x:c>
      <x:c r="I197" s="15" t="inlineStr">
        <x:is>
          <x:t xml:space="preserve">YouTube</x:t>
        </x:is>
      </x:c>
      <x:c r="J197" s="18" t="e">
        <x:f>HYPERLINK("https://www.youtube.com/results?search_query=SC+38+Reimagined+FXitinPost","Open")</x:f>
        <x:v>HYPERLINK is not implemented. linkLocation=https://www.youtube.com/results?search_query=SC+38+Reimagined+FXitinPost, friendlyName=Open</x:v>
      </x:c>
      <x:c r="K197" s="15" t="inlineStr">
        <x:is>
          <x:t xml:space="preserve">Extended alternate version of the Obi-Wan/Vader duel inside A New Hope</x:t>
        </x:is>
      </x:c>
    </x:row>
    <x:row r="198" s="23" customFormat="1" ht="15.75" customHeight="1">
      <x:c r="A198" s="28" t="b">
        <x:v>0</x:v>
      </x:c>
      <x:c r="B198" s="21" t="n">
        <x:v>192</x:v>
      </x:c>
      <x:c r="C198" s="14" t="inlineStr">
        <x:is>
          <x:t xml:space="preserve">Galactic Civil War</x:t>
        </x:is>
      </x:c>
      <x:c r="D198" s="15" t="inlineStr">
        <x:is>
          <x:t xml:space="preserve">The Star Wars Holiday Special</x:t>
        </x:is>
      </x:c>
      <x:c r="E198" s="16" t="inlineStr">
        <x:is>
          <x:t xml:space="preserve"/>
        </x:is>
      </x:c>
      <x:c r="F198" s="17" t="inlineStr">
        <x:is>
          <x:t xml:space="preserve">November 17, 1978</x:t>
        </x:is>
      </x:c>
      <x:c r="G198" s="15" t="inlineStr">
        <x:is>
          <x:t xml:space="preserve">Canon-adjacent oddity</x:t>
        </x:is>
      </x:c>
      <x:c r="H198" s="15" t="inlineStr">
        <x:is>
          <x:t xml:space="preserve">TV special</x:t>
        </x:is>
      </x:c>
      <x:c r="I198" s="15" t="inlineStr">
        <x:is>
          <x:t xml:space="preserve">No official stream</x:t>
        </x:is>
      </x:c>
      <x:c r="J198" s="19" t="inlineStr">
        <x:is>
          <x:t xml:space="preserve"/>
        </x:is>
      </x:c>
      <x:c r="K198" s="15" t="inlineStr">
        <x:is>
          <x:t xml:space="preserve">Complete special is not officially available</x:t>
        </x:is>
      </x:c>
    </x:row>
    <x:row r="199" s="23" customFormat="1" ht="15.75" customHeight="1">
      <x:c r="A199" s="28" t="b">
        <x:v>0</x:v>
      </x:c>
      <x:c r="B199" s="21" t="n">
        <x:v>193</x:v>
      </x:c>
      <x:c r="C199" s="14" t="inlineStr">
        <x:is>
          <x:t xml:space="preserve">Galactic Civil War</x:t>
        </x:is>
      </x:c>
      <x:c r="D199" s="15" t="inlineStr">
        <x:is>
          <x:t xml:space="preserve">The Story of the Faithful Wookiee</x:t>
        </x:is>
      </x:c>
      <x:c r="E199" s="16" t="inlineStr">
        <x:is>
          <x:t xml:space="preserve"/>
        </x:is>
      </x:c>
      <x:c r="F199" s="17" t="inlineStr">
        <x:is>
          <x:t xml:space="preserve">November 17, 1978</x:t>
        </x:is>
      </x:c>
      <x:c r="G199" s="15" t="inlineStr">
        <x:is>
          <x:t xml:space="preserve">Canon-adjacent</x:t>
        </x:is>
      </x:c>
      <x:c r="H199" s="15" t="inlineStr">
        <x:is>
          <x:t xml:space="preserve">Animated short</x:t>
        </x:is>
      </x:c>
      <x:c r="I199" s="15" t="inlineStr">
        <x:is>
          <x:t xml:space="preserve">Disney+</x:t>
        </x:is>
      </x:c>
      <x:c r="J199" s="19" t="inlineStr">
        <x:is>
          <x:t xml:space="preserve"/>
        </x:is>
      </x:c>
      <x:c r="K199" s="15" t="inlineStr">
        <x:is>
          <x:t xml:space="preserve">Animated Holiday Special segment introducing Boba Fett</x:t>
        </x:is>
      </x:c>
    </x:row>
    <x:row r="200" s="23" customFormat="1" ht="15.75" customHeight="1">
      <x:c r="A200" s="28" t="b">
        <x:v>0</x:v>
      </x:c>
      <x:c r="B200" s="21" t="n">
        <x:v>194</x:v>
      </x:c>
      <x:c r="C200" s="14" t="inlineStr">
        <x:is>
          <x:t xml:space="preserve">Galactic Civil War</x:t>
        </x:is>
      </x:c>
      <x:c r="D200" s="15" t="inlineStr">
        <x:is>
          <x:t xml:space="preserve">Forces of Destiny: Beasts of Echo Base</x:t>
        </x:is>
      </x:c>
      <x:c r="E200" s="16" t="inlineStr">
        <x:is>
          <x:t xml:space="preserve">Season 1, Episode 5</x:t>
        </x:is>
      </x:c>
      <x:c r="F200" s="17" t="inlineStr">
        <x:is>
          <x:t xml:space="preserve">July 7, 2017</x:t>
        </x:is>
      </x:c>
      <x:c r="G200" s="15" t="inlineStr">
        <x:is>
          <x:t xml:space="preserve">Canon</x:t>
        </x:is>
      </x:c>
      <x:c r="H200" s="15" t="inlineStr">
        <x:is>
          <x:t xml:space="preserve">Short</x:t>
        </x:is>
      </x:c>
      <x:c r="I200" s="15" t="inlineStr">
        <x:is>
          <x:t xml:space="preserve">Disney+ / official YouTube</x:t>
        </x:is>
      </x:c>
      <x:c r="J200" s="18" t="e">
        <x:f>HYPERLINK("https://www.youtube.com/results?search_query=Star%20Wars%20Forces%20of%20Destiny%20Beasts%20of%20Echo%20Base%20official","Open")</x:f>
        <x:v>HYPERLINK is not implemented. linkLocation=https://www.youtube.com/results?search_query=Star%20Wars%20Forces%20of%20Destiny%20Beasts%20of%20Echo%20Base%20official, friendlyName=Open</x:v>
      </x:c>
      <x:c r="K200" s="15" t="inlineStr">
        <x:is>
          <x:t xml:space="preserve">Before The Empire Strikes Back</x:t>
        </x:is>
      </x:c>
    </x:row>
    <x:row r="201" s="23" customFormat="1" ht="15.75" customHeight="1">
      <x:c r="A201" s="28" t="b">
        <x:v>0</x:v>
      </x:c>
      <x:c r="B201" s="21" t="n">
        <x:v>195</x:v>
      </x:c>
      <x:c r="C201" s="14" t="inlineStr">
        <x:is>
          <x:t xml:space="preserve">Galactic Civil War</x:t>
        </x:is>
      </x:c>
      <x:c r="D201" s="15" t="inlineStr">
        <x:is>
          <x:t xml:space="preserve">Episode V: The Empire Strikes Back</x:t>
        </x:is>
      </x:c>
      <x:c r="E201" s="16" t="inlineStr">
        <x:is>
          <x:t xml:space="preserve"/>
        </x:is>
      </x:c>
      <x:c r="F201" s="17" t="inlineStr">
        <x:is>
          <x:t xml:space="preserve">May 21, 1980</x:t>
        </x:is>
      </x:c>
      <x:c r="G201" s="15" t="inlineStr">
        <x:is>
          <x:t xml:space="preserve">Canon</x:t>
        </x:is>
      </x:c>
      <x:c r="H201" s="15" t="inlineStr">
        <x:is>
          <x:t xml:space="preserve">Movie</x:t>
        </x:is>
      </x:c>
      <x:c r="I201" s="15" t="inlineStr">
        <x:is>
          <x:t xml:space="preserve">Disney+</x:t>
        </x:is>
      </x:c>
      <x:c r="J201" s="19" t="inlineStr">
        <x:is>
          <x:t xml:space="preserve"/>
        </x:is>
      </x:c>
      <x:c r="K201" s="15" t="inlineStr">
        <x:is>
          <x:t xml:space="preserve"/>
        </x:is>
      </x:c>
    </x:row>
    <x:row r="202" s="23" customFormat="1" ht="15.75" customHeight="1">
      <x:c r="A202" s="28" t="b">
        <x:v>0</x:v>
      </x:c>
      <x:c r="B202" s="21" t="n">
        <x:v>196</x:v>
      </x:c>
      <x:c r="C202" s="14" t="inlineStr">
        <x:is>
          <x:t xml:space="preserve">Galactic Civil War</x:t>
        </x:is>
      </x:c>
      <x:c r="D202" s="15" t="inlineStr">
        <x:is>
          <x:t xml:space="preserve">Forces of Destiny: The Path Ahead</x:t>
        </x:is>
      </x:c>
      <x:c r="E202" s="16" t="inlineStr">
        <x:is>
          <x:t xml:space="preserve">Season 2, Episode 7</x:t>
        </x:is>
      </x:c>
      <x:c r="F202" s="17" t="inlineStr">
        <x:is>
          <x:t xml:space="preserve">March 19, 2018</x:t>
        </x:is>
      </x:c>
      <x:c r="G202" s="15" t="inlineStr">
        <x:is>
          <x:t xml:space="preserve">Canon</x:t>
        </x:is>
      </x:c>
      <x:c r="H202" s="15" t="inlineStr">
        <x:is>
          <x:t xml:space="preserve">Short</x:t>
        </x:is>
      </x:c>
      <x:c r="I202" s="15" t="inlineStr">
        <x:is>
          <x:t xml:space="preserve">Disney+ / official YouTube</x:t>
        </x:is>
      </x:c>
      <x:c r="J202" s="18" t="e">
        <x:f>HYPERLINK("https://www.youtube.com/results?search_query=Star%20Wars%20Forces%20of%20Destiny%20The%20Path%20Ahead%20official","Open")</x:f>
        <x:v>HYPERLINK is not implemented. linkLocation=https://www.youtube.com/results?search_query=Star%20Wars%20Forces%20of%20Destiny%20The%20Path%20Ahead%20official, friendlyName=Open</x:v>
      </x:c>
      <x:c r="K202" s="15" t="inlineStr">
        <x:is>
          <x:t xml:space="preserve">During The Empire Strikes Back</x:t>
        </x:is>
      </x:c>
    </x:row>
    <x:row r="203" s="23" customFormat="1" ht="15.75" customHeight="1">
      <x:c r="A203" s="28" t="b">
        <x:v>0</x:v>
      </x:c>
      <x:c r="B203" s="21" t="n">
        <x:v>197</x:v>
      </x:c>
      <x:c r="C203" s="14" t="inlineStr">
        <x:is>
          <x:t xml:space="preserve">Galactic Civil War</x:t>
        </x:is>
      </x:c>
      <x:c r="D203" s="15" t="inlineStr">
        <x:is>
          <x:t xml:space="preserve">Star Wars Outlaws</x:t>
        </x:is>
      </x:c>
      <x:c r="E203" s="16" t="inlineStr">
        <x:is>
          <x:t xml:space="preserve"/>
        </x:is>
      </x:c>
      <x:c r="F203" s="17" t="inlineStr">
        <x:is>
          <x:t xml:space="preserve">August 30, 2024</x:t>
        </x:is>
      </x:c>
      <x:c r="G203" s="15" t="inlineStr">
        <x:is>
          <x:t xml:space="preserve">Canon</x:t>
        </x:is>
      </x:c>
      <x:c r="H203" s="15" t="inlineStr">
        <x:is>
          <x:t xml:space="preserve">Game movie</x:t>
        </x:is>
      </x:c>
      <x:c r="I203" s="15" t="inlineStr">
        <x:is>
          <x:t xml:space="preserve">YouTube</x:t>
        </x:is>
      </x:c>
      <x:c r="J203" s="18" t="e">
        <x:f>HYPERLINK("https://www.youtube.com/watch?v=ENdpvW1otMQ","Open")</x:f>
        <x:v>HYPERLINK is not implemented. linkLocation=https://www.youtube.com/watch?v=ENdpvW1otMQ, friendlyName=Open</x:v>
      </x:c>
      <x:c r="K203" s="15" t="inlineStr">
        <x:is>
          <x:t xml:space="preserve">Wild Card Nov. 21, 2024; A Pirate's Fortune May 15, 2025</x:t>
        </x:is>
      </x:c>
    </x:row>
    <x:row r="204" s="23" customFormat="1" ht="15.75" customHeight="1">
      <x:c r="A204" s="28" t="b">
        <x:v>0</x:v>
      </x:c>
      <x:c r="B204" s="21" t="n">
        <x:v>198</x:v>
      </x:c>
      <x:c r="C204" s="14" t="inlineStr">
        <x:is>
          <x:t xml:space="preserve">Galactic Civil War</x:t>
        </x:is>
      </x:c>
      <x:c r="D204" s="15" t="inlineStr">
        <x:is>
          <x:t xml:space="preserve">Ewoks animated series</x:t>
        </x:is>
      </x:c>
      <x:c r="E204" s="16" t="inlineStr">
        <x:is>
          <x:t xml:space="preserve"/>
        </x:is>
      </x:c>
      <x:c r="F204" s="15" t="inlineStr">
        <x:is>
          <x:t xml:space="preserve">September 7, 1985–December 13, 1986</x:t>
        </x:is>
      </x:c>
      <x:c r="G204" s="15" t="inlineStr">
        <x:is>
          <x:t xml:space="preserve">Legends</x:t>
        </x:is>
      </x:c>
      <x:c r="H204" s="15" t="inlineStr">
        <x:is>
          <x:t xml:space="preserve">Animated series</x:t>
        </x:is>
      </x:c>
      <x:c r="I204" s="15" t="inlineStr">
        <x:is>
          <x:t xml:space="preserve">Disney+</x:t>
        </x:is>
      </x:c>
      <x:c r="J204" s="19" t="inlineStr">
        <x:is>
          <x:t xml:space="preserve"/>
        </x:is>
      </x:c>
      <x:c r="K204" s="15" t="inlineStr">
        <x:is>
          <x:t xml:space="preserve"/>
        </x:is>
      </x:c>
    </x:row>
    <x:row r="205" s="23" customFormat="1" ht="15.75" customHeight="1">
      <x:c r="A205" s="28" t="b">
        <x:v>0</x:v>
      </x:c>
      <x:c r="B205" s="21" t="n">
        <x:v>199</x:v>
      </x:c>
      <x:c r="C205" s="14" t="inlineStr">
        <x:is>
          <x:t xml:space="preserve">Galactic Civil War</x:t>
        </x:is>
      </x:c>
      <x:c r="D205" s="15" t="inlineStr">
        <x:is>
          <x:t xml:space="preserve">Caravan of Courage: An Ewok Adventure</x:t>
        </x:is>
      </x:c>
      <x:c r="E205" s="16" t="inlineStr">
        <x:is>
          <x:t xml:space="preserve"/>
        </x:is>
      </x:c>
      <x:c r="F205" s="17" t="inlineStr">
        <x:is>
          <x:t xml:space="preserve">November 25, 1984</x:t>
        </x:is>
      </x:c>
      <x:c r="G205" s="15" t="inlineStr">
        <x:is>
          <x:t xml:space="preserve">Legends</x:t>
        </x:is>
      </x:c>
      <x:c r="H205" s="15" t="inlineStr">
        <x:is>
          <x:t xml:space="preserve">TV movie</x:t>
        </x:is>
      </x:c>
      <x:c r="I205" s="15" t="inlineStr">
        <x:is>
          <x:t xml:space="preserve">Disney+</x:t>
        </x:is>
      </x:c>
      <x:c r="J205" s="19" t="inlineStr">
        <x:is>
          <x:t xml:space="preserve"/>
        </x:is>
      </x:c>
      <x:c r="K205" s="15" t="inlineStr">
        <x:is>
          <x:t xml:space="preserve"/>
        </x:is>
      </x:c>
    </x:row>
    <x:row r="206" s="23" customFormat="1" ht="15.75" customHeight="1">
      <x:c r="A206" s="28" t="b">
        <x:v>0</x:v>
      </x:c>
      <x:c r="B206" s="21" t="n">
        <x:v>200</x:v>
      </x:c>
      <x:c r="C206" s="14" t="inlineStr">
        <x:is>
          <x:t xml:space="preserve">Galactic Civil War</x:t>
        </x:is>
      </x:c>
      <x:c r="D206" s="15" t="inlineStr">
        <x:is>
          <x:t xml:space="preserve">Ewoks: The Battle for Endor</x:t>
        </x:is>
      </x:c>
      <x:c r="E206" s="16" t="inlineStr">
        <x:is>
          <x:t xml:space="preserve"/>
        </x:is>
      </x:c>
      <x:c r="F206" s="17" t="inlineStr">
        <x:is>
          <x:t xml:space="preserve">November 24, 1985</x:t>
        </x:is>
      </x:c>
      <x:c r="G206" s="15" t="inlineStr">
        <x:is>
          <x:t xml:space="preserve">Legends</x:t>
        </x:is>
      </x:c>
      <x:c r="H206" s="15" t="inlineStr">
        <x:is>
          <x:t xml:space="preserve">TV movie</x:t>
        </x:is>
      </x:c>
      <x:c r="I206" s="15" t="inlineStr">
        <x:is>
          <x:t xml:space="preserve">Disney+</x:t>
        </x:is>
      </x:c>
      <x:c r="J206" s="19" t="inlineStr">
        <x:is>
          <x:t xml:space="preserve"/>
        </x:is>
      </x:c>
      <x:c r="K206" s="15" t="inlineStr">
        <x:is>
          <x:t xml:space="preserve"/>
        </x:is>
      </x:c>
    </x:row>
    <x:row r="207" s="23" customFormat="1" ht="15.75" customHeight="1">
      <x:c r="A207" s="28" t="b">
        <x:v>0</x:v>
      </x:c>
      <x:c r="B207" s="21" t="n">
        <x:v>201</x:v>
      </x:c>
      <x:c r="C207" s="14" t="inlineStr">
        <x:is>
          <x:t xml:space="preserve">Galactic Civil War</x:t>
        </x:is>
      </x:c>
      <x:c r="D207" s="15" t="inlineStr">
        <x:is>
          <x:t xml:space="preserve">Forces of Destiny: Bounty Hunted</x:t>
        </x:is>
      </x:c>
      <x:c r="E207" s="16" t="inlineStr">
        <x:is>
          <x:t xml:space="preserve">Season 2, Episode 6</x:t>
        </x:is>
      </x:c>
      <x:c r="F207" s="17" t="inlineStr">
        <x:is>
          <x:t xml:space="preserve">March 19, 2018</x:t>
        </x:is>
      </x:c>
      <x:c r="G207" s="15" t="inlineStr">
        <x:is>
          <x:t xml:space="preserve">Canon</x:t>
        </x:is>
      </x:c>
      <x:c r="H207" s="15" t="inlineStr">
        <x:is>
          <x:t xml:space="preserve">Short</x:t>
        </x:is>
      </x:c>
      <x:c r="I207" s="15" t="inlineStr">
        <x:is>
          <x:t xml:space="preserve">Disney+ / official YouTube</x:t>
        </x:is>
      </x:c>
      <x:c r="J207" s="18" t="e">
        <x:f>HYPERLINK("https://www.youtube.com/results?search_query=Star%20Wars%20Forces%20of%20Destiny%20Bounty%20Hunted%20official","Open")</x:f>
        <x:v>HYPERLINK is not implemented. linkLocation=https://www.youtube.com/results?search_query=Star%20Wars%20Forces%20of%20Destiny%20Bounty%20Hunted%20official, friendlyName=Open</x:v>
      </x:c>
      <x:c r="K207" s="15" t="inlineStr">
        <x:is>
          <x:t xml:space="preserve">Before Return of the Jedi</x:t>
        </x:is>
      </x:c>
    </x:row>
    <x:row r="208" s="23" customFormat="1" ht="15.75" customHeight="1">
      <x:c r="A208" s="28" t="b">
        <x:v>0</x:v>
      </x:c>
      <x:c r="B208" s="21" t="n">
        <x:v>202</x:v>
      </x:c>
      <x:c r="C208" s="14" t="inlineStr">
        <x:is>
          <x:t xml:space="preserve">Galactic Civil War</x:t>
        </x:is>
      </x:c>
      <x:c r="D208" s="15" t="inlineStr">
        <x:is>
          <x:t xml:space="preserve">Episode VI: Return of the Jedi</x:t>
        </x:is>
      </x:c>
      <x:c r="E208" s="16" t="inlineStr">
        <x:is>
          <x:t xml:space="preserve"/>
        </x:is>
      </x:c>
      <x:c r="F208" s="17" t="inlineStr">
        <x:is>
          <x:t xml:space="preserve">May 25, 1983</x:t>
        </x:is>
      </x:c>
      <x:c r="G208" s="15" t="inlineStr">
        <x:is>
          <x:t xml:space="preserve">Canon</x:t>
        </x:is>
      </x:c>
      <x:c r="H208" s="15" t="inlineStr">
        <x:is>
          <x:t xml:space="preserve">Movie</x:t>
        </x:is>
      </x:c>
      <x:c r="I208" s="15" t="inlineStr">
        <x:is>
          <x:t xml:space="preserve">Disney+</x:t>
        </x:is>
      </x:c>
      <x:c r="J208" s="19" t="inlineStr">
        <x:is>
          <x:t xml:space="preserve"/>
        </x:is>
      </x:c>
      <x:c r="K208" s="15" t="inlineStr">
        <x:is>
          <x:t xml:space="preserve"/>
        </x:is>
      </x:c>
    </x:row>
    <x:row r="209" s="23" customFormat="1" ht="15.75" customHeight="1">
      <x:c r="A209" s="28" t="b">
        <x:v>0</x:v>
      </x:c>
      <x:c r="B209" s="21" t="n">
        <x:v>203</x:v>
      </x:c>
      <x:c r="C209" s="14" t="inlineStr">
        <x:is>
          <x:t xml:space="preserve">Galactic Civil War</x:t>
        </x:is>
      </x:c>
      <x:c r="D209" s="15" t="inlineStr">
        <x:is>
          <x:t xml:space="preserve">Forces of Destiny: Ewok Escape</x:t>
        </x:is>
      </x:c>
      <x:c r="E209" s="16" t="inlineStr">
        <x:is>
          <x:t xml:space="preserve">Season 1, Episode 3</x:t>
        </x:is>
      </x:c>
      <x:c r="F209" s="17" t="inlineStr">
        <x:is>
          <x:t xml:space="preserve">July 5, 2017</x:t>
        </x:is>
      </x:c>
      <x:c r="G209" s="15" t="inlineStr">
        <x:is>
          <x:t xml:space="preserve">Canon</x:t>
        </x:is>
      </x:c>
      <x:c r="H209" s="15" t="inlineStr">
        <x:is>
          <x:t xml:space="preserve">Short</x:t>
        </x:is>
      </x:c>
      <x:c r="I209" s="15" t="inlineStr">
        <x:is>
          <x:t xml:space="preserve">Disney+ / official YouTube</x:t>
        </x:is>
      </x:c>
      <x:c r="J209" s="18" t="e">
        <x:f>HYPERLINK("https://www.youtube.com/results?search_query=Star%20Wars%20Forces%20of%20Destiny%20Ewok%20Escape%20official","Open")</x:f>
        <x:v>HYPERLINK is not implemented. linkLocation=https://www.youtube.com/results?search_query=Star%20Wars%20Forces%20of%20Destiny%20Ewok%20Escape%20official, friendlyName=Open</x:v>
      </x:c>
      <x:c r="K209" s="15" t="inlineStr">
        <x:is>
          <x:t xml:space="preserve">During Return of the Jedi</x:t>
        </x:is>
      </x:c>
    </x:row>
    <x:row r="210" s="23" customFormat="1" ht="15.75" customHeight="1">
      <x:c r="A210" s="28" t="b">
        <x:v>0</x:v>
      </x:c>
      <x:c r="B210" s="21" t="n">
        <x:v>204</x:v>
      </x:c>
      <x:c r="C210" s="14" t="inlineStr">
        <x:is>
          <x:t xml:space="preserve">Galactic Civil War</x:t>
        </x:is>
      </x:c>
      <x:c r="D210" s="15" t="inlineStr">
        <x:is>
          <x:t xml:space="preserve">Forces of Destiny: Chopper and Friends</x:t>
        </x:is>
      </x:c>
      <x:c r="E210" s="16" t="inlineStr">
        <x:is>
          <x:t xml:space="preserve">Season 2, Episode 9</x:t>
        </x:is>
      </x:c>
      <x:c r="F210" s="17" t="inlineStr">
        <x:is>
          <x:t xml:space="preserve">May 4, 2018</x:t>
        </x:is>
      </x:c>
      <x:c r="G210" s="15" t="inlineStr">
        <x:is>
          <x:t xml:space="preserve">Canon</x:t>
        </x:is>
      </x:c>
      <x:c r="H210" s="15" t="inlineStr">
        <x:is>
          <x:t xml:space="preserve">Short</x:t>
        </x:is>
      </x:c>
      <x:c r="I210" s="15" t="inlineStr">
        <x:is>
          <x:t xml:space="preserve">Disney+ / official YouTube</x:t>
        </x:is>
      </x:c>
      <x:c r="J210" s="18" t="e">
        <x:f>HYPERLINK("https://www.youtube.com/results?search_query=Star%20Wars%20Forces%20of%20Destiny%20Chopper%20and%20Friends%20official","Open")</x:f>
        <x:v>HYPERLINK is not implemented. linkLocation=https://www.youtube.com/results?search_query=Star%20Wars%20Forces%20of%20Destiny%20Chopper%20and%20Friends%20official, friendlyName=Open</x:v>
      </x:c>
      <x:c r="K210" s="15" t="inlineStr">
        <x:is>
          <x:t xml:space="preserve">Endor era</x:t>
        </x:is>
      </x:c>
    </x:row>
    <x:row r="211" s="23" customFormat="1" ht="15.75" customHeight="1">
      <x:c r="A211" s="28" t="b">
        <x:v>0</x:v>
      </x:c>
      <x:c r="B211" s="21" t="n">
        <x:v>205</x:v>
      </x:c>
      <x:c r="C211" s="14" t="inlineStr">
        <x:is>
          <x:t xml:space="preserve">Galactic Civil War</x:t>
        </x:is>
      </x:c>
      <x:c r="D211" s="15" t="inlineStr">
        <x:is>
          <x:t xml:space="preserve">Forces of Destiny: Traps and Tribulations</x:t>
        </x:is>
      </x:c>
      <x:c r="E211" s="16" t="inlineStr">
        <x:is>
          <x:t xml:space="preserve">Season 2, Episode 15</x:t>
        </x:is>
      </x:c>
      <x:c r="F211" s="17" t="inlineStr">
        <x:is>
          <x:t xml:space="preserve">May 4, 2018</x:t>
        </x:is>
      </x:c>
      <x:c r="G211" s="15" t="inlineStr">
        <x:is>
          <x:t xml:space="preserve">Canon</x:t>
        </x:is>
      </x:c>
      <x:c r="H211" s="15" t="inlineStr">
        <x:is>
          <x:t xml:space="preserve">Short</x:t>
        </x:is>
      </x:c>
      <x:c r="I211" s="15" t="inlineStr">
        <x:is>
          <x:t xml:space="preserve">Disney+ / official YouTube</x:t>
        </x:is>
      </x:c>
      <x:c r="J211" s="18" t="e">
        <x:f>HYPERLINK("https://www.youtube.com/results?search_query=Star%20Wars%20Forces%20of%20Destiny%20Traps%20and%20Tribulations%20official","Open")</x:f>
        <x:v>HYPERLINK is not implemented. linkLocation=https://www.youtube.com/results?search_query=Star%20Wars%20Forces%20of%20Destiny%20Traps%20and%20Tribulations%20official, friendlyName=Open</x:v>
      </x:c>
      <x:c r="K211" s="15" t="inlineStr">
        <x:is>
          <x:t xml:space="preserve">Endor era</x:t>
        </x:is>
      </x:c>
    </x:row>
    <x:row r="212" s="23" customFormat="1" ht="15.75" customHeight="1">
      <x:c r="A212" s="28" t="b">
        <x:v>0</x:v>
      </x:c>
      <x:c r="B212" s="21" t="n">
        <x:v>206</x:v>
      </x:c>
      <x:c r="C212" s="14" t="inlineStr">
        <x:is>
          <x:t xml:space="preserve">Galactic Civil War</x:t>
        </x:is>
      </x:c>
      <x:c r="D212" s="15" t="inlineStr">
        <x:is>
          <x:t xml:space="preserve">Forces of Destiny: An Imperial Feast</x:t>
        </x:is>
      </x:c>
      <x:c r="E212" s="16" t="inlineStr">
        <x:is>
          <x:t xml:space="preserve">Season 1, Episode 14</x:t>
        </x:is>
      </x:c>
      <x:c r="F212" s="17" t="inlineStr">
        <x:is>
          <x:t xml:space="preserve">October 30, 2017</x:t>
        </x:is>
      </x:c>
      <x:c r="G212" s="15" t="inlineStr">
        <x:is>
          <x:t xml:space="preserve">Canon</x:t>
        </x:is>
      </x:c>
      <x:c r="H212" s="15" t="inlineStr">
        <x:is>
          <x:t xml:space="preserve">Short</x:t>
        </x:is>
      </x:c>
      <x:c r="I212" s="15" t="inlineStr">
        <x:is>
          <x:t xml:space="preserve">Disney+ / official YouTube</x:t>
        </x:is>
      </x:c>
      <x:c r="J212" s="18" t="e">
        <x:f>HYPERLINK("https://www.youtube.com/results?search_query=Star%20Wars%20Forces%20of%20Destiny%20An%20Imperial%20Feast%20official","Open")</x:f>
        <x:v>HYPERLINK is not implemented. linkLocation=https://www.youtube.com/results?search_query=Star%20Wars%20Forces%20of%20Destiny%20An%20Imperial%20Feast%20official, friendlyName=Open</x:v>
      </x:c>
      <x:c r="K212" s="15" t="inlineStr">
        <x:is>
          <x:t xml:space="preserve">After Return of the Jedi</x:t>
        </x:is>
      </x:c>
    </x:row>
    <x:row r="213" s="23" customFormat="1" ht="15.75" customHeight="1">
      <x:c r="A213" s="28" t="b">
        <x:v>0</x:v>
      </x:c>
      <x:c r="B213" s="21" t="n">
        <x:v>207</x:v>
      </x:c>
      <x:c r="C213" s="14" t="inlineStr">
        <x:is>
          <x:t xml:space="preserve">New Republic</x:t>
        </x:is>
      </x:c>
      <x:c r="D213" s="15" t="inlineStr">
        <x:is>
          <x:t xml:space="preserve">Battlefront II campaign</x:t>
        </x:is>
      </x:c>
      <x:c r="E213" s="16" t="inlineStr">
        <x:is>
          <x:t xml:space="preserve"/>
        </x:is>
      </x:c>
      <x:c r="F213" s="17" t="inlineStr">
        <x:is>
          <x:t xml:space="preserve">November 17, 2017</x:t>
        </x:is>
      </x:c>
      <x:c r="G213" s="15" t="inlineStr">
        <x:is>
          <x:t xml:space="preserve">Canon</x:t>
        </x:is>
      </x:c>
      <x:c r="H213" s="15" t="inlineStr">
        <x:is>
          <x:t xml:space="preserve">Game movie</x:t>
        </x:is>
      </x:c>
      <x:c r="I213" s="15" t="inlineStr">
        <x:is>
          <x:t xml:space="preserve">YouTube</x:t>
        </x:is>
      </x:c>
      <x:c r="J213" s="18" t="e">
        <x:f>HYPERLINK("https://www.youtube.com/results?search_query=STAR+WARS+BATTLEFRONT+2+All+Cutscenes+Game+Movie+2017+Gamer%27s+Little+Playground","Open")</x:f>
        <x:v>HYPERLINK is not implemented. linkLocation=https://www.youtube.com/results?search_query=STAR+WARS+BATTLEFRONT+2+All+Cutscenes+Game+Movie+2017+Gamer%27s+Little+Playground, friendlyName=Open</x:v>
      </x:c>
      <x:c r="K213" s="15" t="inlineStr">
        <x:is>
          <x:t xml:space="preserve">Main post-Endor campaign</x:t>
        </x:is>
      </x:c>
    </x:row>
    <x:row r="214" s="23" customFormat="1" ht="15.75" customHeight="1">
      <x:c r="A214" s="28" t="b">
        <x:v>0</x:v>
      </x:c>
      <x:c r="B214" s="21" t="n">
        <x:v>208</x:v>
      </x:c>
      <x:c r="C214" s="14" t="inlineStr">
        <x:is>
          <x:t xml:space="preserve">New Republic</x:t>
        </x:is>
      </x:c>
      <x:c r="D214" s="15" t="inlineStr">
        <x:is>
          <x:t xml:space="preserve">Star Wars: Squadrons</x:t>
        </x:is>
      </x:c>
      <x:c r="E214" s="16" t="inlineStr">
        <x:is>
          <x:t xml:space="preserve"/>
        </x:is>
      </x:c>
      <x:c r="F214" s="17" t="inlineStr">
        <x:is>
          <x:t xml:space="preserve">October 2, 2020</x:t>
        </x:is>
      </x:c>
      <x:c r="G214" s="15" t="inlineStr">
        <x:is>
          <x:t xml:space="preserve">Canon</x:t>
        </x:is>
      </x:c>
      <x:c r="H214" s="15" t="inlineStr">
        <x:is>
          <x:t xml:space="preserve">Game movie</x:t>
        </x:is>
      </x:c>
      <x:c r="I214" s="15" t="inlineStr">
        <x:is>
          <x:t xml:space="preserve">YouTube</x:t>
        </x:is>
      </x:c>
      <x:c r="J214" s="18" t="e">
        <x:f>HYPERLINK("https://www.youtube.com/watch?v=k9W0XsRxLBU","Open")</x:f>
        <x:v>HYPERLINK is not implemented. linkLocation=https://www.youtube.com/watch?v=k9W0XsRxLBU, friendlyName=Open</x:v>
      </x:c>
      <x:c r="K214" s="15" t="inlineStr">
        <x:is>
          <x:t xml:space="preserve"/>
        </x:is>
      </x:c>
    </x:row>
    <x:row r="215" s="23" customFormat="1" ht="15.75" customHeight="1">
      <x:c r="A215" s="28" t="b">
        <x:v>0</x:v>
      </x:c>
      <x:c r="B215" s="21" t="n">
        <x:v>209</x:v>
      </x:c>
      <x:c r="C215" s="14" t="inlineStr">
        <x:is>
          <x:t xml:space="preserve">New Republic</x:t>
        </x:is>
      </x:c>
      <x:c r="D215" s="15" t="inlineStr">
        <x:is>
          <x:t xml:space="preserve">Star Wars: Uprising</x:t>
        </x:is>
      </x:c>
      <x:c r="E215" s="16" t="inlineStr">
        <x:is>
          <x:t xml:space="preserve"/>
        </x:is>
      </x:c>
      <x:c r="F215" s="17" t="inlineStr">
        <x:is>
          <x:t xml:space="preserve">September 10, 2015</x:t>
        </x:is>
      </x:c>
      <x:c r="G215" s="15" t="inlineStr">
        <x:is>
          <x:t xml:space="preserve">Canon</x:t>
        </x:is>
      </x:c>
      <x:c r="H215" s="15" t="inlineStr">
        <x:is>
          <x:t xml:space="preserve">Game recording</x:t>
        </x:is>
      </x:c>
      <x:c r="I215" s="15" t="inlineStr">
        <x:is>
          <x:t xml:space="preserve">YouTube</x:t>
        </x:is>
      </x:c>
      <x:c r="J215" s="18" t="e">
        <x:f>HYPERLINK("https://www.youtube.com/results?search_query=Star+Wars+Uprising+full+story+gameplay+movie","Open")</x:f>
        <x:v>HYPERLINK is not implemented. linkLocation=https://www.youtube.com/results?search_query=Star+Wars+Uprising+full+story+gameplay+movie, friendlyName=Open</x:v>
      </x:c>
      <x:c r="K215" s="15" t="inlineStr">
        <x:is>
          <x:t xml:space="preserve">Servers closed November 17, 2016</x:t>
        </x:is>
      </x:c>
    </x:row>
    <x:row r="216" s="23" customFormat="1" ht="15.75" customHeight="1">
      <x:c r="A216" s="28" t="b">
        <x:v>0</x:v>
      </x:c>
      <x:c r="B216" s="21" t="n">
        <x:v>210</x:v>
      </x:c>
      <x:c r="C216" s="14" t="inlineStr">
        <x:is>
          <x:t xml:space="preserve">New Republic</x:t>
        </x:is>
      </x:c>
      <x:c r="D216" s="15" t="inlineStr">
        <x:is>
          <x:t xml:space="preserve">The Mandalorian Season 1</x:t>
        </x:is>
      </x:c>
      <x:c r="E216" s="16" t="inlineStr">
        <x:is>
          <x:t xml:space="preserve"/>
        </x:is>
      </x:c>
      <x:c r="F216" s="15" t="inlineStr">
        <x:is>
          <x:t xml:space="preserve">November 12–December 27, 2019</x:t>
        </x:is>
      </x:c>
      <x:c r="G216" s="15" t="inlineStr">
        <x:is>
          <x:t xml:space="preserve">Canon</x:t>
        </x:is>
      </x:c>
      <x:c r="H216" s="15" t="inlineStr">
        <x:is>
          <x:t xml:space="preserve">Season</x:t>
        </x:is>
      </x:c>
      <x:c r="I216" s="15" t="inlineStr">
        <x:is>
          <x:t xml:space="preserve">Disney+</x:t>
        </x:is>
      </x:c>
      <x:c r="J216" s="19" t="inlineStr">
        <x:is>
          <x:t xml:space="preserve"/>
        </x:is>
      </x:c>
      <x:c r="K216" s="15" t="inlineStr">
        <x:is>
          <x:t xml:space="preserve"/>
        </x:is>
      </x:c>
    </x:row>
    <x:row r="217" s="23" customFormat="1" ht="15.75" customHeight="1">
      <x:c r="A217" s="28" t="b">
        <x:v>0</x:v>
      </x:c>
      <x:c r="B217" s="21" t="n">
        <x:v>211</x:v>
      </x:c>
      <x:c r="C217" s="14" t="inlineStr">
        <x:is>
          <x:t xml:space="preserve">New Republic</x:t>
        </x:is>
      </x:c>
      <x:c r="D217" s="15" t="inlineStr">
        <x:is>
          <x:t xml:space="preserve">The Mandalorian Season 2</x:t>
        </x:is>
      </x:c>
      <x:c r="E217" s="16" t="inlineStr">
        <x:is>
          <x:t xml:space="preserve"/>
        </x:is>
      </x:c>
      <x:c r="F217" s="15" t="inlineStr">
        <x:is>
          <x:t xml:space="preserve">October 30–December 18, 2020</x:t>
        </x:is>
      </x:c>
      <x:c r="G217" s="15" t="inlineStr">
        <x:is>
          <x:t xml:space="preserve">Canon</x:t>
        </x:is>
      </x:c>
      <x:c r="H217" s="15" t="inlineStr">
        <x:is>
          <x:t xml:space="preserve">Season</x:t>
        </x:is>
      </x:c>
      <x:c r="I217" s="15" t="inlineStr">
        <x:is>
          <x:t xml:space="preserve">Disney+</x:t>
        </x:is>
      </x:c>
      <x:c r="J217" s="19" t="inlineStr">
        <x:is>
          <x:t xml:space="preserve"/>
        </x:is>
      </x:c>
      <x:c r="K217" s="15" t="inlineStr">
        <x:is>
          <x:t xml:space="preserve"/>
        </x:is>
      </x:c>
    </x:row>
    <x:row r="218" s="23" customFormat="1" ht="15.75" customHeight="1">
      <x:c r="A218" s="28" t="b">
        <x:v>0</x:v>
      </x:c>
      <x:c r="B218" s="21" t="n">
        <x:v>212</x:v>
      </x:c>
      <x:c r="C218" s="14" t="inlineStr">
        <x:is>
          <x:t xml:space="preserve">New Republic</x:t>
        </x:is>
      </x:c>
      <x:c r="D218" s="15" t="inlineStr">
        <x:is>
          <x:t xml:space="preserve">The Book of Boba Fett</x:t>
        </x:is>
      </x:c>
      <x:c r="E218" s="16" t="inlineStr">
        <x:is>
          <x:t xml:space="preserve"/>
        </x:is>
      </x:c>
      <x:c r="F218" s="15" t="inlineStr">
        <x:is>
          <x:t xml:space="preserve">December 29, 2021–February 9, 2022</x:t>
        </x:is>
      </x:c>
      <x:c r="G218" s="15" t="inlineStr">
        <x:is>
          <x:t xml:space="preserve">Canon</x:t>
        </x:is>
      </x:c>
      <x:c r="H218" s="15" t="inlineStr">
        <x:is>
          <x:t xml:space="preserve">Series</x:t>
        </x:is>
      </x:c>
      <x:c r="I218" s="15" t="inlineStr">
        <x:is>
          <x:t xml:space="preserve">Disney+</x:t>
        </x:is>
      </x:c>
      <x:c r="J218" s="19" t="inlineStr">
        <x:is>
          <x:t xml:space="preserve"/>
        </x:is>
      </x:c>
      <x:c r="K218" s="15" t="inlineStr">
        <x:is>
          <x:t xml:space="preserve">Episodes 5–7 function as Mandalorian Season 2.5</x:t>
        </x:is>
      </x:c>
    </x:row>
    <x:row r="219" s="23" customFormat="1" ht="15.75" customHeight="1">
      <x:c r="A219" s="28" t="b">
        <x:v>0</x:v>
      </x:c>
      <x:c r="B219" s="21" t="n">
        <x:v>213</x:v>
      </x:c>
      <x:c r="C219" s="14" t="inlineStr">
        <x:is>
          <x:t xml:space="preserve">New Republic</x:t>
        </x:is>
      </x:c>
      <x:c r="D219" s="15" t="inlineStr">
        <x:is>
          <x:t xml:space="preserve">The Mandalorian Season 3</x:t>
        </x:is>
      </x:c>
      <x:c r="E219" s="16" t="inlineStr">
        <x:is>
          <x:t xml:space="preserve"/>
        </x:is>
      </x:c>
      <x:c r="F219" s="15" t="inlineStr">
        <x:is>
          <x:t xml:space="preserve">March 1–April 19, 2023</x:t>
        </x:is>
      </x:c>
      <x:c r="G219" s="15" t="inlineStr">
        <x:is>
          <x:t xml:space="preserve">Canon</x:t>
        </x:is>
      </x:c>
      <x:c r="H219" s="15" t="inlineStr">
        <x:is>
          <x:t xml:space="preserve">Season</x:t>
        </x:is>
      </x:c>
      <x:c r="I219" s="15" t="inlineStr">
        <x:is>
          <x:t xml:space="preserve">Disney+</x:t>
        </x:is>
      </x:c>
      <x:c r="J219" s="19" t="inlineStr">
        <x:is>
          <x:t xml:space="preserve"/>
        </x:is>
      </x:c>
      <x:c r="K219" s="15" t="inlineStr">
        <x:is>
          <x:t xml:space="preserve"/>
        </x:is>
      </x:c>
    </x:row>
    <x:row r="220" s="23" customFormat="1" ht="15.75" customHeight="1">
      <x:c r="A220" s="28" t="b">
        <x:v>0</x:v>
      </x:c>
      <x:c r="B220" s="21" t="n">
        <x:v>214</x:v>
      </x:c>
      <x:c r="C220" s="14" t="inlineStr">
        <x:is>
          <x:t xml:space="preserve">New Republic</x:t>
        </x:is>
      </x:c>
      <x:c r="D220" s="15" t="inlineStr">
        <x:is>
          <x:t xml:space="preserve">Ahsoka Season 1</x:t>
        </x:is>
      </x:c>
      <x:c r="E220" s="16" t="inlineStr">
        <x:is>
          <x:t xml:space="preserve"/>
        </x:is>
      </x:c>
      <x:c r="F220" s="15" t="inlineStr">
        <x:is>
          <x:t xml:space="preserve">August 22–October 3, 2023</x:t>
        </x:is>
      </x:c>
      <x:c r="G220" s="15" t="inlineStr">
        <x:is>
          <x:t xml:space="preserve">Canon</x:t>
        </x:is>
      </x:c>
      <x:c r="H220" s="15" t="inlineStr">
        <x:is>
          <x:t xml:space="preserve">Season</x:t>
        </x:is>
      </x:c>
      <x:c r="I220" s="15" t="inlineStr">
        <x:is>
          <x:t xml:space="preserve">Disney+</x:t>
        </x:is>
      </x:c>
      <x:c r="J220" s="19" t="inlineStr">
        <x:is>
          <x:t xml:space="preserve"/>
        </x:is>
      </x:c>
      <x:c r="K220" s="15" t="inlineStr">
        <x:is>
          <x:t xml:space="preserve"/>
        </x:is>
      </x:c>
    </x:row>
    <x:row r="221" s="23" customFormat="1" ht="15.75" customHeight="1">
      <x:c r="A221" s="28" t="b">
        <x:v>0</x:v>
      </x:c>
      <x:c r="B221" s="21" t="n">
        <x:v>215</x:v>
      </x:c>
      <x:c r="C221" s="14" t="inlineStr">
        <x:is>
          <x:t xml:space="preserve">New Republic</x:t>
        </x:is>
      </x:c>
      <x:c r="D221" s="15" t="inlineStr">
        <x:is>
          <x:t xml:space="preserve">Tales of the Empire: The Path of Hate</x:t>
        </x:is>
      </x:c>
      <x:c r="E221" s="16" t="inlineStr">
        <x:is>
          <x:t xml:space="preserve"/>
        </x:is>
      </x:c>
      <x:c r="F221" s="17" t="inlineStr">
        <x:is>
          <x:t xml:space="preserve">May 4, 2024</x:t>
        </x:is>
      </x:c>
      <x:c r="G221" s="15" t="inlineStr">
        <x:is>
          <x:t xml:space="preserve">Canon</x:t>
        </x:is>
      </x:c>
      <x:c r="H221" s="15" t="inlineStr">
        <x:is>
          <x:t xml:space="preserve">Episode</x:t>
        </x:is>
      </x:c>
      <x:c r="I221" s="15" t="inlineStr">
        <x:is>
          <x:t xml:space="preserve">Disney+</x:t>
        </x:is>
      </x:c>
      <x:c r="J221" s="19" t="inlineStr">
        <x:is>
          <x:t xml:space="preserve"/>
        </x:is>
      </x:c>
      <x:c r="K221" s="15" t="inlineStr">
        <x:is>
          <x:t xml:space="preserve"/>
        </x:is>
      </x:c>
    </x:row>
    <x:row r="222" s="23" customFormat="1" ht="15.75" customHeight="1">
      <x:c r="A222" s="28" t="b">
        <x:v>0</x:v>
      </x:c>
      <x:c r="B222" s="21" t="n">
        <x:v>216</x:v>
      </x:c>
      <x:c r="C222" s="14" t="inlineStr">
        <x:is>
          <x:t xml:space="preserve">New Republic</x:t>
        </x:is>
      </x:c>
      <x:c r="D222" s="15" t="inlineStr">
        <x:is>
          <x:t xml:space="preserve">Skeleton Crew</x:t>
        </x:is>
      </x:c>
      <x:c r="E222" s="16" t="inlineStr">
        <x:is>
          <x:t xml:space="preserve"/>
        </x:is>
      </x:c>
      <x:c r="F222" s="15" t="inlineStr">
        <x:is>
          <x:t xml:space="preserve">December 2, 2024–January 14, 2025</x:t>
        </x:is>
      </x:c>
      <x:c r="G222" s="15" t="inlineStr">
        <x:is>
          <x:t xml:space="preserve">Canon</x:t>
        </x:is>
      </x:c>
      <x:c r="H222" s="15" t="inlineStr">
        <x:is>
          <x:t xml:space="preserve">Series</x:t>
        </x:is>
      </x:c>
      <x:c r="I222" s="15" t="inlineStr">
        <x:is>
          <x:t xml:space="preserve">Disney+</x:t>
        </x:is>
      </x:c>
      <x:c r="J222" s="19" t="inlineStr">
        <x:is>
          <x:t xml:space="preserve"/>
        </x:is>
      </x:c>
      <x:c r="K222" s="15" t="inlineStr">
        <x:is>
          <x:t xml:space="preserve"/>
        </x:is>
      </x:c>
    </x:row>
    <x:row r="223" s="23" customFormat="1" ht="15.75" customHeight="1">
      <x:c r="A223" s="28" t="b">
        <x:v>0</x:v>
      </x:c>
      <x:c r="B223" s="21" t="n">
        <x:v>217</x:v>
      </x:c>
      <x:c r="C223" s="14" t="inlineStr">
        <x:is>
          <x:t xml:space="preserve">New Republic</x:t>
        </x:is>
      </x:c>
      <x:c r="D223" s="15" t="inlineStr">
        <x:is>
          <x:t xml:space="preserve">The Mandalorian and Grogu</x:t>
        </x:is>
      </x:c>
      <x:c r="E223" s="16" t="inlineStr">
        <x:is>
          <x:t xml:space="preserve"/>
        </x:is>
      </x:c>
      <x:c r="F223" s="15" t="inlineStr">
        <x:is>
          <x:t xml:space="preserve">Theaters May 22, 2026; Disney+ Sept. 2, 2026</x:t>
        </x:is>
      </x:c>
      <x:c r="G223" s="15" t="inlineStr">
        <x:is>
          <x:t xml:space="preserve">Canon</x:t>
        </x:is>
      </x:c>
      <x:c r="H223" s="15" t="inlineStr">
        <x:is>
          <x:t xml:space="preserve">Movie</x:t>
        </x:is>
      </x:c>
      <x:c r="I223" s="15" t="inlineStr">
        <x:is>
          <x:t xml:space="preserve">Disney+</x:t>
        </x:is>
      </x:c>
      <x:c r="J223" s="19" t="inlineStr">
        <x:is>
          <x:t xml:space="preserve"/>
        </x:is>
      </x:c>
      <x:c r="K223" s="15" t="inlineStr">
        <x:is>
          <x:t xml:space="preserve"/>
        </x:is>
      </x:c>
    </x:row>
    <x:row r="224" s="23" customFormat="1" ht="15.75" customHeight="1">
      <x:c r="A224" s="28" t="b">
        <x:v>0</x:v>
      </x:c>
      <x:c r="B224" s="21" t="n">
        <x:v>218</x:v>
      </x:c>
      <x:c r="C224" s="14" t="inlineStr">
        <x:is>
          <x:t xml:space="preserve">Sequel era</x:t>
        </x:is>
      </x:c>
      <x:c r="D224" s="15" t="inlineStr">
        <x:is>
          <x:t xml:space="preserve">Forces of Destiny: The Happabore Hazard</x:t>
        </x:is>
      </x:c>
      <x:c r="E224" s="16" t="inlineStr">
        <x:is>
          <x:t xml:space="preserve">Season 1, Episode 15</x:t>
        </x:is>
      </x:c>
      <x:c r="F224" s="17" t="inlineStr">
        <x:is>
          <x:t xml:space="preserve">October 31, 2017</x:t>
        </x:is>
      </x:c>
      <x:c r="G224" s="15" t="inlineStr">
        <x:is>
          <x:t xml:space="preserve">Canon</x:t>
        </x:is>
      </x:c>
      <x:c r="H224" s="15" t="inlineStr">
        <x:is>
          <x:t xml:space="preserve">Short</x:t>
        </x:is>
      </x:c>
      <x:c r="I224" s="15" t="inlineStr">
        <x:is>
          <x:t xml:space="preserve">Disney+ / official YouTube</x:t>
        </x:is>
      </x:c>
      <x:c r="J224" s="18" t="e">
        <x:f>HYPERLINK("https://www.youtube.com/results?search_query=Star%20Wars%20Forces%20of%20Destiny%20The%20Happabore%20Hazard%20official","Open")</x:f>
        <x:v>HYPERLINK is not implemented. linkLocation=https://www.youtube.com/results?search_query=Star%20Wars%20Forces%20of%20Destiny%20The%20Happabore%20Hazard%20official, friendlyName=Open</x:v>
      </x:c>
      <x:c r="K224" s="15" t="inlineStr">
        <x:is>
          <x:t xml:space="preserve">Before The Force Awakens</x:t>
        </x:is>
      </x:c>
    </x:row>
    <x:row r="225" s="23" customFormat="1" ht="15.75" customHeight="1">
      <x:c r="A225" s="28" t="b">
        <x:v>0</x:v>
      </x:c>
      <x:c r="B225" s="21" t="n">
        <x:v>219</x:v>
      </x:c>
      <x:c r="C225" s="14" t="inlineStr">
        <x:is>
          <x:t xml:space="preserve">Sequel era</x:t>
        </x:is>
      </x:c>
      <x:c r="D225" s="15" t="inlineStr">
        <x:is>
          <x:t xml:space="preserve">Forces of Destiny: Run Rey Run</x:t>
        </x:is>
      </x:c>
      <x:c r="E225" s="16" t="inlineStr">
        <x:is>
          <x:t xml:space="preserve">Season 2, Episode 5</x:t>
        </x:is>
      </x:c>
      <x:c r="F225" s="17" t="inlineStr">
        <x:is>
          <x:t xml:space="preserve">March 19, 2018</x:t>
        </x:is>
      </x:c>
      <x:c r="G225" s="15" t="inlineStr">
        <x:is>
          <x:t xml:space="preserve">Canon</x:t>
        </x:is>
      </x:c>
      <x:c r="H225" s="15" t="inlineStr">
        <x:is>
          <x:t xml:space="preserve">Short</x:t>
        </x:is>
      </x:c>
      <x:c r="I225" s="15" t="inlineStr">
        <x:is>
          <x:t xml:space="preserve">Disney+ / official YouTube</x:t>
        </x:is>
      </x:c>
      <x:c r="J225" s="18" t="e">
        <x:f>HYPERLINK("https://www.youtube.com/results?search_query=Star%20Wars%20Forces%20of%20Destiny%20Run%20Rey%20Run%20official","Open")</x:f>
        <x:v>HYPERLINK is not implemented. linkLocation=https://www.youtube.com/results?search_query=Star%20Wars%20Forces%20of%20Destiny%20Run%20Rey%20Run%20official, friendlyName=Open</x:v>
      </x:c>
      <x:c r="K225" s="15" t="inlineStr">
        <x:is>
          <x:t xml:space="preserve">Before The Force Awakens</x:t>
        </x:is>
      </x:c>
    </x:row>
    <x:row r="226" s="23" customFormat="1" ht="15.75" customHeight="1">
      <x:c r="A226" s="28" t="b">
        <x:v>0</x:v>
      </x:c>
      <x:c r="B226" s="21" t="n">
        <x:v>220</x:v>
      </x:c>
      <x:c r="C226" s="14" t="inlineStr">
        <x:is>
          <x:t xml:space="preserve">Sequel era</x:t>
        </x:is>
      </x:c>
      <x:c r="D226" s="15" t="inlineStr">
        <x:is>
          <x:t xml:space="preserve">Resistance Season 1, Episodes 1–19</x:t>
        </x:is>
      </x:c>
      <x:c r="E226" s="16" t="inlineStr">
        <x:is>
          <x:t xml:space="preserve"/>
        </x:is>
      </x:c>
      <x:c r="F226" s="15" t="inlineStr">
        <x:is>
          <x:t xml:space="preserve">October 7, 2018–March 10, 2019</x:t>
        </x:is>
      </x:c>
      <x:c r="G226" s="15" t="inlineStr">
        <x:is>
          <x:t xml:space="preserve">Canon</x:t>
        </x:is>
      </x:c>
      <x:c r="H226" s="15" t="inlineStr">
        <x:is>
          <x:t xml:space="preserve">Episodes</x:t>
        </x:is>
      </x:c>
      <x:c r="I226" s="15" t="inlineStr">
        <x:is>
          <x:t xml:space="preserve">Disney+</x:t>
        </x:is>
      </x:c>
      <x:c r="J226" s="19" t="inlineStr">
        <x:is>
          <x:t xml:space="preserve"/>
        </x:is>
      </x:c>
      <x:c r="K226" s="15" t="inlineStr">
        <x:is>
          <x:t xml:space="preserve"/>
        </x:is>
      </x:c>
    </x:row>
    <x:row r="227" s="23" customFormat="1" ht="15.75" customHeight="1">
      <x:c r="A227" s="28" t="b">
        <x:v>0</x:v>
      </x:c>
      <x:c r="B227" s="21" t="n">
        <x:v>221</x:v>
      </x:c>
      <x:c r="C227" s="14" t="inlineStr">
        <x:is>
          <x:t xml:space="preserve">Sequel era</x:t>
        </x:is>
      </x:c>
      <x:c r="D227" s="15" t="inlineStr">
        <x:is>
          <x:t xml:space="preserve">Episode VII: The Force Awakens</x:t>
        </x:is>
      </x:c>
      <x:c r="E227" s="16" t="inlineStr">
        <x:is>
          <x:t xml:space="preserve"/>
        </x:is>
      </x:c>
      <x:c r="F227" s="17" t="inlineStr">
        <x:is>
          <x:t xml:space="preserve">December 18, 2015</x:t>
        </x:is>
      </x:c>
      <x:c r="G227" s="15" t="inlineStr">
        <x:is>
          <x:t xml:space="preserve">Canon</x:t>
        </x:is>
      </x:c>
      <x:c r="H227" s="15" t="inlineStr">
        <x:is>
          <x:t xml:space="preserve">Movie</x:t>
        </x:is>
      </x:c>
      <x:c r="I227" s="15" t="inlineStr">
        <x:is>
          <x:t xml:space="preserve">Disney+</x:t>
        </x:is>
      </x:c>
      <x:c r="J227" s="19" t="inlineStr">
        <x:is>
          <x:t xml:space="preserve"/>
        </x:is>
      </x:c>
      <x:c r="K227" s="15" t="inlineStr">
        <x:is>
          <x:t xml:space="preserve"/>
        </x:is>
      </x:c>
    </x:row>
    <x:row r="228" s="23" customFormat="1" ht="15.75" customHeight="1">
      <x:c r="A228" s="28" t="b">
        <x:v>0</x:v>
      </x:c>
      <x:c r="B228" s="21" t="n">
        <x:v>222</x:v>
      </x:c>
      <x:c r="C228" s="14" t="inlineStr">
        <x:is>
          <x:t xml:space="preserve">Sequel era</x:t>
        </x:is>
      </x:c>
      <x:c r="D228" s="15" t="inlineStr">
        <x:is>
          <x:t xml:space="preserve">Forces of Destiny: Sands of Jakku</x:t>
        </x:is>
      </x:c>
      <x:c r="E228" s="16" t="inlineStr">
        <x:is>
          <x:t xml:space="preserve">Season 1, Episode 1</x:t>
        </x:is>
      </x:c>
      <x:c r="F228" s="17" t="inlineStr">
        <x:is>
          <x:t xml:space="preserve">July 3, 2017</x:t>
        </x:is>
      </x:c>
      <x:c r="G228" s="15" t="inlineStr">
        <x:is>
          <x:t xml:space="preserve">Canon</x:t>
        </x:is>
      </x:c>
      <x:c r="H228" s="15" t="inlineStr">
        <x:is>
          <x:t xml:space="preserve">Short</x:t>
        </x:is>
      </x:c>
      <x:c r="I228" s="15" t="inlineStr">
        <x:is>
          <x:t xml:space="preserve">Disney+ / official YouTube</x:t>
        </x:is>
      </x:c>
      <x:c r="J228" s="18" t="e">
        <x:f>HYPERLINK("https://www.youtube.com/results?search_query=Star%20Wars%20Forces%20of%20Destiny%20Sands%20of%20Jakku%20official","Open")</x:f>
        <x:v>HYPERLINK is not implemented. linkLocation=https://www.youtube.com/results?search_query=Star%20Wars%20Forces%20of%20Destiny%20Sands%20of%20Jakku%20official, friendlyName=Open</x:v>
      </x:c>
      <x:c r="K228" s="15" t="inlineStr">
        <x:is>
          <x:t xml:space="preserve">During The Force Awakens</x:t>
        </x:is>
      </x:c>
    </x:row>
    <x:row r="229" s="23" customFormat="1" ht="15.75" customHeight="1">
      <x:c r="A229" s="28" t="b">
        <x:v>0</x:v>
      </x:c>
      <x:c r="B229" s="21" t="n">
        <x:v>223</x:v>
      </x:c>
      <x:c r="C229" s="14" t="inlineStr">
        <x:is>
          <x:t xml:space="preserve">Sequel era</x:t>
        </x:is>
      </x:c>
      <x:c r="D229" s="15" t="inlineStr">
        <x:is>
          <x:t xml:space="preserve">Forces of Destiny: BB-8 Bandits</x:t>
        </x:is>
      </x:c>
      <x:c r="E229" s="16" t="inlineStr">
        <x:is>
          <x:t xml:space="preserve">Season 1, Episode 2</x:t>
        </x:is>
      </x:c>
      <x:c r="F229" s="17" t="inlineStr">
        <x:is>
          <x:t xml:space="preserve">July 4, 2017</x:t>
        </x:is>
      </x:c>
      <x:c r="G229" s="15" t="inlineStr">
        <x:is>
          <x:t xml:space="preserve">Canon</x:t>
        </x:is>
      </x:c>
      <x:c r="H229" s="15" t="inlineStr">
        <x:is>
          <x:t xml:space="preserve">Short</x:t>
        </x:is>
      </x:c>
      <x:c r="I229" s="15" t="inlineStr">
        <x:is>
          <x:t xml:space="preserve">Disney+ / official YouTube</x:t>
        </x:is>
      </x:c>
      <x:c r="J229" s="18" t="e">
        <x:f>HYPERLINK("https://www.youtube.com/results?search_query=Star%20Wars%20Forces%20of%20Destiny%20BB-8%20Bandits%20official","Open")</x:f>
        <x:v>HYPERLINK is not implemented. linkLocation=https://www.youtube.com/results?search_query=Star%20Wars%20Forces%20of%20Destiny%20BB-8%20Bandits%20official, friendlyName=Open</x:v>
      </x:c>
      <x:c r="K229" s="15" t="inlineStr">
        <x:is>
          <x:t xml:space="preserve">During The Force Awakens</x:t>
        </x:is>
      </x:c>
    </x:row>
    <x:row r="230" s="23" customFormat="1" ht="15.75" customHeight="1">
      <x:c r="A230" s="28" t="b">
        <x:v>0</x:v>
      </x:c>
      <x:c r="B230" s="21" t="n">
        <x:v>224</x:v>
      </x:c>
      <x:c r="C230" s="14" t="inlineStr">
        <x:is>
          <x:t xml:space="preserve">Sequel era</x:t>
        </x:is>
      </x:c>
      <x:c r="D230" s="15" t="inlineStr">
        <x:is>
          <x:t xml:space="preserve">Forces of Destiny: Tracker Trouble</x:t>
        </x:is>
      </x:c>
      <x:c r="E230" s="16" t="inlineStr">
        <x:is>
          <x:t xml:space="preserve">Season 1, Episode 9</x:t>
        </x:is>
      </x:c>
      <x:c r="F230" s="17" t="inlineStr">
        <x:is>
          <x:t xml:space="preserve">October 2, 2017</x:t>
        </x:is>
      </x:c>
      <x:c r="G230" s="15" t="inlineStr">
        <x:is>
          <x:t xml:space="preserve">Canon</x:t>
        </x:is>
      </x:c>
      <x:c r="H230" s="15" t="inlineStr">
        <x:is>
          <x:t xml:space="preserve">Short</x:t>
        </x:is>
      </x:c>
      <x:c r="I230" s="15" t="inlineStr">
        <x:is>
          <x:t xml:space="preserve">Disney+ / official YouTube</x:t>
        </x:is>
      </x:c>
      <x:c r="J230" s="18" t="e">
        <x:f>HYPERLINK("https://www.youtube.com/results?search_query=Star%20Wars%20Forces%20of%20Destiny%20Tracker%20Trouble%20official","Open")</x:f>
        <x:v>HYPERLINK is not implemented. linkLocation=https://www.youtube.com/results?search_query=Star%20Wars%20Forces%20of%20Destiny%20Tracker%20Trouble%20official, friendlyName=Open</x:v>
      </x:c>
      <x:c r="K230" s="15" t="inlineStr">
        <x:is>
          <x:t xml:space="preserve">During The Force Awakens</x:t>
        </x:is>
      </x:c>
    </x:row>
    <x:row r="231" s="23" customFormat="1" ht="15.75" customHeight="1">
      <x:c r="A231" s="28" t="b">
        <x:v>0</x:v>
      </x:c>
      <x:c r="B231" s="21" t="n">
        <x:v>225</x:v>
      </x:c>
      <x:c r="C231" s="14" t="inlineStr">
        <x:is>
          <x:t xml:space="preserve">Sequel era</x:t>
        </x:is>
      </x:c>
      <x:c r="D231" s="15" t="inlineStr">
        <x:is>
          <x:t xml:space="preserve">Forces of Destiny: Perilous Pursuit</x:t>
        </x:is>
      </x:c>
      <x:c r="E231" s="16" t="inlineStr">
        <x:is>
          <x:t xml:space="preserve">Season 2, Episode 14</x:t>
        </x:is>
      </x:c>
      <x:c r="F231" s="17" t="inlineStr">
        <x:is>
          <x:t xml:space="preserve">May 4, 2018</x:t>
        </x:is>
      </x:c>
      <x:c r="G231" s="15" t="inlineStr">
        <x:is>
          <x:t xml:space="preserve">Canon</x:t>
        </x:is>
      </x:c>
      <x:c r="H231" s="15" t="inlineStr">
        <x:is>
          <x:t xml:space="preserve">Short</x:t>
        </x:is>
      </x:c>
      <x:c r="I231" s="15" t="inlineStr">
        <x:is>
          <x:t xml:space="preserve">Disney+ / official YouTube</x:t>
        </x:is>
      </x:c>
      <x:c r="J231" s="18" t="e">
        <x:f>HYPERLINK("https://www.youtube.com/results?search_query=Star%20Wars%20Forces%20of%20Destiny%20Perilous%20Pursuit%20official","Open")</x:f>
        <x:v>HYPERLINK is not implemented. linkLocation=https://www.youtube.com/results?search_query=Star%20Wars%20Forces%20of%20Destiny%20Perilous%20Pursuit%20official, friendlyName=Open</x:v>
      </x:c>
      <x:c r="K231" s="15" t="inlineStr">
        <x:is>
          <x:t xml:space="preserve">During The Force Awakens</x:t>
        </x:is>
      </x:c>
    </x:row>
    <x:row r="232" s="23" customFormat="1" ht="15.75" customHeight="1">
      <x:c r="A232" s="28" t="b">
        <x:v>0</x:v>
      </x:c>
      <x:c r="B232" s="21" t="n">
        <x:v>226</x:v>
      </x:c>
      <x:c r="C232" s="14" t="inlineStr">
        <x:is>
          <x:t xml:space="preserve">Sequel era</x:t>
        </x:is>
      </x:c>
      <x:c r="D232" s="15" t="inlineStr">
        <x:is>
          <x:t xml:space="preserve">Resistance Season 1, Episodes 20–21</x:t>
        </x:is>
      </x:c>
      <x:c r="E232" s="16" t="inlineStr">
        <x:is>
          <x:t xml:space="preserve"/>
        </x:is>
      </x:c>
      <x:c r="F232" s="17" t="inlineStr">
        <x:is>
          <x:t xml:space="preserve">March 17, 2019</x:t>
        </x:is>
      </x:c>
      <x:c r="G232" s="15" t="inlineStr">
        <x:is>
          <x:t xml:space="preserve">Canon</x:t>
        </x:is>
      </x:c>
      <x:c r="H232" s="15" t="inlineStr">
        <x:is>
          <x:t xml:space="preserve">Episodes</x:t>
        </x:is>
      </x:c>
      <x:c r="I232" s="15" t="inlineStr">
        <x:is>
          <x:t xml:space="preserve">Disney+</x:t>
        </x:is>
      </x:c>
      <x:c r="J232" s="19" t="inlineStr">
        <x:is>
          <x:t xml:space="preserve"/>
        </x:is>
      </x:c>
      <x:c r="K232" s="15" t="inlineStr">
        <x:is>
          <x:t xml:space="preserve"/>
        </x:is>
      </x:c>
    </x:row>
    <x:row r="233" s="23" customFormat="1" ht="15.75" customHeight="1">
      <x:c r="A233" s="28" t="b">
        <x:v>0</x:v>
      </x:c>
      <x:c r="B233" s="21" t="n">
        <x:v>227</x:v>
      </x:c>
      <x:c r="C233" s="14" t="inlineStr">
        <x:is>
          <x:t xml:space="preserve">Sequel era</x:t>
        </x:is>
      </x:c>
      <x:c r="D233" s="15" t="inlineStr">
        <x:is>
          <x:t xml:space="preserve">Battlefront II: Resurrection</x:t>
        </x:is>
      </x:c>
      <x:c r="E233" s="16" t="inlineStr">
        <x:is>
          <x:t xml:space="preserve"/>
        </x:is>
      </x:c>
      <x:c r="F233" s="17" t="inlineStr">
        <x:is>
          <x:t xml:space="preserve">December 13, 2017</x:t>
        </x:is>
      </x:c>
      <x:c r="G233" s="15" t="inlineStr">
        <x:is>
          <x:t xml:space="preserve">Canon</x:t>
        </x:is>
      </x:c>
      <x:c r="H233" s="15" t="inlineStr">
        <x:is>
          <x:t xml:space="preserve">Game movie</x:t>
        </x:is>
      </x:c>
      <x:c r="I233" s="15" t="inlineStr">
        <x:is>
          <x:t xml:space="preserve">YouTube</x:t>
        </x:is>
      </x:c>
      <x:c r="J233" s="18" t="e">
        <x:f>HYPERLINK("https://www.youtube.com/watch?v=mhzAepud5k0","Open")</x:f>
        <x:v>HYPERLINK is not implemented. linkLocation=https://www.youtube.com/watch?v=mhzAepud5k0, friendlyName=Open</x:v>
      </x:c>
      <x:c r="K233" s="15" t="inlineStr">
        <x:is>
          <x:t xml:space="preserve">Overlaps The Force Awakens and leads toward The Last Jedi</x:t>
        </x:is>
      </x:c>
    </x:row>
    <x:row r="234" s="23" customFormat="1" ht="15.75" customHeight="1">
      <x:c r="A234" s="28" t="b">
        <x:v>0</x:v>
      </x:c>
      <x:c r="B234" s="21" t="n">
        <x:v>228</x:v>
      </x:c>
      <x:c r="C234" s="14" t="inlineStr">
        <x:is>
          <x:t xml:space="preserve">Sequel era</x:t>
        </x:is>
      </x:c>
      <x:c r="D234" s="15" t="inlineStr">
        <x:is>
          <x:t xml:space="preserve">Episode VIII: The Last Jedi</x:t>
        </x:is>
      </x:c>
      <x:c r="E234" s="16" t="inlineStr">
        <x:is>
          <x:t xml:space="preserve"/>
        </x:is>
      </x:c>
      <x:c r="F234" s="17" t="inlineStr">
        <x:is>
          <x:t xml:space="preserve">December 15, 2017</x:t>
        </x:is>
      </x:c>
      <x:c r="G234" s="15" t="inlineStr">
        <x:is>
          <x:t xml:space="preserve">Canon</x:t>
        </x:is>
      </x:c>
      <x:c r="H234" s="15" t="inlineStr">
        <x:is>
          <x:t xml:space="preserve">Movie</x:t>
        </x:is>
      </x:c>
      <x:c r="I234" s="15" t="inlineStr">
        <x:is>
          <x:t xml:space="preserve">Disney+</x:t>
        </x:is>
      </x:c>
      <x:c r="J234" s="19" t="inlineStr">
        <x:is>
          <x:t xml:space="preserve"/>
        </x:is>
      </x:c>
      <x:c r="K234" s="15" t="inlineStr">
        <x:is>
          <x:t xml:space="preserve"/>
        </x:is>
      </x:c>
    </x:row>
    <x:row r="235" s="23" customFormat="1" ht="15.75" customHeight="1">
      <x:c r="A235" s="28" t="b">
        <x:v>0</x:v>
      </x:c>
      <x:c r="B235" s="21" t="n">
        <x:v>229</x:v>
      </x:c>
      <x:c r="C235" s="14" t="inlineStr">
        <x:is>
          <x:t xml:space="preserve">Sequel era</x:t>
        </x:is>
      </x:c>
      <x:c r="D235" s="15" t="inlineStr">
        <x:is>
          <x:t xml:space="preserve">Forces of Destiny: Shuttle Shock</x:t>
        </x:is>
      </x:c>
      <x:c r="E235" s="16" t="inlineStr">
        <x:is>
          <x:t xml:space="preserve">Season 2, Episode 3</x:t>
        </x:is>
      </x:c>
      <x:c r="F235" s="17" t="inlineStr">
        <x:is>
          <x:t xml:space="preserve">March 19, 2018</x:t>
        </x:is>
      </x:c>
      <x:c r="G235" s="15" t="inlineStr">
        <x:is>
          <x:t xml:space="preserve">Canon</x:t>
        </x:is>
      </x:c>
      <x:c r="H235" s="15" t="inlineStr">
        <x:is>
          <x:t xml:space="preserve">Short</x:t>
        </x:is>
      </x:c>
      <x:c r="I235" s="15" t="inlineStr">
        <x:is>
          <x:t xml:space="preserve">Disney+ / official YouTube</x:t>
        </x:is>
      </x:c>
      <x:c r="J235" s="18" t="e">
        <x:f>HYPERLINK("https://www.youtube.com/results?search_query=Star%20Wars%20Forces%20of%20Destiny%20Shuttle%20Shock%20official","Open")</x:f>
        <x:v>HYPERLINK is not implemented. linkLocation=https://www.youtube.com/results?search_query=Star%20Wars%20Forces%20of%20Destiny%20Shuttle%20Shock%20official, friendlyName=Open</x:v>
      </x:c>
      <x:c r="K235" s="15" t="inlineStr">
        <x:is>
          <x:t xml:space="preserve">During The Last Jedi</x:t>
        </x:is>
      </x:c>
    </x:row>
    <x:row r="236" s="23" customFormat="1" ht="15.75" customHeight="1">
      <x:c r="A236" s="28" t="b">
        <x:v>0</x:v>
      </x:c>
      <x:c r="B236" s="21" t="n">
        <x:v>230</x:v>
      </x:c>
      <x:c r="C236" s="14" t="inlineStr">
        <x:is>
          <x:t xml:space="preserve">Sequel era</x:t>
        </x:is>
      </x:c>
      <x:c r="D236" s="15" t="inlineStr">
        <x:is>
          <x:t xml:space="preserve">Forces of Destiny: Porg Problems</x:t>
        </x:is>
      </x:c>
      <x:c r="E236" s="16" t="inlineStr">
        <x:is>
          <x:t xml:space="preserve">Season 2, Episode 8</x:t>
        </x:is>
      </x:c>
      <x:c r="F236" s="17" t="inlineStr">
        <x:is>
          <x:t xml:space="preserve">March 19, 2018</x:t>
        </x:is>
      </x:c>
      <x:c r="G236" s="15" t="inlineStr">
        <x:is>
          <x:t xml:space="preserve">Canon</x:t>
        </x:is>
      </x:c>
      <x:c r="H236" s="15" t="inlineStr">
        <x:is>
          <x:t xml:space="preserve">Short</x:t>
        </x:is>
      </x:c>
      <x:c r="I236" s="15" t="inlineStr">
        <x:is>
          <x:t xml:space="preserve">Disney+ / official YouTube</x:t>
        </x:is>
      </x:c>
      <x:c r="J236" s="18" t="e">
        <x:f>HYPERLINK("https://www.youtube.com/results?search_query=Star%20Wars%20Forces%20of%20Destiny%20Porg%20Problems%20official","Open")</x:f>
        <x:v>HYPERLINK is not implemented. linkLocation=https://www.youtube.com/results?search_query=Star%20Wars%20Forces%20of%20Destiny%20Porg%20Problems%20official, friendlyName=Open</x:v>
      </x:c>
      <x:c r="K236" s="15" t="inlineStr">
        <x:is>
          <x:t xml:space="preserve">During The Last Jedi</x:t>
        </x:is>
      </x:c>
    </x:row>
    <x:row r="237" s="23" customFormat="1" ht="15.75" customHeight="1">
      <x:c r="A237" s="28" t="b">
        <x:v>0</x:v>
      </x:c>
      <x:c r="B237" s="21" t="n">
        <x:v>231</x:v>
      </x:c>
      <x:c r="C237" s="14" t="inlineStr">
        <x:is>
          <x:t xml:space="preserve">Sequel era</x:t>
        </x:is>
      </x:c>
      <x:c r="D237" s="15" t="inlineStr">
        <x:is>
          <x:t xml:space="preserve">Forces of Destiny: Porgs!</x:t>
        </x:is>
      </x:c>
      <x:c r="E237" s="16" t="inlineStr">
        <x:is>
          <x:t xml:space="preserve">Season 2, Episode 13</x:t>
        </x:is>
      </x:c>
      <x:c r="F237" s="17" t="inlineStr">
        <x:is>
          <x:t xml:space="preserve">May 4, 2018</x:t>
        </x:is>
      </x:c>
      <x:c r="G237" s="15" t="inlineStr">
        <x:is>
          <x:t xml:space="preserve">Canon</x:t>
        </x:is>
      </x:c>
      <x:c r="H237" s="15" t="inlineStr">
        <x:is>
          <x:t xml:space="preserve">Short</x:t>
        </x:is>
      </x:c>
      <x:c r="I237" s="15" t="inlineStr">
        <x:is>
          <x:t xml:space="preserve">Disney+ / official YouTube</x:t>
        </x:is>
      </x:c>
      <x:c r="J237" s="18" t="e">
        <x:f>HYPERLINK("https://www.youtube.com/results?search_query=Star%20Wars%20Forces%20of%20Destiny%20Porgs!%20official","Open")</x:f>
        <x:v>HYPERLINK is not implemented. linkLocation=https://www.youtube.com/results?search_query=Star%20Wars%20Forces%20of%20Destiny%20Porgs!%20official, friendlyName=Open</x:v>
      </x:c>
      <x:c r="K237" s="15" t="inlineStr">
        <x:is>
          <x:t xml:space="preserve">During The Last Jedi</x:t>
        </x:is>
      </x:c>
    </x:row>
    <x:row r="238" s="23" customFormat="1" ht="15.75" customHeight="1">
      <x:c r="A238" s="28" t="b">
        <x:v>0</x:v>
      </x:c>
      <x:c r="B238" s="21" t="n">
        <x:v>232</x:v>
      </x:c>
      <x:c r="C238" s="14" t="inlineStr">
        <x:is>
          <x:t xml:space="preserve">Sequel era</x:t>
        </x:is>
      </x:c>
      <x:c r="D238" s="15" t="inlineStr">
        <x:is>
          <x:t xml:space="preserve">Resistance Season 2</x:t>
        </x:is>
      </x:c>
      <x:c r="E238" s="16" t="inlineStr">
        <x:is>
          <x:t xml:space="preserve"/>
        </x:is>
      </x:c>
      <x:c r="F238" s="15" t="inlineStr">
        <x:is>
          <x:t xml:space="preserve">October 6, 2019–January 26, 2020</x:t>
        </x:is>
      </x:c>
      <x:c r="G238" s="15" t="inlineStr">
        <x:is>
          <x:t xml:space="preserve">Canon</x:t>
        </x:is>
      </x:c>
      <x:c r="H238" s="15" t="inlineStr">
        <x:is>
          <x:t xml:space="preserve">Season</x:t>
        </x:is>
      </x:c>
      <x:c r="I238" s="15" t="inlineStr">
        <x:is>
          <x:t xml:space="preserve">Disney+</x:t>
        </x:is>
      </x:c>
      <x:c r="J238" s="19" t="inlineStr">
        <x:is>
          <x:t xml:space="preserve"/>
        </x:is>
      </x:c>
      <x:c r="K238" s="15" t="inlineStr">
        <x:is>
          <x:t xml:space="preserve"/>
        </x:is>
      </x:c>
    </x:row>
    <x:row r="239" s="23" customFormat="1" ht="15.75" customHeight="1">
      <x:c r="A239" s="28" t="b">
        <x:v>0</x:v>
      </x:c>
      <x:c r="B239" s="21" t="n">
        <x:v>233</x:v>
      </x:c>
      <x:c r="C239" s="14" t="inlineStr">
        <x:is>
          <x:t xml:space="preserve">Sequel era</x:t>
        </x:is>
      </x:c>
      <x:c r="D239" s="15" t="inlineStr">
        <x:is>
          <x:t xml:space="preserve">Tales from the Galaxy's Edge</x:t>
        </x:is>
      </x:c>
      <x:c r="E239" s="16" t="inlineStr">
        <x:is>
          <x:t xml:space="preserve"/>
        </x:is>
      </x:c>
      <x:c r="F239" s="17" t="inlineStr">
        <x:is>
          <x:t xml:space="preserve">November 19, 2020</x:t>
        </x:is>
      </x:c>
      <x:c r="G239" s="15" t="inlineStr">
        <x:is>
          <x:t xml:space="preserve">Canon</x:t>
        </x:is>
      </x:c>
      <x:c r="H239" s="15" t="inlineStr">
        <x:is>
          <x:t xml:space="preserve">VR game movie</x:t>
        </x:is>
      </x:c>
      <x:c r="I239" s="15" t="inlineStr">
        <x:is>
          <x:t xml:space="preserve">YouTube</x:t>
        </x:is>
      </x:c>
      <x:c r="J239" s="18" t="e">
        <x:f>HYPERLINK("https://www.youtube.com/results?search_query=Star+Wars+Tales+from+the+Galaxy%27s+Edge+full+game+movie+no+commentary","Open")</x:f>
        <x:v>HYPERLINK is not implemented. linkLocation=https://www.youtube.com/results?search_query=Star+Wars+Tales+from+the+Galaxy%27s+Edge+full+game+movie+no+commentary, friendlyName=Open</x:v>
      </x:c>
      <x:c r="K239" s="15" t="inlineStr">
        <x:is>
          <x:t xml:space="preserve">Last Call Sept. 15, 2021; Enhanced Edition Feb. 22, 2023</x:t>
        </x:is>
      </x:c>
    </x:row>
    <x:row r="240" s="23" customFormat="1" ht="15.75" customHeight="1">
      <x:c r="A240" s="28" t="b">
        <x:v>0</x:v>
      </x:c>
      <x:c r="B240" s="21" t="n">
        <x:v>234</x:v>
      </x:c>
      <x:c r="C240" s="14" t="inlineStr">
        <x:is>
          <x:t xml:space="preserve">Sequel era</x:t>
        </x:is>
      </x:c>
      <x:c r="D240" s="15" t="inlineStr">
        <x:is>
          <x:t xml:space="preserve">Episode IX: The Rise of Skywalker</x:t>
        </x:is>
      </x:c>
      <x:c r="E240" s="16" t="inlineStr">
        <x:is>
          <x:t xml:space="preserve"/>
        </x:is>
      </x:c>
      <x:c r="F240" s="17" t="inlineStr">
        <x:is>
          <x:t xml:space="preserve">December 20, 2019</x:t>
        </x:is>
      </x:c>
      <x:c r="G240" s="15" t="inlineStr">
        <x:is>
          <x:t xml:space="preserve">Canon</x:t>
        </x:is>
      </x:c>
      <x:c r="H240" s="15" t="inlineStr">
        <x:is>
          <x:t xml:space="preserve">Movie</x:t>
        </x:is>
      </x:c>
      <x:c r="I240" s="15" t="inlineStr">
        <x:is>
          <x:t xml:space="preserve">Disney+</x:t>
        </x:is>
      </x:c>
      <x:c r="J240" s="19" t="inlineStr">
        <x:is>
          <x:t xml:space="preserve"/>
        </x:is>
      </x:c>
      <x:c r="K240" s="15" t="inlineStr">
        <x:is>
          <x:t xml:space="preserve"/>
        </x:is>
      </x:c>
    </x:row>
    <x:row r="241" s="23" customFormat="1" ht="15.75" customHeight="1">
      <x:c r="A241" s="28" t="b">
        <x:v>0</x:v>
      </x:c>
      <x:c r="B241" s="21" t="inlineStr">
        <x:is>
          <x:t xml:space="preserve">B1</x:t>
        </x:is>
      </x:c>
      <x:c r="C241" s="14" t="inlineStr">
        <x:is>
          <x:t xml:space="preserve">Bonus: Legends</x:t>
        </x:is>
      </x:c>
      <x:c r="D241" s="15" t="inlineStr">
        <x:is>
          <x:t xml:space="preserve">Dark Empire audio drama</x:t>
        </x:is>
      </x:c>
      <x:c r="E241" s="16" t="inlineStr">
        <x:is>
          <x:t xml:space="preserve"/>
        </x:is>
      </x:c>
      <x:c r="F241" s="17" t="inlineStr">
        <x:is>
          <x:t xml:space="preserve">1994</x:t>
        </x:is>
      </x:c>
      <x:c r="G241" s="15" t="inlineStr">
        <x:is>
          <x:t xml:space="preserve">Legends</x:t>
        </x:is>
      </x:c>
      <x:c r="H241" s="15" t="inlineStr">
        <x:is>
          <x:t xml:space="preserve">Audio drama</x:t>
        </x:is>
      </x:c>
      <x:c r="I241" s="15" t="inlineStr">
        <x:is>
          <x:t xml:space="preserve">Library / used CD</x:t>
        </x:is>
      </x:c>
      <x:c r="J241" s="18" t="e">
        <x:f>HYPERLINK("https://digital.darkhorse.com/series/109/star-wars-dark-empire","Open")</x:f>
        <x:v>HYPERLINK is not implemented. linkLocation=https://digital.darkhorse.com/series/109/star-wars-dark-empire, friendlyName=Open</x:v>
      </x:c>
      <x:c r="K241" s="15" t="inlineStr">
        <x:is>
          <x:t xml:space="preserve">Out of print</x:t>
        </x:is>
      </x:c>
    </x:row>
    <x:row r="242" s="23" customFormat="1" ht="15.75" customHeight="1">
      <x:c r="A242" s="28" t="b">
        <x:v>0</x:v>
      </x:c>
      <x:c r="B242" s="21" t="inlineStr">
        <x:is>
          <x:t xml:space="preserve">B2</x:t>
        </x:is>
      </x:c>
      <x:c r="C242" s="14" t="inlineStr">
        <x:is>
          <x:t xml:space="preserve">Bonus: Visions</x:t>
        </x:is>
      </x:c>
      <x:c r="D242" s="15" t="inlineStr">
        <x:is>
          <x:t xml:space="preserve">Star Wars: Visions Volume 1</x:t>
        </x:is>
      </x:c>
      <x:c r="E242" s="16" t="inlineStr">
        <x:is>
          <x:t xml:space="preserve"/>
        </x:is>
      </x:c>
      <x:c r="F242" s="17" t="inlineStr">
        <x:is>
          <x:t xml:space="preserve">September 22, 2021</x:t>
        </x:is>
      </x:c>
      <x:c r="G242" s="15" t="inlineStr">
        <x:is>
          <x:t xml:space="preserve">Alternate universe</x:t>
        </x:is>
      </x:c>
      <x:c r="H242" s="15" t="inlineStr">
        <x:is>
          <x:t xml:space="preserve">Anthology</x:t>
        </x:is>
      </x:c>
      <x:c r="I242" s="15" t="inlineStr">
        <x:is>
          <x:t xml:space="preserve">Disney+</x:t>
        </x:is>
      </x:c>
      <x:c r="J242" s="19" t="inlineStr">
        <x:is>
          <x:t xml:space="preserve"/>
        </x:is>
      </x:c>
      <x:c r="K242" s="15" t="inlineStr">
        <x:is>
          <x:t xml:space="preserve"/>
        </x:is>
      </x:c>
    </x:row>
    <x:row r="243" s="23" customFormat="1" ht="15.75" customHeight="1">
      <x:c r="A243" s="28" t="b">
        <x:v>0</x:v>
      </x:c>
      <x:c r="B243" s="21" t="inlineStr">
        <x:is>
          <x:t xml:space="preserve">B3</x:t>
        </x:is>
      </x:c>
      <x:c r="C243" s="14" t="inlineStr">
        <x:is>
          <x:t xml:space="preserve">Bonus: The Ninth Jedi</x:t>
        </x:is>
      </x:c>
      <x:c r="D243" s="15" t="inlineStr">
        <x:is>
          <x:t xml:space="preserve">The Ninth Jedi</x:t>
        </x:is>
      </x:c>
      <x:c r="E243" s="16" t="inlineStr">
        <x:is>
          <x:t xml:space="preserve"/>
        </x:is>
      </x:c>
      <x:c r="F243" s="17" t="inlineStr">
        <x:is>
          <x:t xml:space="preserve">September 22, 2021</x:t>
        </x:is>
      </x:c>
      <x:c r="G243" s="15" t="inlineStr">
        <x:is>
          <x:t xml:space="preserve">Alternate universe</x:t>
        </x:is>
      </x:c>
      <x:c r="H243" s="15" t="inlineStr">
        <x:is>
          <x:t xml:space="preserve">Visions short</x:t>
        </x:is>
      </x:c>
      <x:c r="I243" s="15" t="inlineStr">
        <x:is>
          <x:t xml:space="preserve">Disney+</x:t>
        </x:is>
      </x:c>
      <x:c r="J243" s="19" t="inlineStr">
        <x:is>
          <x:t xml:space="preserve"/>
        </x:is>
      </x:c>
      <x:c r="K243" s="15" t="inlineStr">
        <x:is>
          <x:t xml:space="preserve">Watch first in the Ninth Jedi storyline</x:t>
        </x:is>
      </x:c>
    </x:row>
    <x:row r="244" s="23" customFormat="1" ht="15.75" customHeight="1">
      <x:c r="A244" s="28" t="b">
        <x:v>0</x:v>
      </x:c>
      <x:c r="B244" s="21" t="inlineStr">
        <x:is>
          <x:t xml:space="preserve">B4</x:t>
        </x:is>
      </x:c>
      <x:c r="C244" s="14" t="inlineStr">
        <x:is>
          <x:t xml:space="preserve">Bonus: Visions</x:t>
        </x:is>
      </x:c>
      <x:c r="D244" s="15" t="inlineStr">
        <x:is>
          <x:t xml:space="preserve">Star Wars: Visions Volume 2</x:t>
        </x:is>
      </x:c>
      <x:c r="E244" s="16" t="inlineStr">
        <x:is>
          <x:t xml:space="preserve"/>
        </x:is>
      </x:c>
      <x:c r="F244" s="17" t="inlineStr">
        <x:is>
          <x:t xml:space="preserve">May 4, 2023</x:t>
        </x:is>
      </x:c>
      <x:c r="G244" s="15" t="inlineStr">
        <x:is>
          <x:t xml:space="preserve">Alternate universe</x:t>
        </x:is>
      </x:c>
      <x:c r="H244" s="15" t="inlineStr">
        <x:is>
          <x:t xml:space="preserve">Anthology</x:t>
        </x:is>
      </x:c>
      <x:c r="I244" s="15" t="inlineStr">
        <x:is>
          <x:t xml:space="preserve">Disney+</x:t>
        </x:is>
      </x:c>
      <x:c r="J244" s="19" t="inlineStr">
        <x:is>
          <x:t xml:space="preserve"/>
        </x:is>
      </x:c>
      <x:c r="K244" s="15" t="inlineStr">
        <x:is>
          <x:t xml:space="preserve"/>
        </x:is>
      </x:c>
    </x:row>
    <x:row r="245" s="23" customFormat="1" ht="15.75" customHeight="1">
      <x:c r="A245" s="28" t="b">
        <x:v>0</x:v>
      </x:c>
      <x:c r="B245" s="21" t="inlineStr">
        <x:is>
          <x:t xml:space="preserve">B5</x:t>
        </x:is>
      </x:c>
      <x:c r="C245" s="14" t="inlineStr">
        <x:is>
          <x:t xml:space="preserve">Bonus: Visions</x:t>
        </x:is>
      </x:c>
      <x:c r="D245" s="15" t="inlineStr">
        <x:is>
          <x:t xml:space="preserve">Star Wars: Visions Volume 3</x:t>
        </x:is>
      </x:c>
      <x:c r="E245" s="16" t="inlineStr">
        <x:is>
          <x:t xml:space="preserve"/>
        </x:is>
      </x:c>
      <x:c r="F245" s="17" t="inlineStr">
        <x:is>
          <x:t xml:space="preserve">October 29, 2025</x:t>
        </x:is>
      </x:c>
      <x:c r="G245" s="15" t="inlineStr">
        <x:is>
          <x:t xml:space="preserve">Alternate universe</x:t>
        </x:is>
      </x:c>
      <x:c r="H245" s="15" t="inlineStr">
        <x:is>
          <x:t xml:space="preserve">Anthology</x:t>
        </x:is>
      </x:c>
      <x:c r="I245" s="15" t="inlineStr">
        <x:is>
          <x:t xml:space="preserve">Disney+</x:t>
        </x:is>
      </x:c>
      <x:c r="J245" s="19" t="inlineStr">
        <x:is>
          <x:t xml:space="preserve"/>
        </x:is>
      </x:c>
      <x:c r="K245" s="15" t="inlineStr">
        <x:is>
          <x:t xml:space="preserve"/>
        </x:is>
      </x:c>
    </x:row>
    <x:row r="246" s="23" customFormat="1" ht="15.75" customHeight="1">
      <x:c r="A246" s="28" t="b">
        <x:v>0</x:v>
      </x:c>
      <x:c r="B246" s="21" t="inlineStr">
        <x:is>
          <x:t xml:space="preserve">B6</x:t>
        </x:is>
      </x:c>
      <x:c r="C246" s="14" t="inlineStr">
        <x:is>
          <x:t xml:space="preserve">Bonus: The Ninth Jedi</x:t>
        </x:is>
      </x:c>
      <x:c r="D246" s="15" t="inlineStr">
        <x:is>
          <x:t xml:space="preserve">The Ninth Jedi: Child of Hope</x:t>
        </x:is>
      </x:c>
      <x:c r="E246" s="16" t="inlineStr">
        <x:is>
          <x:t xml:space="preserve"/>
        </x:is>
      </x:c>
      <x:c r="F246" s="17" t="inlineStr">
        <x:is>
          <x:t xml:space="preserve">October 29, 2025</x:t>
        </x:is>
      </x:c>
      <x:c r="G246" s="15" t="inlineStr">
        <x:is>
          <x:t xml:space="preserve">Alternate universe</x:t>
        </x:is>
      </x:c>
      <x:c r="H246" s="15" t="inlineStr">
        <x:is>
          <x:t xml:space="preserve">Visions short</x:t>
        </x:is>
      </x:c>
      <x:c r="I246" s="15" t="inlineStr">
        <x:is>
          <x:t xml:space="preserve">Disney+</x:t>
        </x:is>
      </x:c>
      <x:c r="J246" s="19" t="inlineStr">
        <x:is>
          <x:t xml:space="preserve"/>
        </x:is>
      </x:c>
      <x:c r="K246" s="15" t="inlineStr">
        <x:is>
          <x:t xml:space="preserve">Watch second in the Ninth Jedi storyline</x:t>
        </x:is>
      </x:c>
    </x:row>
    <x:row r="247" s="23" customFormat="1" ht="15.75" customHeight="1">
      <x:c r="A247" s="28" t="b">
        <x:v>0</x:v>
      </x:c>
      <x:c r="B247" s="21" t="inlineStr">
        <x:is>
          <x:t xml:space="preserve">B7</x:t>
        </x:is>
      </x:c>
      <x:c r="C247" s="14" t="inlineStr">
        <x:is>
          <x:t xml:space="preserve">Bonus: The Ninth Jedi</x:t>
        </x:is>
      </x:c>
      <x:c r="D247" s="15" t="inlineStr">
        <x:is>
          <x:t xml:space="preserve">Star Wars: Visions Presents – The Ninth Jedi</x:t>
        </x:is>
      </x:c>
      <x:c r="E247" s="16" t="inlineStr">
        <x:is>
          <x:t xml:space="preserve"/>
        </x:is>
      </x:c>
      <x:c r="F247" s="17" t="inlineStr">
        <x:is>
          <x:t xml:space="preserve">August 5, 2026</x:t>
        </x:is>
      </x:c>
      <x:c r="G247" s="15" t="inlineStr">
        <x:is>
          <x:t xml:space="preserve">Alternate universe</x:t>
        </x:is>
      </x:c>
      <x:c r="H247" s="15" t="inlineStr">
        <x:is>
          <x:t xml:space="preserve">8-episode series</x:t>
        </x:is>
      </x:c>
      <x:c r="I247" s="15" t="inlineStr">
        <x:is>
          <x:t xml:space="preserve">Disney+ / Hulu</x:t>
        </x:is>
      </x:c>
      <x:c r="J247" s="19" t="inlineStr">
        <x:is>
          <x:t xml:space="preserve"/>
        </x:is>
      </x:c>
      <x:c r="K247" s="15" t="inlineStr">
        <x:is>
          <x:t xml:space="preserve">Watch third in the Ninth Jedi storyline</x:t>
        </x:is>
      </x:c>
    </x:row>
    <x:row r="248" s="23" customFormat="1" ht="15.75" customHeight="1">
      <x:c r="A248" s="28" t="b">
        <x:v>0</x:v>
      </x:c>
      <x:c r="B248" s="21" t="inlineStr">
        <x:is>
          <x:t xml:space="preserve">B8</x:t>
        </x:is>
      </x:c>
      <x:c r="C248" s="14" t="inlineStr">
        <x:is>
          <x:t xml:space="preserve">Bonus: LEGO</x:t>
        </x:is>
      </x:c>
      <x:c r="D248" s="15" t="inlineStr">
        <x:is>
          <x:t xml:space="preserve">The Freemaker Adventures</x:t>
        </x:is>
      </x:c>
      <x:c r="E248" s="16" t="inlineStr">
        <x:is>
          <x:t xml:space="preserve"/>
        </x:is>
      </x:c>
      <x:c r="F248" s="15" t="inlineStr">
        <x:is>
          <x:t xml:space="preserve">June 20, 2016–August 16, 2017</x:t>
        </x:is>
      </x:c>
      <x:c r="G248" s="15" t="inlineStr">
        <x:is>
          <x:t xml:space="preserve">LEGO</x:t>
        </x:is>
      </x:c>
      <x:c r="H248" s="15" t="inlineStr">
        <x:is>
          <x:t xml:space="preserve">Series</x:t>
        </x:is>
      </x:c>
      <x:c r="I248" s="15" t="inlineStr">
        <x:is>
          <x:t xml:space="preserve">Disney+</x:t>
        </x:is>
      </x:c>
      <x:c r="J248" s="19" t="inlineStr">
        <x:is>
          <x:t xml:space="preserve"/>
        </x:is>
      </x:c>
      <x:c r="K248" s="15" t="inlineStr">
        <x:is>
          <x:t xml:space="preserve"/>
        </x:is>
      </x:c>
    </x:row>
    <x:row r="249" s="23" customFormat="1" ht="15.75" customHeight="1">
      <x:c r="A249" s="28" t="b">
        <x:v>0</x:v>
      </x:c>
      <x:c r="B249" s="21" t="inlineStr">
        <x:is>
          <x:t xml:space="preserve">B9</x:t>
        </x:is>
      </x:c>
      <x:c r="C249" s="14" t="inlineStr">
        <x:is>
          <x:t xml:space="preserve">Bonus: LEGO</x:t>
        </x:is>
      </x:c>
      <x:c r="D249" s="15" t="inlineStr">
        <x:is>
          <x:t xml:space="preserve">LEGO Star Wars: All-Stars</x:t>
        </x:is>
      </x:c>
      <x:c r="E249" s="16" t="inlineStr">
        <x:is>
          <x:t xml:space="preserve"/>
        </x:is>
      </x:c>
      <x:c r="F249" s="15" t="inlineStr">
        <x:is>
          <x:t xml:space="preserve">October 29–December 8, 2018</x:t>
        </x:is>
      </x:c>
      <x:c r="G249" s="15" t="inlineStr">
        <x:is>
          <x:t xml:space="preserve">LEGO</x:t>
        </x:is>
      </x:c>
      <x:c r="H249" s="15" t="inlineStr">
        <x:is>
          <x:t xml:space="preserve">Series / shorts</x:t>
        </x:is>
      </x:c>
      <x:c r="I249" s="15" t="inlineStr">
        <x:is>
          <x:t xml:space="preserve">Disney+</x:t>
        </x:is>
      </x:c>
      <x:c r="J249" s="19" t="inlineStr">
        <x:is>
          <x:t xml:space="preserve"/>
        </x:is>
      </x:c>
      <x:c r="K249" s="15" t="inlineStr">
        <x:is>
          <x:t xml:space="preserve"/>
        </x:is>
      </x:c>
    </x:row>
    <x:row r="250" s="23" customFormat="1" ht="15.75" customHeight="1">
      <x:c r="A250" s="28" t="b">
        <x:v>0</x:v>
      </x:c>
      <x:c r="B250" s="21" t="inlineStr">
        <x:is>
          <x:t xml:space="preserve">B10</x:t>
        </x:is>
      </x:c>
      <x:c r="C250" s="14" t="inlineStr">
        <x:is>
          <x:t xml:space="preserve">Bonus: LEGO</x:t>
        </x:is>
      </x:c>
      <x:c r="D250" s="15" t="inlineStr">
        <x:is>
          <x:t xml:space="preserve">LEGO Star Wars: Droid Tales</x:t>
        </x:is>
      </x:c>
      <x:c r="E250" s="16" t="inlineStr">
        <x:is>
          <x:t xml:space="preserve"/>
        </x:is>
      </x:c>
      <x:c r="F250" s="15" t="inlineStr">
        <x:is>
          <x:t xml:space="preserve">July 6–November 2, 2015</x:t>
        </x:is>
      </x:c>
      <x:c r="G250" s="15" t="inlineStr">
        <x:is>
          <x:t xml:space="preserve">LEGO</x:t>
        </x:is>
      </x:c>
      <x:c r="H250" s="15" t="inlineStr">
        <x:is>
          <x:t xml:space="preserve">Series</x:t>
        </x:is>
      </x:c>
      <x:c r="I250" s="15" t="inlineStr">
        <x:is>
          <x:t xml:space="preserve">Disney+</x:t>
        </x:is>
      </x:c>
      <x:c r="J250" s="19" t="inlineStr">
        <x:is>
          <x:t xml:space="preserve"/>
        </x:is>
      </x:c>
      <x:c r="K250" s="15" t="inlineStr">
        <x:is>
          <x:t xml:space="preserve"/>
        </x:is>
      </x:c>
    </x:row>
    <x:row r="251" s="23" customFormat="1" ht="15.75" customHeight="1">
      <x:c r="A251" s="28" t="b">
        <x:v>0</x:v>
      </x:c>
      <x:c r="B251" s="21" t="inlineStr">
        <x:is>
          <x:t xml:space="preserve">B11</x:t>
        </x:is>
      </x:c>
      <x:c r="C251" s="14" t="inlineStr">
        <x:is>
          <x:t xml:space="preserve">Bonus: LEGO</x:t>
        </x:is>
      </x:c>
      <x:c r="D251" s="15" t="inlineStr">
        <x:is>
          <x:t xml:space="preserve">The LEGO Star Wars Holiday Special</x:t>
        </x:is>
      </x:c>
      <x:c r="E251" s="16" t="inlineStr">
        <x:is>
          <x:t xml:space="preserve"/>
        </x:is>
      </x:c>
      <x:c r="F251" s="17" t="inlineStr">
        <x:is>
          <x:t xml:space="preserve">November 17, 2020</x:t>
        </x:is>
      </x:c>
      <x:c r="G251" s="15" t="inlineStr">
        <x:is>
          <x:t xml:space="preserve">LEGO</x:t>
        </x:is>
      </x:c>
      <x:c r="H251" s="15" t="inlineStr">
        <x:is>
          <x:t xml:space="preserve">Special</x:t>
        </x:is>
      </x:c>
      <x:c r="I251" s="15" t="inlineStr">
        <x:is>
          <x:t xml:space="preserve">Disney+</x:t>
        </x:is>
      </x:c>
      <x:c r="J251" s="19" t="inlineStr">
        <x:is>
          <x:t xml:space="preserve"/>
        </x:is>
      </x:c>
      <x:c r="K251" s="15" t="inlineStr">
        <x:is>
          <x:t xml:space="preserve"/>
        </x:is>
      </x:c>
    </x:row>
    <x:row r="252" s="23" customFormat="1" ht="15.75" customHeight="1">
      <x:c r="A252" s="28" t="b">
        <x:v>0</x:v>
      </x:c>
      <x:c r="B252" s="21" t="inlineStr">
        <x:is>
          <x:t xml:space="preserve">B12</x:t>
        </x:is>
      </x:c>
      <x:c r="C252" s="14" t="inlineStr">
        <x:is>
          <x:t xml:space="preserve">Bonus: LEGO</x:t>
        </x:is>
      </x:c>
      <x:c r="D252" s="15" t="inlineStr">
        <x:is>
          <x:t xml:space="preserve">LEGO Star Wars: Terrifying Tales</x:t>
        </x:is>
      </x:c>
      <x:c r="E252" s="16" t="inlineStr">
        <x:is>
          <x:t xml:space="preserve"/>
        </x:is>
      </x:c>
      <x:c r="F252" s="17" t="inlineStr">
        <x:is>
          <x:t xml:space="preserve">October 1, 2021</x:t>
        </x:is>
      </x:c>
      <x:c r="G252" s="15" t="inlineStr">
        <x:is>
          <x:t xml:space="preserve">LEGO</x:t>
        </x:is>
      </x:c>
      <x:c r="H252" s="15" t="inlineStr">
        <x:is>
          <x:t xml:space="preserve">Special</x:t>
        </x:is>
      </x:c>
      <x:c r="I252" s="15" t="inlineStr">
        <x:is>
          <x:t xml:space="preserve">Disney+</x:t>
        </x:is>
      </x:c>
      <x:c r="J252" s="19" t="inlineStr">
        <x:is>
          <x:t xml:space="preserve"/>
        </x:is>
      </x:c>
      <x:c r="K252" s="15" t="inlineStr">
        <x:is>
          <x:t xml:space="preserve"/>
        </x:is>
      </x:c>
    </x:row>
    <x:row r="253" s="23" customFormat="1" ht="15.75" customHeight="1">
      <x:c r="A253" s="28" t="b">
        <x:v>0</x:v>
      </x:c>
      <x:c r="B253" s="21" t="inlineStr">
        <x:is>
          <x:t xml:space="preserve">B13</x:t>
        </x:is>
      </x:c>
      <x:c r="C253" s="14" t="inlineStr">
        <x:is>
          <x:t xml:space="preserve">Bonus: LEGO</x:t>
        </x:is>
      </x:c>
      <x:c r="D253" s="15" t="inlineStr">
        <x:is>
          <x:t xml:space="preserve">LEGO Star Wars Summer Vacation</x:t>
        </x:is>
      </x:c>
      <x:c r="E253" s="16" t="inlineStr">
        <x:is>
          <x:t xml:space="preserve"/>
        </x:is>
      </x:c>
      <x:c r="F253" s="17" t="inlineStr">
        <x:is>
          <x:t xml:space="preserve">August 5, 2022</x:t>
        </x:is>
      </x:c>
      <x:c r="G253" s="15" t="inlineStr">
        <x:is>
          <x:t xml:space="preserve">LEGO</x:t>
        </x:is>
      </x:c>
      <x:c r="H253" s="15" t="inlineStr">
        <x:is>
          <x:t xml:space="preserve">Special</x:t>
        </x:is>
      </x:c>
      <x:c r="I253" s="15" t="inlineStr">
        <x:is>
          <x:t xml:space="preserve">Disney+</x:t>
        </x:is>
      </x:c>
      <x:c r="J253" s="19" t="inlineStr">
        <x:is>
          <x:t xml:space="preserve"/>
        </x:is>
      </x:c>
      <x:c r="K253" s="15" t="inlineStr">
        <x:is>
          <x:t xml:space="preserve"/>
        </x:is>
      </x:c>
    </x:row>
    <x:row r="254" s="23" customFormat="1" ht="15.75" customHeight="1">
      <x:c r="A254" s="28" t="b">
        <x:v>0</x:v>
      </x:c>
      <x:c r="B254" s="21" t="inlineStr">
        <x:is>
          <x:t xml:space="preserve">B14</x:t>
        </x:is>
      </x:c>
      <x:c r="C254" s="14" t="inlineStr">
        <x:is>
          <x:t xml:space="preserve">Bonus: LEGO</x:t>
        </x:is>
      </x:c>
      <x:c r="D254" s="15" t="inlineStr">
        <x:is>
          <x:t xml:space="preserve">LEGO Star Wars: Rebuild the Galaxy</x:t>
        </x:is>
      </x:c>
      <x:c r="E254" s="16" t="inlineStr">
        <x:is>
          <x:t xml:space="preserve"/>
        </x:is>
      </x:c>
      <x:c r="F254" s="17" t="inlineStr">
        <x:is>
          <x:t xml:space="preserve">September 13, 2024</x:t>
        </x:is>
      </x:c>
      <x:c r="G254" s="15" t="inlineStr">
        <x:is>
          <x:t xml:space="preserve">LEGO</x:t>
        </x:is>
      </x:c>
      <x:c r="H254" s="15" t="inlineStr">
        <x:is>
          <x:t xml:space="preserve">Special</x:t>
        </x:is>
      </x:c>
      <x:c r="I254" s="15" t="inlineStr">
        <x:is>
          <x:t xml:space="preserve">Disney+</x:t>
        </x:is>
      </x:c>
      <x:c r="J254" s="19" t="inlineStr">
        <x:is>
          <x:t xml:space="preserve"/>
        </x:is>
      </x:c>
      <x:c r="K254" s="15" t="inlineStr">
        <x:is>
          <x:t xml:space="preserve"/>
        </x:is>
      </x:c>
    </x:row>
    <x:row r="255" s="23" customFormat="1" ht="15.75" customHeight="1">
      <x:c r="A255" s="28" t="b">
        <x:v>0</x:v>
      </x:c>
      <x:c r="B255" s="21" t="inlineStr">
        <x:is>
          <x:t xml:space="preserve">B15</x:t>
        </x:is>
      </x:c>
      <x:c r="C255" s="14" t="inlineStr">
        <x:is>
          <x:t xml:space="preserve">Bonus: LEGO</x:t>
        </x:is>
      </x:c>
      <x:c r="D255" s="15" t="inlineStr">
        <x:is>
          <x:t xml:space="preserve">Rebuild the Galaxy: Pieces of the Past</x:t>
        </x:is>
      </x:c>
      <x:c r="E255" s="16" t="inlineStr">
        <x:is>
          <x:t xml:space="preserve"/>
        </x:is>
      </x:c>
      <x:c r="F255" s="17" t="inlineStr">
        <x:is>
          <x:t xml:space="preserve">September 19, 2025</x:t>
        </x:is>
      </x:c>
      <x:c r="G255" s="15" t="inlineStr">
        <x:is>
          <x:t xml:space="preserve">LEGO</x:t>
        </x:is>
      </x:c>
      <x:c r="H255" s="15" t="inlineStr">
        <x:is>
          <x:t xml:space="preserve">Special</x:t>
        </x:is>
      </x:c>
      <x:c r="I255" s="15" t="inlineStr">
        <x:is>
          <x:t xml:space="preserve">Disney+</x:t>
        </x:is>
      </x:c>
      <x:c r="J255" s="19" t="inlineStr">
        <x:is>
          <x:t xml:space="preserve"/>
        </x:is>
      </x:c>
      <x:c r="K255" s="15" t="inlineStr">
        <x:is>
          <x:t xml:space="preserve"/>
        </x:is>
      </x:c>
    </x:row>
    <x:row r="256" s="23" customFormat="1" ht="15.75" customHeight="1">
      <x:c r="A256" s="28" t="b">
        <x:v>0</x:v>
      </x:c>
      <x:c r="B256" s="21" t="inlineStr">
        <x:is>
          <x:t xml:space="preserve">B16</x:t>
        </x:is>
      </x:c>
      <x:c r="C256" s="14" t="inlineStr">
        <x:is>
          <x:t xml:space="preserve">Bonus: Retellings</x:t>
        </x:is>
      </x:c>
      <x:c r="D256" s="15" t="inlineStr">
        <x:is>
          <x:t xml:space="preserve">Galaxy of Adventures</x:t>
        </x:is>
      </x:c>
      <x:c r="E256" s="16" t="inlineStr">
        <x:is>
          <x:t xml:space="preserve"/>
        </x:is>
      </x:c>
      <x:c r="F256" s="15" t="inlineStr">
        <x:is>
          <x:t xml:space="preserve">November 30, 2018–October 2, 2020</x:t>
        </x:is>
      </x:c>
      <x:c r="G256" s="15" t="inlineStr">
        <x:is>
          <x:t xml:space="preserve">Retelling</x:t>
        </x:is>
      </x:c>
      <x:c r="H256" s="15" t="inlineStr">
        <x:is>
          <x:t xml:space="preserve">Shorts</x:t>
        </x:is>
      </x:c>
      <x:c r="I256" s="15" t="inlineStr">
        <x:is>
          <x:t xml:space="preserve">YouTube</x:t>
        </x:is>
      </x:c>
      <x:c r="J256" s="18" t="e">
        <x:f>HYPERLINK("https://www.youtube.com/results?search_query=Star+Wars+Galaxy+of+Adventures+official","Open")</x:f>
        <x:v>HYPERLINK is not implemented. linkLocation=https://www.youtube.com/results?search_query=Star+Wars+Galaxy+of+Adventures+official, friendlyName=Open</x:v>
      </x:c>
      <x:c r="K256" s="15" t="inlineStr">
        <x:is>
          <x:t xml:space="preserve">Animated retellings rather than new continuity</x:t>
        </x:is>
      </x:c>
    </x:row>
    <x:row r="257" s="23" customFormat="1" ht="15.75" customHeight="1">
      <x:c r="A257" s="28" t="b">
        <x:v>0</x:v>
      </x:c>
      <x:c r="B257" s="21" t="inlineStr">
        <x:is>
          <x:t xml:space="preserve">B17</x:t>
        </x:is>
      </x:c>
      <x:c r="C257" s="14" t="inlineStr">
        <x:is>
          <x:t xml:space="preserve">Bonus: Kids</x:t>
        </x:is>
      </x:c>
      <x:c r="D257" s="15" t="inlineStr">
        <x:is>
          <x:t xml:space="preserve">Galaxy of Creatures</x:t>
        </x:is>
      </x:c>
      <x:c r="E257" s="16" t="inlineStr">
        <x:is>
          <x:t xml:space="preserve"/>
        </x:is>
      </x:c>
      <x:c r="F257" s="15" t="inlineStr">
        <x:is>
          <x:t xml:space="preserve">Began October 14, 2021</x:t>
        </x:is>
      </x:c>
      <x:c r="G257" s="15" t="inlineStr">
        <x:is>
          <x:t xml:space="preserve">Kids</x:t>
        </x:is>
      </x:c>
      <x:c r="H257" s="15" t="inlineStr">
        <x:is>
          <x:t xml:space="preserve">Shorts</x:t>
        </x:is>
      </x:c>
      <x:c r="I257" s="15" t="inlineStr">
        <x:is>
          <x:t xml:space="preserve">YouTube</x:t>
        </x:is>
      </x:c>
      <x:c r="J257" s="18" t="e">
        <x:f>HYPERLINK("https://www.youtube.com/results?search_query=Star+Wars+Galaxy+of+Creatures+official","Open")</x:f>
        <x:v>HYPERLINK is not implemented. linkLocation=https://www.youtube.com/results?search_query=Star+Wars+Galaxy+of+Creatures+official, friendlyName=Open</x:v>
      </x:c>
      <x:c r="K257" s="15" t="inlineStr">
        <x:is>
          <x:t xml:space="preserve"/>
        </x:is>
      </x:c>
    </x:row>
    <x:row r="258" s="23" customFormat="1" ht="15.75" customHeight="1">
      <x:c r="A258" s="28" t="b">
        <x:v>0</x:v>
      </x:c>
      <x:c r="B258" s="21" t="inlineStr">
        <x:is>
          <x:t xml:space="preserve">B18</x:t>
        </x:is>
      </x:c>
      <x:c r="C258" s="14" t="inlineStr">
        <x:is>
          <x:t xml:space="preserve">Bonus: Kids</x:t>
        </x:is>
      </x:c>
      <x:c r="D258" s="15" t="inlineStr">
        <x:is>
          <x:t xml:space="preserve">Galactic Pals</x:t>
        </x:is>
      </x:c>
      <x:c r="E258" s="16" t="inlineStr">
        <x:is>
          <x:t xml:space="preserve"/>
        </x:is>
      </x:c>
      <x:c r="F258" s="15" t="inlineStr">
        <x:is>
          <x:t xml:space="preserve">Began April 12, 2022</x:t>
        </x:is>
      </x:c>
      <x:c r="G258" s="15" t="inlineStr">
        <x:is>
          <x:t xml:space="preserve">Kids</x:t>
        </x:is>
      </x:c>
      <x:c r="H258" s="15" t="inlineStr">
        <x:is>
          <x:t xml:space="preserve">Shorts</x:t>
        </x:is>
      </x:c>
      <x:c r="I258" s="15" t="inlineStr">
        <x:is>
          <x:t xml:space="preserve">YouTube</x:t>
        </x:is>
      </x:c>
      <x:c r="J258" s="18" t="e">
        <x:f>HYPERLINK("https://www.youtube.com/results?search_query=Star+Wars+Galactic+Pals+official","Open")</x:f>
        <x:v>HYPERLINK is not implemented. linkLocation=https://www.youtube.com/results?search_query=Star+Wars+Galactic+Pals+official, friendlyName=Open</x:v>
      </x:c>
      <x:c r="K258" s="15" t="inlineStr">
        <x:is>
          <x:t xml:space="preserve"/>
        </x:is>
      </x:c>
    </x:row>
    <x:row r="259" s="23" customFormat="1" ht="15.75" customHeight="1">
      <x:c r="A259" s="28" t="b">
        <x:v>0</x:v>
      </x:c>
      <x:c r="B259" s="21" t="inlineStr">
        <x:is>
          <x:t xml:space="preserve">B19</x:t>
        </x:is>
      </x:c>
      <x:c r="C259" s="14" t="inlineStr">
        <x:is>
          <x:t xml:space="preserve">Bonus: Fan film</x:t>
        </x:is>
      </x:c>
      <x:c r="D259" s="15" t="inlineStr">
        <x:is>
          <x:t xml:space="preserve">Dark Resurrection Volume 0</x:t>
        </x:is>
      </x:c>
      <x:c r="E259" s="16" t="inlineStr">
        <x:is>
          <x:t xml:space="preserve"/>
        </x:is>
      </x:c>
      <x:c r="F259" s="17" t="inlineStr">
        <x:is>
          <x:t xml:space="preserve">September 8, 2011</x:t>
        </x:is>
      </x:c>
      <x:c r="G259" s="15" t="inlineStr">
        <x:is>
          <x:t xml:space="preserve">Fan / non-canon</x:t>
        </x:is>
      </x:c>
      <x:c r="H259" s="15" t="inlineStr">
        <x:is>
          <x:t xml:space="preserve">Fan film</x:t>
        </x:is>
      </x:c>
      <x:c r="I259" s="15" t="inlineStr">
        <x:is>
          <x:t xml:space="preserve">YouTube</x:t>
        </x:is>
      </x:c>
      <x:c r="J259" s="18" t="e">
        <x:f>HYPERLINK("https://www.youtube.com/watch?v=lQzOQI1Rdn0","Open")</x:f>
        <x:v>HYPERLINK is not implemented. linkLocation=https://www.youtube.com/watch?v=lQzOQI1Rdn0, friendlyName=Open</x:v>
      </x:c>
      <x:c r="K259" s="15" t="inlineStr">
        <x:is>
          <x:t xml:space="preserve">Watch before Volume 1</x:t>
        </x:is>
      </x:c>
    </x:row>
    <x:row r="260" s="23" customFormat="1" ht="15.75" customHeight="1">
      <x:c r="A260" s="28" t="b">
        <x:v>0</x:v>
      </x:c>
      <x:c r="B260" s="21" t="inlineStr">
        <x:is>
          <x:t xml:space="preserve">B20</x:t>
        </x:is>
      </x:c>
      <x:c r="C260" s="14" t="inlineStr">
        <x:is>
          <x:t xml:space="preserve">Bonus: Fan film</x:t>
        </x:is>
      </x:c>
      <x:c r="D260" s="15" t="inlineStr">
        <x:is>
          <x:t xml:space="preserve">Dark Resurrection Volume 1</x:t>
        </x:is>
      </x:c>
      <x:c r="E260" s="16" t="inlineStr">
        <x:is>
          <x:t xml:space="preserve"/>
        </x:is>
      </x:c>
      <x:c r="F260" s="17" t="inlineStr">
        <x:is>
          <x:t xml:space="preserve">June 7, 2007</x:t>
        </x:is>
      </x:c>
      <x:c r="G260" s="15" t="inlineStr">
        <x:is>
          <x:t xml:space="preserve">Fan / non-canon</x:t>
        </x:is>
      </x:c>
      <x:c r="H260" s="15" t="inlineStr">
        <x:is>
          <x:t xml:space="preserve">Fan film</x:t>
        </x:is>
      </x:c>
      <x:c r="I260" s="15" t="inlineStr">
        <x:is>
          <x:t xml:space="preserve">YouTube</x:t>
        </x:is>
      </x:c>
      <x:c r="J260" s="18" t="e">
        <x:f>HYPERLINK("https://www.youtube.com/watch?v=3DZzpKMGmUs","Open")</x:f>
        <x:v>HYPERLINK is not implemented. linkLocation=https://www.youtube.com/watch?v=3DZzpKMGmUs, friendlyName=Open</x:v>
      </x:c>
      <x:c r="K260" s="15" t="inlineStr">
        <x:is>
          <x:t xml:space="preserve">Story sequel to Volume 0 despite earlier release</x:t>
        </x:is>
      </x:c>
    </x:row>
    <x:row r="261" s="23" customFormat="1" ht="15.75" customHeight="1">
      <x:c r="A261" s="28" t="b">
        <x:v>0</x:v>
      </x:c>
      <x:c r="B261" s="21" t="inlineStr">
        <x:is>
          <x:t xml:space="preserve">B21</x:t>
        </x:is>
      </x:c>
      <x:c r="C261" s="14" t="inlineStr">
        <x:is>
          <x:t xml:space="preserve">Bonus: Parody</x:t>
        </x:is>
      </x:c>
      <x:c r="D261" s="15" t="inlineStr">
        <x:is>
          <x:t xml:space="preserve">Robot Chicken: Star Wars</x:t>
        </x:is>
      </x:c>
      <x:c r="E261" s="16" t="inlineStr">
        <x:is>
          <x:t xml:space="preserve"/>
        </x:is>
      </x:c>
      <x:c r="F261" s="17" t="inlineStr">
        <x:is>
          <x:t xml:space="preserve">June 17, 2007</x:t>
        </x:is>
      </x:c>
      <x:c r="G261" s="15" t="inlineStr">
        <x:is>
          <x:t xml:space="preserve">Parody</x:t>
        </x:is>
      </x:c>
      <x:c r="H261" s="15" t="inlineStr">
        <x:is>
          <x:t xml:space="preserve">Special</x:t>
        </x:is>
      </x:c>
      <x:c r="I261" s="15" t="inlineStr">
        <x:is>
          <x:t xml:space="preserve">Hulu</x:t>
        </x:is>
      </x:c>
      <x:c r="J261" s="18" t="e">
        <x:f>HYPERLINK("https://www.hulu.com/series/robot-chicken-star-wars-f91fc72a-5abb-4b95-9d78-dcc0d5fc764a","Open")</x:f>
        <x:v>HYPERLINK is not implemented. linkLocation=https://www.hulu.com/series/robot-chicken-star-wars-f91fc72a-5abb-4b95-9d78-dcc0d5fc764a, friendlyName=Open</x:v>
      </x:c>
      <x:c r="K261" s="15" t="inlineStr">
        <x:is>
          <x:t xml:space="preserve"/>
        </x:is>
      </x:c>
    </x:row>
    <x:row r="262" s="23" customFormat="1" ht="15.75" customHeight="1">
      <x:c r="A262" s="28" t="b">
        <x:v>0</x:v>
      </x:c>
      <x:c r="B262" s="21" t="inlineStr">
        <x:is>
          <x:t xml:space="preserve">B22</x:t>
        </x:is>
      </x:c>
      <x:c r="C262" s="14" t="inlineStr">
        <x:is>
          <x:t xml:space="preserve">Bonus: Parody</x:t>
        </x:is>
      </x:c>
      <x:c r="D262" s="15" t="inlineStr">
        <x:is>
          <x:t xml:space="preserve">Robot Chicken: Star Wars Episode II</x:t>
        </x:is>
      </x:c>
      <x:c r="E262" s="16" t="inlineStr">
        <x:is>
          <x:t xml:space="preserve"/>
        </x:is>
      </x:c>
      <x:c r="F262" s="17" t="inlineStr">
        <x:is>
          <x:t xml:space="preserve">November 16, 2008</x:t>
        </x:is>
      </x:c>
      <x:c r="G262" s="15" t="inlineStr">
        <x:is>
          <x:t xml:space="preserve">Parody</x:t>
        </x:is>
      </x:c>
      <x:c r="H262" s="15" t="inlineStr">
        <x:is>
          <x:t xml:space="preserve">Special</x:t>
        </x:is>
      </x:c>
      <x:c r="I262" s="15" t="inlineStr">
        <x:is>
          <x:t xml:space="preserve">Hulu</x:t>
        </x:is>
      </x:c>
      <x:c r="J262" s="18" t="e">
        <x:f>HYPERLINK("https://www.hulu.com/series/robot-chicken-star-wars-f91fc72a-5abb-4b95-9d78-dcc0d5fc764a","Open")</x:f>
        <x:v>HYPERLINK is not implemented. linkLocation=https://www.hulu.com/series/robot-chicken-star-wars-f91fc72a-5abb-4b95-9d78-dcc0d5fc764a, friendlyName=Open</x:v>
      </x:c>
      <x:c r="K262" s="15" t="inlineStr">
        <x:is>
          <x:t xml:space="preserve"/>
        </x:is>
      </x:c>
    </x:row>
    <x:row r="263" s="23" customFormat="1" ht="15.75" customHeight="1">
      <x:c r="A263" s="28" t="b">
        <x:v>0</x:v>
      </x:c>
      <x:c r="B263" s="21" t="inlineStr">
        <x:is>
          <x:t xml:space="preserve">B23</x:t>
        </x:is>
      </x:c>
      <x:c r="C263" s="14" t="inlineStr">
        <x:is>
          <x:t xml:space="preserve">Bonus: Parody</x:t>
        </x:is>
      </x:c>
      <x:c r="D263" s="15" t="inlineStr">
        <x:is>
          <x:t xml:space="preserve">Robot Chicken: Star Wars Episode III</x:t>
        </x:is>
      </x:c>
      <x:c r="E263" s="16" t="inlineStr">
        <x:is>
          <x:t xml:space="preserve"/>
        </x:is>
      </x:c>
      <x:c r="F263" s="17" t="inlineStr">
        <x:is>
          <x:t xml:space="preserve">December 19, 2010</x:t>
        </x:is>
      </x:c>
      <x:c r="G263" s="15" t="inlineStr">
        <x:is>
          <x:t xml:space="preserve">Parody</x:t>
        </x:is>
      </x:c>
      <x:c r="H263" s="15" t="inlineStr">
        <x:is>
          <x:t xml:space="preserve">Special</x:t>
        </x:is>
      </x:c>
      <x:c r="I263" s="15" t="inlineStr">
        <x:is>
          <x:t xml:space="preserve">Hulu</x:t>
        </x:is>
      </x:c>
      <x:c r="J263" s="18" t="e">
        <x:f>HYPERLINK("https://www.hulu.com/series/robot-chicken-star-wars-f91fc72a-5abb-4b95-9d78-dcc0d5fc764a","Open")</x:f>
        <x:v>HYPERLINK is not implemented. linkLocation=https://www.hulu.com/series/robot-chicken-star-wars-f91fc72a-5abb-4b95-9d78-dcc0d5fc764a, friendlyName=Open</x:v>
      </x:c>
      <x:c r="K263" s="15" t="inlineStr">
        <x:is>
          <x:t xml:space="preserve"/>
        </x:is>
      </x:c>
    </x:row>
    <x:row r="264" s="23" customFormat="1" ht="15.75" customHeight="1">
      <x:c r="A264" s="28" t="b">
        <x:v>0</x:v>
      </x:c>
      <x:c r="B264" s="21" t="inlineStr">
        <x:is>
          <x:t xml:space="preserve">B24</x:t>
        </x:is>
      </x:c>
      <x:c r="C264" s="14" t="inlineStr">
        <x:is>
          <x:t xml:space="preserve">Bonus: Parody</x:t>
        </x:is>
      </x:c>
      <x:c r="D264" s="15" t="inlineStr">
        <x:is>
          <x:t xml:space="preserve">Family Guy: Blue Harvest</x:t>
        </x:is>
      </x:c>
      <x:c r="E264" s="16" t="inlineStr">
        <x:is>
          <x:t xml:space="preserve"/>
        </x:is>
      </x:c>
      <x:c r="F264" s="17" t="inlineStr">
        <x:is>
          <x:t xml:space="preserve">September 23, 2007</x:t>
        </x:is>
      </x:c>
      <x:c r="G264" s="15" t="inlineStr">
        <x:is>
          <x:t xml:space="preserve">Parody</x:t>
        </x:is>
      </x:c>
      <x:c r="H264" s="15" t="inlineStr">
        <x:is>
          <x:t xml:space="preserve">Episode</x:t>
        </x:is>
      </x:c>
      <x:c r="I264" s="15" t="inlineStr">
        <x:is>
          <x:t xml:space="preserve">Hulu</x:t>
        </x:is>
      </x:c>
      <x:c r="J264" s="18" t="e">
        <x:f>HYPERLINK("https://www.hulu.com/guides/family-guy-star-wars-episodes","Open")</x:f>
        <x:v>HYPERLINK is not implemented. linkLocation=https://www.hulu.com/guides/family-guy-star-wars-episodes, friendlyName=Open</x:v>
      </x:c>
      <x:c r="K264" s="15" t="inlineStr">
        <x:is>
          <x:t xml:space="preserve"/>
        </x:is>
      </x:c>
    </x:row>
    <x:row r="265" s="23" customFormat="1" ht="15.75" customHeight="1">
      <x:c r="A265" s="28" t="b">
        <x:v>0</x:v>
      </x:c>
      <x:c r="B265" s="21" t="inlineStr">
        <x:is>
          <x:t xml:space="preserve">B25</x:t>
        </x:is>
      </x:c>
      <x:c r="C265" s="14" t="inlineStr">
        <x:is>
          <x:t xml:space="preserve">Bonus: Parody</x:t>
        </x:is>
      </x:c>
      <x:c r="D265" s="15" t="inlineStr">
        <x:is>
          <x:t xml:space="preserve">Something, Something, Something, Dark Side</x:t>
        </x:is>
      </x:c>
      <x:c r="E265" s="16" t="inlineStr">
        <x:is>
          <x:t xml:space="preserve"/>
        </x:is>
      </x:c>
      <x:c r="F265" s="17" t="inlineStr">
        <x:is>
          <x:t xml:space="preserve">December 22, 2009</x:t>
        </x:is>
      </x:c>
      <x:c r="G265" s="15" t="inlineStr">
        <x:is>
          <x:t xml:space="preserve">Parody</x:t>
        </x:is>
      </x:c>
      <x:c r="H265" s="15" t="inlineStr">
        <x:is>
          <x:t xml:space="preserve">Special</x:t>
        </x:is>
      </x:c>
      <x:c r="I265" s="15" t="inlineStr">
        <x:is>
          <x:t xml:space="preserve">Hulu</x:t>
        </x:is>
      </x:c>
      <x:c r="J265" s="18" t="e">
        <x:f>HYPERLINK("https://www.hulu.com/guides/family-guy-star-wars-episodes","Open")</x:f>
        <x:v>HYPERLINK is not implemented. linkLocation=https://www.hulu.com/guides/family-guy-star-wars-episodes, friendlyName=Open</x:v>
      </x:c>
      <x:c r="K265" s="15" t="inlineStr">
        <x:is>
          <x:t xml:space="preserve"/>
        </x:is>
      </x:c>
    </x:row>
    <x:row r="266" s="23" customFormat="1" ht="15.75" customHeight="1">
      <x:c r="A266" s="28" t="b">
        <x:v>0</x:v>
      </x:c>
      <x:c r="B266" s="21" t="inlineStr">
        <x:is>
          <x:t xml:space="preserve">B26</x:t>
        </x:is>
      </x:c>
      <x:c r="C266" s="14" t="inlineStr">
        <x:is>
          <x:t xml:space="preserve">Bonus: Parody</x:t>
        </x:is>
      </x:c>
      <x:c r="D266" s="15" t="inlineStr">
        <x:is>
          <x:t xml:space="preserve">It's a Trap!</x:t>
        </x:is>
      </x:c>
      <x:c r="E266" s="16" t="inlineStr">
        <x:is>
          <x:t xml:space="preserve"/>
        </x:is>
      </x:c>
      <x:c r="F266" s="17" t="inlineStr">
        <x:is>
          <x:t xml:space="preserve">December 21, 2010</x:t>
        </x:is>
      </x:c>
      <x:c r="G266" s="15" t="inlineStr">
        <x:is>
          <x:t xml:space="preserve">Parody</x:t>
        </x:is>
      </x:c>
      <x:c r="H266" s="15" t="inlineStr">
        <x:is>
          <x:t xml:space="preserve">Special</x:t>
        </x:is>
      </x:c>
      <x:c r="I266" s="15" t="inlineStr">
        <x:is>
          <x:t xml:space="preserve">Hulu</x:t>
        </x:is>
      </x:c>
      <x:c r="J266" s="18" t="e">
        <x:f>HYPERLINK("https://www.hulu.com/guides/family-guy-star-wars-episodes","Open")</x:f>
        <x:v>HYPERLINK is not implemented. linkLocation=https://www.hulu.com/guides/family-guy-star-wars-episodes, friendlyName=Open</x:v>
      </x:c>
      <x:c r="K266" s="15" t="inlineStr">
        <x:is>
          <x:t xml:space="preserve"/>
        </x:is>
      </x:c>
    </x:row>
    <x:row r="267" s="23" customFormat="1" ht="15.75" customHeight="1">
      <x:c r="A267" s="28" t="b">
        <x:v>0</x:v>
      </x:c>
      <x:c r="B267" s="21" t="inlineStr">
        <x:is>
          <x:t xml:space="preserve">B27</x:t>
        </x:is>
      </x:c>
      <x:c r="C267" s="14" t="inlineStr">
        <x:is>
          <x:t xml:space="preserve">Bonus: Duel of the Fates</x:t>
        </x:is>
      </x:c>
      <x:c r="D267" s="15" t="inlineStr">
        <x:is>
          <x:t xml:space="preserve">Colin Trevorrow's abandoned Episode IX screenplay</x:t>
        </x:is>
      </x:c>
      <x:c r="E267" s="16" t="inlineStr">
        <x:is>
          <x:t xml:space="preserve"/>
        </x:is>
      </x:c>
      <x:c r="F267" s="15" t="inlineStr">
        <x:is>
          <x:t xml:space="preserve">Draft December 2016; leaked 2020</x:t>
        </x:is>
      </x:c>
      <x:c r="G267" s="15" t="inlineStr">
        <x:is>
          <x:t xml:space="preserve">Unused concept</x:t>
        </x:is>
      </x:c>
      <x:c r="H267" s="15" t="inlineStr">
        <x:is>
          <x:t xml:space="preserve">Screenplay</x:t>
        </x:is>
      </x:c>
      <x:c r="I267" s="15" t="inlineStr">
        <x:is>
          <x:t xml:space="preserve">Online</x:t>
        </x:is>
      </x:c>
      <x:c r="J267" s="19" t="inlineStr">
        <x:is>
          <x:t xml:space="preserve"/>
        </x:is>
      </x:c>
      <x:c r="K267" s="15" t="inlineStr">
        <x:is>
          <x:t xml:space="preserve">Background before watching recreations</x:t>
        </x:is>
      </x:c>
    </x:row>
    <x:row r="268" s="23" customFormat="1" ht="15.75" customHeight="1">
      <x:c r="A268" s="28" t="b">
        <x:v>0</x:v>
      </x:c>
      <x:c r="B268" s="21" t="inlineStr">
        <x:is>
          <x:t xml:space="preserve">B28</x:t>
        </x:is>
      </x:c>
      <x:c r="C268" s="14" t="inlineStr">
        <x:is>
          <x:t xml:space="preserve">Bonus: Duel of the Fates</x:t>
        </x:is>
      </x:c>
      <x:c r="D268" s="15" t="inlineStr">
        <x:is>
          <x:t xml:space="preserve">Mr Sunday Movies animated summary</x:t>
        </x:is>
      </x:c>
      <x:c r="E268" s="16" t="inlineStr">
        <x:is>
          <x:t xml:space="preserve"/>
        </x:is>
      </x:c>
      <x:c r="F268" s="17" t="inlineStr">
        <x:is>
          <x:t xml:space="preserve">2020</x:t>
        </x:is>
      </x:c>
      <x:c r="G268" s="15" t="inlineStr">
        <x:is>
          <x:t xml:space="preserve">Fan / non-canon</x:t>
        </x:is>
      </x:c>
      <x:c r="H268" s="15" t="inlineStr">
        <x:is>
          <x:t xml:space="preserve">Animated summary</x:t>
        </x:is>
      </x:c>
      <x:c r="I268" s="15" t="inlineStr">
        <x:is>
          <x:t xml:space="preserve">YouTube</x:t>
        </x:is>
      </x:c>
      <x:c r="J268" s="18" t="e">
        <x:f>HYPERLINK("https://www.youtube.com/watch?v=9WEU1b2t1zM","Open")</x:f>
        <x:v>HYPERLINK is not implemented. linkLocation=https://www.youtube.com/watch?v=9WEU1b2t1zM, friendlyName=Open</x:v>
      </x:c>
      <x:c r="K268" s="15" t="inlineStr">
        <x:is>
          <x:t xml:space="preserve"/>
        </x:is>
      </x:c>
    </x:row>
    <x:row r="269" s="23" customFormat="1" ht="15.75" customHeight="1">
      <x:c r="A269" s="28" t="b">
        <x:v>0</x:v>
      </x:c>
      <x:c r="B269" s="21" t="inlineStr">
        <x:is>
          <x:t xml:space="preserve">B29</x:t>
        </x:is>
      </x:c>
      <x:c r="C269" s="14" t="inlineStr">
        <x:is>
          <x:t xml:space="preserve">Bonus: Duel of the Fates</x:t>
        </x:is>
      </x:c>
      <x:c r="D269" s="15" t="inlineStr">
        <x:is>
          <x:t xml:space="preserve">Full fan motion-comic adaptation</x:t>
        </x:is>
      </x:c>
      <x:c r="E269" s="16" t="inlineStr">
        <x:is>
          <x:t xml:space="preserve"/>
        </x:is>
      </x:c>
      <x:c r="F269" s="17" t="inlineStr">
        <x:is>
          <x:t xml:space="preserve">December 31, 2022</x:t>
        </x:is>
      </x:c>
      <x:c r="G269" s="15" t="inlineStr">
        <x:is>
          <x:t xml:space="preserve">Fan / non-canon</x:t>
        </x:is>
      </x:c>
      <x:c r="H269" s="15" t="inlineStr">
        <x:is>
          <x:t xml:space="preserve">Motion comic</x:t>
        </x:is>
      </x:c>
      <x:c r="I269" s="15" t="inlineStr">
        <x:is>
          <x:t xml:space="preserve">YouTube</x:t>
        </x:is>
      </x:c>
      <x:c r="J269" s="18" t="e">
        <x:f>HYPERLINK("https://www.youtube.com/watch?v=E02BkoY_K0I","Open")</x:f>
        <x:v>HYPERLINK is not implemented. linkLocation=https://www.youtube.com/watch?v=E02BkoY_K0I, friendlyName=Open</x:v>
      </x:c>
      <x:c r="K269" s="15" t="inlineStr">
        <x:is>
          <x:t xml:space="preserve"/>
        </x:is>
      </x:c>
    </x:row>
    <x:row r="270" s="23" customFormat="1" ht="15.75" customHeight="1">
      <x:c r="A270" s="28" t="b">
        <x:v>0</x:v>
      </x:c>
      <x:c r="B270" s="21" t="inlineStr">
        <x:is>
          <x:t xml:space="preserve">SWS-035</x:t>
        </x:is>
      </x:c>
      <x:c r="C270" s="14" t="inlineStr">
        <x:is>
          <x:t xml:space="preserve">Skywalker Stories — Old Republic</x:t>
        </x:is>
      </x:c>
      <x:c r="D270" s="24" t="inlineStr">
        <x:is>
          <x:t xml:space="preserve">Star Wars: Darth Revan Learns His True Identity</x:t>
        </x:is>
      </x:c>
      <x:c r="E270" s="25" t="inlineStr">
        <x:is>
          <x:t xml:space="preserve"/>
        </x:is>
      </x:c>
      <x:c r="F270" s="26" t="inlineStr">
        <x:is>
          <x:t xml:space="preserve">Displayed as “1y ago” on October 17, 2026</x:t>
        </x:is>
      </x:c>
      <x:c r="G270" s="24" t="inlineStr">
        <x:is>
          <x:t xml:space="preserve">Fan-made / non-canon</x:t>
        </x:is>
      </x:c>
      <x:c r="H270" s="24" t="inlineStr">
        <x:is>
          <x:t xml:space="preserve">AI fan film</x:t>
        </x:is>
      </x:c>
      <x:c r="I270" s="24" t="inlineStr">
        <x:is>
          <x:t xml:space="preserve">YouTube — Skywalker Stories</x:t>
        </x:is>
      </x:c>
      <x:c r="J270" s="27" t="e">
        <x:f>HYPERLINK("https://www.youtube.com/watch?v=IcRO8M_msRo","Open")</x:f>
        <x:v>HYPERLINK is not implemented. linkLocation=https://www.youtube.com/watch?v=IcRO8M_msRo, friendlyName=Open</x:v>
      </x:c>
      <x:c r="K270" s="24" t="inlineStr">
        <x:is>
          <x:t xml:space="preserve">Skywalker Stories. During Knights of the Old Republic, around Revan's identity revelation. Placement confidence: High.</x:t>
        </x:is>
      </x:c>
    </x:row>
    <x:row r="271" s="23" customFormat="1" ht="15.75" customHeight="1">
      <x:c r="A271" s="28" t="b">
        <x:v>0</x:v>
      </x:c>
      <x:c r="B271" s="21" t="inlineStr">
        <x:is>
          <x:t xml:space="preserve">SWS-049</x:t>
        </x:is>
      </x:c>
      <x:c r="C271" s="14" t="inlineStr">
        <x:is>
          <x:t xml:space="preserve">Skywalker Stories — Fall of the Jedi</x:t>
        </x:is>
      </x:c>
      <x:c r="D271" s="24" t="inlineStr">
        <x:is>
          <x:t xml:space="preserve">Star Wars - Palpatine and Plagueis Discuss Power, Legacy, and the Rule of Two</x:t>
        </x:is>
      </x:c>
      <x:c r="E271" s="25" t="inlineStr">
        <x:is>
          <x:t xml:space="preserve"/>
        </x:is>
      </x:c>
      <x:c r="F271" s="26" t="inlineStr">
        <x:is>
          <x:t xml:space="preserve">Displayed as “1y ago” on October 17, 2026</x:t>
        </x:is>
      </x:c>
      <x:c r="G271" s="24" t="inlineStr">
        <x:is>
          <x:t xml:space="preserve">Fan-made / non-canon</x:t>
        </x:is>
      </x:c>
      <x:c r="H271" s="24" t="inlineStr">
        <x:is>
          <x:t xml:space="preserve">AI fan film</x:t>
        </x:is>
      </x:c>
      <x:c r="I271" s="24" t="inlineStr">
        <x:is>
          <x:t xml:space="preserve">YouTube — Skywalker Stories</x:t>
        </x:is>
      </x:c>
      <x:c r="J271" s="27" t="e">
        <x:f>HYPERLINK("https://www.youtube.com/watch?v=0nuUWBSGZjM","Open")</x:f>
        <x:v>HYPERLINK is not implemented. linkLocation=https://www.youtube.com/watch?v=0nuUWBSGZjM, friendlyName=Open</x:v>
      </x:c>
      <x:c r="K271" s="24" t="inlineStr">
        <x:is>
          <x:t xml:space="preserve">Skywalker Stories. Before or around Episode I, while Darth Plagueis is still alive. Placement confidence: Medium.</x:t>
        </x:is>
      </x:c>
    </x:row>
    <x:row r="272" s="23" customFormat="1" ht="15.75" customHeight="1">
      <x:c r="A272" s="28" t="b">
        <x:v>0</x:v>
      </x:c>
      <x:c r="B272" s="21" t="inlineStr">
        <x:is>
          <x:t xml:space="preserve">SWS-033</x:t>
        </x:is>
      </x:c>
      <x:c r="C272" s="14" t="inlineStr">
        <x:is>
          <x:t xml:space="preserve">Skywalker Stories — Fall of the Jedi</x:t>
        </x:is>
      </x:c>
      <x:c r="D272" s="24" t="inlineStr">
        <x:is>
          <x:t xml:space="preserve">Star Wars: Darth Plagueis influences Sifo Dyas To Order The Clone Army from Kamino</x:t>
        </x:is>
      </x:c>
      <x:c r="E272" s="25" t="inlineStr">
        <x:is>
          <x:t xml:space="preserve"/>
        </x:is>
      </x:c>
      <x:c r="F272" s="26" t="inlineStr">
        <x:is>
          <x:t xml:space="preserve">Displayed as “1y ago” on October 17, 2026</x:t>
        </x:is>
      </x:c>
      <x:c r="G272" s="24" t="inlineStr">
        <x:is>
          <x:t xml:space="preserve">Fan-made / non-canon</x:t>
        </x:is>
      </x:c>
      <x:c r="H272" s="24" t="inlineStr">
        <x:is>
          <x:t xml:space="preserve">AI fan film</x:t>
        </x:is>
      </x:c>
      <x:c r="I272" s="24" t="inlineStr">
        <x:is>
          <x:t xml:space="preserve">YouTube — Skywalker Stories</x:t>
        </x:is>
      </x:c>
      <x:c r="J272" s="27" t="e">
        <x:f>HYPERLINK("https://www.youtube.com/watch?v=iRE10jSTzWA","Open")</x:f>
        <x:v>HYPERLINK is not implemented. linkLocation=https://www.youtube.com/watch?v=iRE10jSTzWA, friendlyName=Open</x:v>
      </x:c>
      <x:c r="K272" s="24" t="inlineStr">
        <x:is>
          <x:t xml:space="preserve">Skywalker Stories. Around the Naboo crisis, before the clone army is ordered; Legends-inspired. Placement confidence: Medium.</x:t>
        </x:is>
      </x:c>
    </x:row>
    <x:row r="273" s="23" customFormat="1" ht="15.75" customHeight="1">
      <x:c r="A273" s="28" t="b">
        <x:v>0</x:v>
      </x:c>
      <x:c r="B273" s="21" t="inlineStr">
        <x:is>
          <x:t xml:space="preserve">SWS-011</x:t>
        </x:is>
      </x:c>
      <x:c r="C273" s="14" t="inlineStr">
        <x:is>
          <x:t xml:space="preserve">Skywalker Stories — Fall of the Jedi</x:t>
        </x:is>
      </x:c>
      <x:c r="D273" s="24" t="inlineStr">
        <x:is>
          <x:t xml:space="preserve">Star Wars: Duel of the Fates</x:t>
        </x:is>
      </x:c>
      <x:c r="E273" s="25" t="inlineStr">
        <x:is>
          <x:t xml:space="preserve"/>
        </x:is>
      </x:c>
      <x:c r="F273" s="26" t="inlineStr">
        <x:is>
          <x:t xml:space="preserve">Displayed as “8mo ago” on October 17, 2026</x:t>
        </x:is>
      </x:c>
      <x:c r="G273" s="24" t="inlineStr">
        <x:is>
          <x:t xml:space="preserve">Fan-made / non-canon</x:t>
        </x:is>
      </x:c>
      <x:c r="H273" s="24" t="inlineStr">
        <x:is>
          <x:t xml:space="preserve">AI fan film</x:t>
        </x:is>
      </x:c>
      <x:c r="I273" s="24" t="inlineStr">
        <x:is>
          <x:t xml:space="preserve">YouTube — Skywalker Stories</x:t>
        </x:is>
      </x:c>
      <x:c r="J273" s="27" t="e">
        <x:f>HYPERLINK("https://www.youtube.com/watch?v=x-OiA2TsDuo","Open")</x:f>
        <x:v>HYPERLINK is not implemented. linkLocation=https://www.youtube.com/watch?v=x-OiA2TsDuo, friendlyName=Open</x:v>
      </x:c>
      <x:c r="K273" s="24" t="inlineStr">
        <x:is>
          <x:t xml:space="preserve">Skywalker Stories. Alongside the climax of Episode I: The Phantom Menace. Placement confidence: High.</x:t>
        </x:is>
      </x:c>
    </x:row>
    <x:row r="274" s="23" customFormat="1" ht="15.75" customHeight="1">
      <x:c r="A274" s="28" t="b">
        <x:v>0</x:v>
      </x:c>
      <x:c r="B274" s="21" t="inlineStr">
        <x:is>
          <x:t xml:space="preserve">SWS-036</x:t>
        </x:is>
      </x:c>
      <x:c r="C274" s="14" t="inlineStr">
        <x:is>
          <x:t xml:space="preserve">Skywalker Stories — Fall of the Jedi</x:t>
        </x:is>
      </x:c>
      <x:c r="D274" s="24" t="inlineStr">
        <x:is>
          <x:t xml:space="preserve">Star Wars: Count Dooku Leaves the Jedi Order &amp; Joins Darth Sidious</x:t>
        </x:is>
      </x:c>
      <x:c r="E274" s="25" t="inlineStr">
        <x:is>
          <x:t xml:space="preserve"/>
        </x:is>
      </x:c>
      <x:c r="F274" s="26" t="inlineStr">
        <x:is>
          <x:t xml:space="preserve">Displayed as “1y ago” on October 17, 2026</x:t>
        </x:is>
      </x:c>
      <x:c r="G274" s="24" t="inlineStr">
        <x:is>
          <x:t xml:space="preserve">Fan-made / non-canon</x:t>
        </x:is>
      </x:c>
      <x:c r="H274" s="24" t="inlineStr">
        <x:is>
          <x:t xml:space="preserve">AI fan film</x:t>
        </x:is>
      </x:c>
      <x:c r="I274" s="24" t="inlineStr">
        <x:is>
          <x:t xml:space="preserve">YouTube — Skywalker Stories</x:t>
        </x:is>
      </x:c>
      <x:c r="J274" s="27" t="e">
        <x:f>HYPERLINK("https://www.youtube.com/watch?v=rzyuNoS8WwI","Open")</x:f>
        <x:v>HYPERLINK is not implemented. linkLocation=https://www.youtube.com/watch?v=rzyuNoS8WwI, friendlyName=Open</x:v>
      </x:c>
      <x:c r="K274" s="24" t="inlineStr">
        <x:is>
          <x:t xml:space="preserve">Skywalker Stories. After Qui-Gon Jinn's death and before Episode II. Placement confidence: High.</x:t>
        </x:is>
      </x:c>
    </x:row>
    <x:row r="275" s="23" customFormat="1" ht="15.75" customHeight="1">
      <x:c r="A275" s="28" t="b">
        <x:v>0</x:v>
      </x:c>
      <x:c r="B275" s="21" t="inlineStr">
        <x:is>
          <x:t xml:space="preserve">SWS-022</x:t>
        </x:is>
      </x:c>
      <x:c r="C275" s="14" t="inlineStr">
        <x:is>
          <x:t xml:space="preserve">Skywalker Stories — Fall of the Jedi</x:t>
        </x:is>
      </x:c>
      <x:c r="D275" s="24" t="inlineStr">
        <x:is>
          <x:t xml:space="preserve">Star Wars: Count Dooku Becomes Darth Tyranus</x:t>
        </x:is>
      </x:c>
      <x:c r="E275" s="25" t="inlineStr">
        <x:is>
          <x:t xml:space="preserve"/>
        </x:is>
      </x:c>
      <x:c r="F275" s="26" t="inlineStr">
        <x:is>
          <x:t xml:space="preserve">Displayed as “1y ago” on October 17, 2026</x:t>
        </x:is>
      </x:c>
      <x:c r="G275" s="24" t="inlineStr">
        <x:is>
          <x:t xml:space="preserve">Fan-made / non-canon</x:t>
        </x:is>
      </x:c>
      <x:c r="H275" s="24" t="inlineStr">
        <x:is>
          <x:t xml:space="preserve">AI fan film</x:t>
        </x:is>
      </x:c>
      <x:c r="I275" s="24" t="inlineStr">
        <x:is>
          <x:t xml:space="preserve">YouTube — Skywalker Stories</x:t>
        </x:is>
      </x:c>
      <x:c r="J275" s="27" t="e">
        <x:f>HYPERLINK("https://www.youtube.com/watch?v=m0EYZ5kk48Y","Open")</x:f>
        <x:v>HYPERLINK is not implemented. linkLocation=https://www.youtube.com/watch?v=m0EYZ5kk48Y, friendlyName=Open</x:v>
      </x:c>
      <x:c r="K275" s="24" t="inlineStr">
        <x:is>
          <x:t xml:space="preserve">Skywalker Stories. Between Episodes I and II, before the clone army conspiracy is complete. Placement confidence: High.</x:t>
        </x:is>
      </x:c>
    </x:row>
    <x:row r="276" s="23" customFormat="1" ht="15.75" customHeight="1">
      <x:c r="A276" s="28" t="b">
        <x:v>0</x:v>
      </x:c>
      <x:c r="B276" s="21" t="inlineStr">
        <x:is>
          <x:t xml:space="preserve">SWS-013</x:t>
        </x:is>
      </x:c>
      <x:c r="C276" s="14" t="inlineStr">
        <x:is>
          <x:t xml:space="preserve">Skywalker Stories — Fall of the Jedi</x:t>
        </x:is>
      </x:c>
      <x:c r="D276" s="24" t="inlineStr">
        <x:is>
          <x:t xml:space="preserve">Star Wars: Count Dooku Becomes Darth Tyranus &amp; Recruits Jango Fett For The Clone Army</x:t>
        </x:is>
      </x:c>
      <x:c r="E276" s="25" t="inlineStr">
        <x:is>
          <x:t xml:space="preserve"/>
        </x:is>
      </x:c>
      <x:c r="F276" s="26" t="inlineStr">
        <x:is>
          <x:t xml:space="preserve">Displayed as “9mo ago” on October 17, 2026</x:t>
        </x:is>
      </x:c>
      <x:c r="G276" s="24" t="inlineStr">
        <x:is>
          <x:t xml:space="preserve">Fan-made / non-canon</x:t>
        </x:is>
      </x:c>
      <x:c r="H276" s="24" t="inlineStr">
        <x:is>
          <x:t xml:space="preserve">AI fan film</x:t>
        </x:is>
      </x:c>
      <x:c r="I276" s="24" t="inlineStr">
        <x:is>
          <x:t xml:space="preserve">YouTube — Skywalker Stories</x:t>
        </x:is>
      </x:c>
      <x:c r="J276" s="27" t="e">
        <x:f>HYPERLINK("https://www.youtube.com/watch?v=86WZyh5SG7w","Open")</x:f>
        <x:v>HYPERLINK is not implemented. linkLocation=https://www.youtube.com/watch?v=86WZyh5SG7w, friendlyName=Open</x:v>
      </x:c>
      <x:c r="K276" s="24" t="inlineStr">
        <x:is>
          <x:t xml:space="preserve">Skywalker Stories. Between Episodes I and II, before the clone army conspiracy is complete. Placement confidence: High.</x:t>
        </x:is>
      </x:c>
    </x:row>
    <x:row r="277" s="23" customFormat="1" ht="15.75" customHeight="1">
      <x:c r="A277" s="28" t="b">
        <x:v>0</x:v>
      </x:c>
      <x:c r="B277" s="21" t="inlineStr">
        <x:is>
          <x:t xml:space="preserve">SWS-004</x:t>
        </x:is>
      </x:c>
      <x:c r="C277" s="14" t="inlineStr">
        <x:is>
          <x:t xml:space="preserve">Skywalker Stories — Fall of the Jedi</x:t>
        </x:is>
      </x:c>
      <x:c r="D277" s="24" t="inlineStr">
        <x:is>
          <x:t xml:space="preserve">Star Wars: Dooku Becomes Darth Tyranus &amp; Recruits Jango Fett For The Clone Army</x:t>
        </x:is>
      </x:c>
      <x:c r="E277" s="25" t="inlineStr">
        <x:is>
          <x:t xml:space="preserve"/>
        </x:is>
      </x:c>
      <x:c r="F277" s="26" t="inlineStr">
        <x:is>
          <x:t xml:space="preserve">Displayed as “4mo ago” on October 17, 2026</x:t>
        </x:is>
      </x:c>
      <x:c r="G277" s="24" t="inlineStr">
        <x:is>
          <x:t xml:space="preserve">Fan-made / non-canon</x:t>
        </x:is>
      </x:c>
      <x:c r="H277" s="24" t="inlineStr">
        <x:is>
          <x:t xml:space="preserve">AI fan film</x:t>
        </x:is>
      </x:c>
      <x:c r="I277" s="24" t="inlineStr">
        <x:is>
          <x:t xml:space="preserve">YouTube — Skywalker Stories</x:t>
        </x:is>
      </x:c>
      <x:c r="J277" s="27" t="e">
        <x:f>HYPERLINK("https://www.youtube.com/watch?v=a4A4vwGA7dY","Open")</x:f>
        <x:v>HYPERLINK is not implemented. linkLocation=https://www.youtube.com/watch?v=a4A4vwGA7dY, friendlyName=Open</x:v>
      </x:c>
      <x:c r="K277" s="24" t="inlineStr">
        <x:is>
          <x:t xml:space="preserve">Skywalker Stories. Between Episodes I and II, before the clone army conspiracy is complete. Placement confidence: High.</x:t>
        </x:is>
      </x:c>
    </x:row>
    <x:row r="278" s="23" customFormat="1" ht="15.75" customHeight="1">
      <x:c r="A278" s="28" t="b">
        <x:v>0</x:v>
      </x:c>
      <x:c r="B278" s="21" t="inlineStr">
        <x:is>
          <x:t xml:space="preserve">SWS-032</x:t>
        </x:is>
      </x:c>
      <x:c r="C278" s="14" t="inlineStr">
        <x:is>
          <x:t xml:space="preserve">Skywalker Stories — Fall of the Jedi</x:t>
        </x:is>
      </x:c>
      <x:c r="D278" s="24" t="inlineStr">
        <x:is>
          <x:t xml:space="preserve">Star Wars: Count Dooku Has Sifo-Dyas Killed &amp; Recruits Jango Fett For The Clone Army</x:t>
        </x:is>
      </x:c>
      <x:c r="E278" s="25" t="inlineStr">
        <x:is>
          <x:t xml:space="preserve"/>
        </x:is>
      </x:c>
      <x:c r="F278" s="26" t="inlineStr">
        <x:is>
          <x:t xml:space="preserve">Displayed as “1y ago” on October 17, 2026</x:t>
        </x:is>
      </x:c>
      <x:c r="G278" s="24" t="inlineStr">
        <x:is>
          <x:t xml:space="preserve">Fan-made / non-canon</x:t>
        </x:is>
      </x:c>
      <x:c r="H278" s="24" t="inlineStr">
        <x:is>
          <x:t xml:space="preserve">AI fan film</x:t>
        </x:is>
      </x:c>
      <x:c r="I278" s="24" t="inlineStr">
        <x:is>
          <x:t xml:space="preserve">YouTube — Skywalker Stories</x:t>
        </x:is>
      </x:c>
      <x:c r="J278" s="27" t="e">
        <x:f>HYPERLINK("https://www.youtube.com/watch?v=flBV1QCY_oQ","Open")</x:f>
        <x:v>HYPERLINK is not implemented. linkLocation=https://www.youtube.com/watch?v=flBV1QCY_oQ, friendlyName=Open</x:v>
      </x:c>
      <x:c r="K278" s="24" t="inlineStr">
        <x:is>
          <x:t xml:space="preserve">Skywalker Stories. Between Episodes I and II, during creation of the clone army. Placement confidence: High.</x:t>
        </x:is>
      </x:c>
    </x:row>
    <x:row r="279" s="23" customFormat="1" ht="15.75" customHeight="1">
      <x:c r="A279" s="28" t="b">
        <x:v>0</x:v>
      </x:c>
      <x:c r="B279" s="21" t="inlineStr">
        <x:is>
          <x:t xml:space="preserve">SWS-010</x:t>
        </x:is>
      </x:c>
      <x:c r="C279" s="14" t="inlineStr">
        <x:is>
          <x:t xml:space="preserve">Skywalker Stories — Fall of the Jedi</x:t>
        </x:is>
      </x:c>
      <x:c r="D279" s="24" t="inlineStr">
        <x:is>
          <x:t xml:space="preserve">Star Wars: Dooku Sends Jango &amp; Boba Fett To Kill A Clone Before Attack Of The Clones</x:t>
        </x:is>
      </x:c>
      <x:c r="E279" s="25" t="inlineStr">
        <x:is>
          <x:t xml:space="preserve"/>
        </x:is>
      </x:c>
      <x:c r="F279" s="26" t="inlineStr">
        <x:is>
          <x:t xml:space="preserve">Displayed as “7mo ago” on October 17, 2026</x:t>
        </x:is>
      </x:c>
      <x:c r="G279" s="24" t="inlineStr">
        <x:is>
          <x:t xml:space="preserve">Fan-made / non-canon</x:t>
        </x:is>
      </x:c>
      <x:c r="H279" s="24" t="inlineStr">
        <x:is>
          <x:t xml:space="preserve">AI fan film</x:t>
        </x:is>
      </x:c>
      <x:c r="I279" s="24" t="inlineStr">
        <x:is>
          <x:t xml:space="preserve">YouTube — Skywalker Stories</x:t>
        </x:is>
      </x:c>
      <x:c r="J279" s="27" t="e">
        <x:f>HYPERLINK("https://www.youtube.com/watch?v=zwOdVAkpUVM","Open")</x:f>
        <x:v>HYPERLINK is not implemented. linkLocation=https://www.youtube.com/watch?v=zwOdVAkpUVM, friendlyName=Open</x:v>
      </x:c>
      <x:c r="K279" s="24" t="inlineStr">
        <x:is>
          <x:t xml:space="preserve">Skywalker Stories. Between Episodes I and II, during creation of the clone army. Placement confidence: High.</x:t>
        </x:is>
      </x:c>
    </x:row>
    <x:row r="280" s="23" customFormat="1" ht="15.75" customHeight="1">
      <x:c r="A280" s="28" t="b">
        <x:v>0</x:v>
      </x:c>
      <x:c r="B280" s="21" t="inlineStr">
        <x:is>
          <x:t xml:space="preserve">SWS-027</x:t>
        </x:is>
      </x:c>
      <x:c r="C280" s="14" t="inlineStr">
        <x:is>
          <x:t xml:space="preserve">Skywalker Stories — Clone Wars</x:t>
        </x:is>
      </x:c>
      <x:c r="D280" s="24" t="inlineStr">
        <x:is>
          <x:t xml:space="preserve">Star Wars: Padawan Anakin Skywalker Fights Darth Maul and Learns The "System"</x:t>
        </x:is>
      </x:c>
      <x:c r="E280" s="25" t="inlineStr">
        <x:is>
          <x:t xml:space="preserve"/>
        </x:is>
      </x:c>
      <x:c r="F280" s="26" t="inlineStr">
        <x:is>
          <x:t xml:space="preserve">Displayed as “1y ago” on October 17, 2026</x:t>
        </x:is>
      </x:c>
      <x:c r="G280" s="24" t="inlineStr">
        <x:is>
          <x:t xml:space="preserve">Fan-made / non-canon</x:t>
        </x:is>
      </x:c>
      <x:c r="H280" s="24" t="inlineStr">
        <x:is>
          <x:t xml:space="preserve">AI fan film</x:t>
        </x:is>
      </x:c>
      <x:c r="I280" s="24" t="inlineStr">
        <x:is>
          <x:t xml:space="preserve">YouTube — Skywalker Stories</x:t>
        </x:is>
      </x:c>
      <x:c r="J280" s="27" t="e">
        <x:f>HYPERLINK("https://www.youtube.com/watch?v=WOS7i42ggU8","Open")</x:f>
        <x:v>HYPERLINK is not implemented. linkLocation=https://www.youtube.com/watch?v=WOS7i42ggU8, friendlyName=Open</x:v>
      </x:c>
      <x:c r="K280" s="24" t="inlineStr">
        <x:is>
          <x:t xml:space="preserve">Skywalker Stories. Alternate Clone Wars-era encounter; exact placement is uncertain. Placement confidence: Low.</x:t>
        </x:is>
      </x:c>
    </x:row>
    <x:row r="281" s="23" customFormat="1" ht="15.75" customHeight="1">
      <x:c r="A281" s="28" t="b">
        <x:v>0</x:v>
      </x:c>
      <x:c r="B281" s="21" t="inlineStr">
        <x:is>
          <x:t xml:space="preserve">SWS-053</x:t>
        </x:is>
      </x:c>
      <x:c r="C281" s="14" t="inlineStr">
        <x:is>
          <x:t xml:space="preserve">Skywalker Stories — Clone Wars</x:t>
        </x:is>
      </x:c>
      <x:c r="D281" s="24" t="inlineStr">
        <x:is>
          <x:t xml:space="preserve">Star Wars - Ahsoka leaves the Jedi Order</x:t>
        </x:is>
      </x:c>
      <x:c r="E281" s="25" t="inlineStr">
        <x:is>
          <x:t xml:space="preserve"/>
        </x:is>
      </x:c>
      <x:c r="F281" s="26" t="inlineStr">
        <x:is>
          <x:t xml:space="preserve">Displayed as “1y ago” on October 17, 2026</x:t>
        </x:is>
      </x:c>
      <x:c r="G281" s="24" t="inlineStr">
        <x:is>
          <x:t xml:space="preserve">Fan-made / non-canon</x:t>
        </x:is>
      </x:c>
      <x:c r="H281" s="24" t="inlineStr">
        <x:is>
          <x:t xml:space="preserve">AI fan film</x:t>
        </x:is>
      </x:c>
      <x:c r="I281" s="24" t="inlineStr">
        <x:is>
          <x:t xml:space="preserve">YouTube — Skywalker Stories</x:t>
        </x:is>
      </x:c>
      <x:c r="J281" s="27" t="e">
        <x:f>HYPERLINK("https://www.youtube.com/watch?v=_Svu4Ix5_aw","Open")</x:f>
        <x:v>HYPERLINK is not implemented. linkLocation=https://www.youtube.com/watch?v=_Svu4Ix5_aw, friendlyName=Open</x:v>
      </x:c>
      <x:c r="K281" s="24" t="inlineStr">
        <x:is>
          <x:t xml:space="preserve">Skywalker Stories. Around The Clone Wars Season 5 finale, after Ahsoka leaves the Order. Placement confidence: High.</x:t>
        </x:is>
      </x:c>
    </x:row>
    <x:row r="282" s="23" customFormat="1" ht="15.75" customHeight="1">
      <x:c r="A282" s="28" t="b">
        <x:v>0</x:v>
      </x:c>
      <x:c r="B282" s="21" t="inlineStr">
        <x:is>
          <x:t xml:space="preserve">SWS-055</x:t>
        </x:is>
      </x:c>
      <x:c r="C282" s="14" t="inlineStr">
        <x:is>
          <x:t xml:space="preserve">Skywalker Stories — Clone Wars</x:t>
        </x:is>
      </x:c>
      <x:c r="D282" s="24" t="inlineStr">
        <x:is>
          <x:t xml:space="preserve">Star Wars -  Darth Sidious and Dooku capture Darth Maul</x:t>
        </x:is>
      </x:c>
      <x:c r="E282" s="25" t="inlineStr">
        <x:is>
          <x:t xml:space="preserve"/>
        </x:is>
      </x:c>
      <x:c r="F282" s="26" t="inlineStr">
        <x:is>
          <x:t xml:space="preserve">Displayed as “1y ago” on October 17, 2026</x:t>
        </x:is>
      </x:c>
      <x:c r="G282" s="24" t="inlineStr">
        <x:is>
          <x:t xml:space="preserve">Fan-made / non-canon</x:t>
        </x:is>
      </x:c>
      <x:c r="H282" s="24" t="inlineStr">
        <x:is>
          <x:t xml:space="preserve">AI fan film</x:t>
        </x:is>
      </x:c>
      <x:c r="I282" s="24" t="inlineStr">
        <x:is>
          <x:t xml:space="preserve">YouTube — Skywalker Stories</x:t>
        </x:is>
      </x:c>
      <x:c r="J282" s="27" t="e">
        <x:f>HYPERLINK("https://www.youtube.com/watch?v=Gg3JeXUY5os","Open")</x:f>
        <x:v>HYPERLINK is not implemented. linkLocation=https://www.youtube.com/watch?v=Gg3JeXUY5os, friendlyName=Open</x:v>
      </x:c>
      <x:c r="K282" s="24" t="inlineStr">
        <x:is>
          <x:t xml:space="preserve">Skywalker Stories. Son of Dathomir arc, after The Clone Wars Season 5 and before Season 7. Placement confidence: High.</x:t>
        </x:is>
      </x:c>
    </x:row>
    <x:row r="283" s="23" customFormat="1" ht="15.75" customHeight="1">
      <x:c r="A283" s="28" t="b">
        <x:v>0</x:v>
      </x:c>
      <x:c r="B283" s="21" t="inlineStr">
        <x:is>
          <x:t xml:space="preserve">SWS-054</x:t>
        </x:is>
      </x:c>
      <x:c r="C283" s="14" t="inlineStr">
        <x:is>
          <x:t xml:space="preserve">Skywalker Stories — Clone Wars</x:t>
        </x:is>
      </x:c>
      <x:c r="D283" s="24" t="inlineStr">
        <x:is>
          <x:t xml:space="preserve">Star Wars - Darth Maul tortured by Dooku</x:t>
        </x:is>
      </x:c>
      <x:c r="E283" s="25" t="inlineStr">
        <x:is>
          <x:t xml:space="preserve"/>
        </x:is>
      </x:c>
      <x:c r="F283" s="26" t="inlineStr">
        <x:is>
          <x:t xml:space="preserve">Displayed as “1y ago” on October 17, 2026</x:t>
        </x:is>
      </x:c>
      <x:c r="G283" s="24" t="inlineStr">
        <x:is>
          <x:t xml:space="preserve">Fan-made / non-canon</x:t>
        </x:is>
      </x:c>
      <x:c r="H283" s="24" t="inlineStr">
        <x:is>
          <x:t xml:space="preserve">AI fan film</x:t>
        </x:is>
      </x:c>
      <x:c r="I283" s="24" t="inlineStr">
        <x:is>
          <x:t xml:space="preserve">YouTube — Skywalker Stories</x:t>
        </x:is>
      </x:c>
      <x:c r="J283" s="27" t="e">
        <x:f>HYPERLINK("https://www.youtube.com/watch?v=ulc-IMqfnTY","Open")</x:f>
        <x:v>HYPERLINK is not implemented. linkLocation=https://www.youtube.com/watch?v=ulc-IMqfnTY, friendlyName=Open</x:v>
      </x:c>
      <x:c r="K283" s="24" t="inlineStr">
        <x:is>
          <x:t xml:space="preserve">Skywalker Stories. Son of Dathomir arc, after The Clone Wars Season 5 and before Season 7. Placement confidence: High.</x:t>
        </x:is>
      </x:c>
    </x:row>
    <x:row r="284" s="23" customFormat="1" ht="15.75" customHeight="1">
      <x:c r="A284" s="28" t="b">
        <x:v>0</x:v>
      </x:c>
      <x:c r="B284" s="21" t="inlineStr">
        <x:is>
          <x:t xml:space="preserve">SWS-003</x:t>
        </x:is>
      </x:c>
      <x:c r="C284" s="14" t="inlineStr">
        <x:is>
          <x:t xml:space="preserve">Skywalker Stories — Clone Wars</x:t>
        </x:is>
      </x:c>
      <x:c r="D284" s="24" t="inlineStr">
        <x:is>
          <x:t xml:space="preserve">Star Wars: Darth Maul Tortured By Count Dooku and Sidious | Son of Dathomir</x:t>
        </x:is>
      </x:c>
      <x:c r="E284" s="25" t="inlineStr">
        <x:is>
          <x:t xml:space="preserve"/>
        </x:is>
      </x:c>
      <x:c r="F284" s="26" t="inlineStr">
        <x:is>
          <x:t xml:space="preserve">July 31, 2026</x:t>
        </x:is>
      </x:c>
      <x:c r="G284" s="24" t="inlineStr">
        <x:is>
          <x:t xml:space="preserve">Fan-made / non-canon</x:t>
        </x:is>
      </x:c>
      <x:c r="H284" s="24" t="inlineStr">
        <x:is>
          <x:t xml:space="preserve">AI fan film</x:t>
        </x:is>
      </x:c>
      <x:c r="I284" s="24" t="inlineStr">
        <x:is>
          <x:t xml:space="preserve">YouTube — Skywalker Stories</x:t>
        </x:is>
      </x:c>
      <x:c r="J284" s="27" t="e">
        <x:f>HYPERLINK("https://www.youtube.com/watch?v=tgd4sWo_xRw","Open")</x:f>
        <x:v>HYPERLINK is not implemented. linkLocation=https://www.youtube.com/watch?v=tgd4sWo_xRw, friendlyName=Open</x:v>
      </x:c>
      <x:c r="K284" s="24" t="inlineStr">
        <x:is>
          <x:t xml:space="preserve">Skywalker Stories. Son of Dathomir arc, after The Clone Wars Season 5 and before Season 7. Placement confidence: High.</x:t>
        </x:is>
      </x:c>
    </x:row>
    <x:row r="285" s="23" customFormat="1" ht="15.75" customHeight="1">
      <x:c r="A285" s="28" t="b">
        <x:v>0</x:v>
      </x:c>
      <x:c r="B285" s="21" t="inlineStr">
        <x:is>
          <x:t xml:space="preserve">SWS-030</x:t>
        </x:is>
      </x:c>
      <x:c r="C285" s="14" t="inlineStr">
        <x:is>
          <x:t xml:space="preserve">Skywalker Stories — Clone Wars</x:t>
        </x:is>
      </x:c>
      <x:c r="D285" s="24" t="inlineStr">
        <x:is>
          <x:t xml:space="preserve">Star Wars: Darth Maul tortured by Dooku &amp; Sidious - Son Of Dathomir</x:t>
        </x:is>
      </x:c>
      <x:c r="E285" s="25" t="inlineStr">
        <x:is>
          <x:t xml:space="preserve"/>
        </x:is>
      </x:c>
      <x:c r="F285" s="26" t="inlineStr">
        <x:is>
          <x:t xml:space="preserve">Displayed as “1y ago” on October 17, 2026</x:t>
        </x:is>
      </x:c>
      <x:c r="G285" s="24" t="inlineStr">
        <x:is>
          <x:t xml:space="preserve">Fan-made / non-canon</x:t>
        </x:is>
      </x:c>
      <x:c r="H285" s="24" t="inlineStr">
        <x:is>
          <x:t xml:space="preserve">AI fan film</x:t>
        </x:is>
      </x:c>
      <x:c r="I285" s="24" t="inlineStr">
        <x:is>
          <x:t xml:space="preserve">YouTube — Skywalker Stories</x:t>
        </x:is>
      </x:c>
      <x:c r="J285" s="27" t="e">
        <x:f>HYPERLINK("https://www.youtube.com/watch?v=xnQm-wAzSSM","Open")</x:f>
        <x:v>HYPERLINK is not implemented. linkLocation=https://www.youtube.com/watch?v=xnQm-wAzSSM, friendlyName=Open</x:v>
      </x:c>
      <x:c r="K285" s="24" t="inlineStr">
        <x:is>
          <x:t xml:space="preserve">Skywalker Stories. Son of Dathomir arc, after The Clone Wars Season 5 and before Season 7. Placement confidence: High.</x:t>
        </x:is>
      </x:c>
    </x:row>
    <x:row r="286" s="23" customFormat="1" ht="15.75" customHeight="1">
      <x:c r="A286" s="28" t="b">
        <x:v>0</x:v>
      </x:c>
      <x:c r="B286" s="21" t="inlineStr">
        <x:is>
          <x:t xml:space="preserve">SWS-112</x:t>
        </x:is>
      </x:c>
      <x:c r="C286" s="14" t="inlineStr">
        <x:is>
          <x:t xml:space="preserve">Skywalker Stories — Clone Wars</x:t>
        </x:is>
      </x:c>
      <x:c r="D286" s="24" t="inlineStr">
        <x:is>
          <x:t xml:space="preserve">(AI) Deepfaking Hayden Christensen into the Clone Wars - Ahsoka and Anakin Farewell</x:t>
        </x:is>
      </x:c>
      <x:c r="E286" s="25" t="inlineStr">
        <x:is>
          <x:t xml:space="preserve"/>
        </x:is>
      </x:c>
      <x:c r="F286" s="26" t="inlineStr">
        <x:is>
          <x:t xml:space="preserve">Displayed as “2y ago” on October 17, 2026</x:t>
        </x:is>
      </x:c>
      <x:c r="G286" s="24" t="inlineStr">
        <x:is>
          <x:t xml:space="preserve">Fan-made / non-canon</x:t>
        </x:is>
      </x:c>
      <x:c r="H286" s="24" t="inlineStr">
        <x:is>
          <x:t xml:space="preserve">AI fan film</x:t>
        </x:is>
      </x:c>
      <x:c r="I286" s="24" t="inlineStr">
        <x:is>
          <x:t xml:space="preserve">YouTube — Skywalker Stories</x:t>
        </x:is>
      </x:c>
      <x:c r="J286" s="27" t="e">
        <x:f>HYPERLINK("https://www.youtube.com/watch?v=EoLM56huNUU","Open")</x:f>
        <x:v>HYPERLINK is not implemented. linkLocation=https://www.youtube.com/watch?v=EoLM56huNUU, friendlyName=Open</x:v>
      </x:c>
      <x:c r="K286" s="24" t="inlineStr">
        <x:is>
          <x:t xml:space="preserve">Skywalker Stories. Visual re-edit alongside The Clone Wars; no new story continuity. Placement confidence: Medium.</x:t>
        </x:is>
      </x:c>
    </x:row>
    <x:row r="287" s="23" customFormat="1" ht="15.75" customHeight="1">
      <x:c r="A287" s="28" t="b">
        <x:v>0</x:v>
      </x:c>
      <x:c r="B287" s="21" t="inlineStr">
        <x:is>
          <x:t xml:space="preserve">SWS-111</x:t>
        </x:is>
      </x:c>
      <x:c r="C287" s="14" t="inlineStr">
        <x:is>
          <x:t xml:space="preserve">Skywalker Stories — Clone Wars</x:t>
        </x:is>
      </x:c>
      <x:c r="D287" s="24" t="inlineStr">
        <x:is>
          <x:t xml:space="preserve">Star Wars Deepfake - Hayden Christensen Anakin Skywalker The Clone Wars</x:t>
        </x:is>
      </x:c>
      <x:c r="E287" s="25" t="inlineStr">
        <x:is>
          <x:t xml:space="preserve"/>
        </x:is>
      </x:c>
      <x:c r="F287" s="26" t="inlineStr">
        <x:is>
          <x:t xml:space="preserve">Displayed as “2y ago” on October 17, 2026</x:t>
        </x:is>
      </x:c>
      <x:c r="G287" s="24" t="inlineStr">
        <x:is>
          <x:t xml:space="preserve">Fan-made / non-canon</x:t>
        </x:is>
      </x:c>
      <x:c r="H287" s="24" t="inlineStr">
        <x:is>
          <x:t xml:space="preserve">AI fan film</x:t>
        </x:is>
      </x:c>
      <x:c r="I287" s="24" t="inlineStr">
        <x:is>
          <x:t xml:space="preserve">YouTube — Skywalker Stories</x:t>
        </x:is>
      </x:c>
      <x:c r="J287" s="27" t="e">
        <x:f>HYPERLINK("https://www.youtube.com/watch?v=lNtB4y3Tf4w","Open")</x:f>
        <x:v>HYPERLINK is not implemented. linkLocation=https://www.youtube.com/watch?v=lNtB4y3Tf4w, friendlyName=Open</x:v>
      </x:c>
      <x:c r="K287" s="24" t="inlineStr">
        <x:is>
          <x:t xml:space="preserve">Skywalker Stories. Visual re-edit alongside The Clone Wars; no new story continuity. Placement confidence: Medium.</x:t>
        </x:is>
      </x:c>
    </x:row>
    <x:row r="288" s="23" customFormat="1" ht="15.75" customHeight="1">
      <x:c r="A288" s="28" t="b">
        <x:v>0</x:v>
      </x:c>
      <x:c r="B288" s="21" t="inlineStr">
        <x:is>
          <x:t xml:space="preserve">SWS-031</x:t>
        </x:is>
      </x:c>
      <x:c r="C288" s="14" t="inlineStr">
        <x:is>
          <x:t xml:space="preserve">Skywalker Stories — Clone Wars</x:t>
        </x:is>
      </x:c>
      <x:c r="D288" s="24" t="inlineStr">
        <x:is>
          <x:t xml:space="preserve">Star Wars: Yoda Wants Count Dooku To Teach Him The Dark Side</x:t>
        </x:is>
      </x:c>
      <x:c r="E288" s="25" t="inlineStr">
        <x:is>
          <x:t xml:space="preserve"/>
        </x:is>
      </x:c>
      <x:c r="F288" s="26" t="inlineStr">
        <x:is>
          <x:t xml:space="preserve">Displayed as “1y ago” on October 17, 2026</x:t>
        </x:is>
      </x:c>
      <x:c r="G288" s="24" t="inlineStr">
        <x:is>
          <x:t xml:space="preserve">Fan-made / non-canon</x:t>
        </x:is>
      </x:c>
      <x:c r="H288" s="24" t="inlineStr">
        <x:is>
          <x:t xml:space="preserve">AI fan film</x:t>
        </x:is>
      </x:c>
      <x:c r="I288" s="24" t="inlineStr">
        <x:is>
          <x:t xml:space="preserve">YouTube — Skywalker Stories</x:t>
        </x:is>
      </x:c>
      <x:c r="J288" s="27" t="e">
        <x:f>HYPERLINK("https://www.youtube.com/watch?v=_GbEGvfjHYA","Open")</x:f>
        <x:v>HYPERLINK is not implemented. linkLocation=https://www.youtube.com/watch?v=_GbEGvfjHYA, friendlyName=Open</x:v>
      </x:c>
      <x:c r="K288" s="24" t="inlineStr">
        <x:is>
          <x:t xml:space="preserve">Skywalker Stories. During the Clone Wars; Legends/Dark Rendezvous-inspired. Placement confidence: High.</x:t>
        </x:is>
      </x:c>
    </x:row>
    <x:row r="289" s="23" customFormat="1" ht="15.75" customHeight="1">
      <x:c r="A289" s="28" t="b">
        <x:v>0</x:v>
      </x:c>
      <x:c r="B289" s="21" t="inlineStr">
        <x:is>
          <x:t xml:space="preserve">SWS-062</x:t>
        </x:is>
      </x:c>
      <x:c r="C289" s="14" t="inlineStr">
        <x:is>
          <x:t xml:space="preserve">Skywalker Stories — Clone Wars</x:t>
        </x:is>
      </x:c>
      <x:c r="D289" s="24" t="inlineStr">
        <x:is>
          <x:t xml:space="preserve">Tales of the Star Wars Galaxy: Dooku tries to lure Yoda into the dark side from Dark Rendezvous</x:t>
        </x:is>
      </x:c>
      <x:c r="E289" s="25" t="inlineStr">
        <x:is>
          <x:t xml:space="preserve"/>
        </x:is>
      </x:c>
      <x:c r="F289" s="26" t="inlineStr">
        <x:is>
          <x:t xml:space="preserve">Displayed as “1y ago” on October 17, 2026</x:t>
        </x:is>
      </x:c>
      <x:c r="G289" s="24" t="inlineStr">
        <x:is>
          <x:t xml:space="preserve">Fan-made / non-canon</x:t>
        </x:is>
      </x:c>
      <x:c r="H289" s="24" t="inlineStr">
        <x:is>
          <x:t xml:space="preserve">AI fan film</x:t>
        </x:is>
      </x:c>
      <x:c r="I289" s="24" t="inlineStr">
        <x:is>
          <x:t xml:space="preserve">YouTube — Skywalker Stories</x:t>
        </x:is>
      </x:c>
      <x:c r="J289" s="27" t="e">
        <x:f>HYPERLINK("https://www.youtube.com/watch?v=cxCOd97GeuU","Open")</x:f>
        <x:v>HYPERLINK is not implemented. linkLocation=https://www.youtube.com/watch?v=cxCOd97GeuU, friendlyName=Open</x:v>
      </x:c>
      <x:c r="K289" s="24" t="inlineStr">
        <x:is>
          <x:t xml:space="preserve">Skywalker Stories. During the Clone Wars; Legends/Dark Rendezvous-inspired. Placement confidence: High.</x:t>
        </x:is>
      </x:c>
    </x:row>
    <x:row r="290" s="23" customFormat="1" ht="15.75" customHeight="1">
      <x:c r="A290" s="28" t="b">
        <x:v>0</x:v>
      </x:c>
      <x:c r="B290" s="21" t="inlineStr">
        <x:is>
          <x:t xml:space="preserve">SWS-020</x:t>
        </x:is>
      </x:c>
      <x:c r="C290" s="14" t="inlineStr">
        <x:is>
          <x:t xml:space="preserve">Skywalker Stories — Clone Wars</x:t>
        </x:is>
      </x:c>
      <x:c r="D290" s="24" t="inlineStr">
        <x:is>
          <x:t xml:space="preserve">Star Wars: Dooku &amp; Palpatine Talk Before Anakin &amp; Obi Wan Arrive To Save Palpatine</x:t>
        </x:is>
      </x:c>
      <x:c r="E290" s="25" t="inlineStr">
        <x:is>
          <x:t xml:space="preserve"/>
        </x:is>
      </x:c>
      <x:c r="F290" s="26" t="inlineStr">
        <x:is>
          <x:t xml:space="preserve">Displayed as “1y ago” on October 17, 2026</x:t>
        </x:is>
      </x:c>
      <x:c r="G290" s="24" t="inlineStr">
        <x:is>
          <x:t xml:space="preserve">Fan-made / non-canon</x:t>
        </x:is>
      </x:c>
      <x:c r="H290" s="24" t="inlineStr">
        <x:is>
          <x:t xml:space="preserve">AI fan film</x:t>
        </x:is>
      </x:c>
      <x:c r="I290" s="24" t="inlineStr">
        <x:is>
          <x:t xml:space="preserve">YouTube — Skywalker Stories</x:t>
        </x:is>
      </x:c>
      <x:c r="J290" s="27" t="e">
        <x:f>HYPERLINK("https://www.youtube.com/watch?v=tzZYxfAbv9U","Open")</x:f>
        <x:v>HYPERLINK is not implemented. linkLocation=https://www.youtube.com/watch?v=tzZYxfAbv9U, friendlyName=Open</x:v>
      </x:c>
      <x:c r="K290" s="24" t="inlineStr">
        <x:is>
          <x:t xml:space="preserve">Skywalker Stories. Immediately before or during the opening of Episode III: Revenge of the Sith. Placement confidence: High.</x:t>
        </x:is>
      </x:c>
    </x:row>
    <x:row r="291" s="23" customFormat="1" ht="15.75" customHeight="1">
      <x:c r="A291" s="28" t="b">
        <x:v>0</x:v>
      </x:c>
      <x:c r="B291" s="21" t="inlineStr">
        <x:is>
          <x:t xml:space="preserve">SWS-041</x:t>
        </x:is>
      </x:c>
      <x:c r="C291" s="14" t="inlineStr">
        <x:is>
          <x:t xml:space="preserve">Skywalker Stories — Clone Wars</x:t>
        </x:is>
      </x:c>
      <x:c r="D291" s="24" t="inlineStr">
        <x:is>
          <x:t xml:space="preserve">Star Wars: Dooku &amp; Palpatine Talk Before Anakin &amp; Obi-Wan Rescue Palpatine</x:t>
        </x:is>
      </x:c>
      <x:c r="E291" s="25" t="inlineStr">
        <x:is>
          <x:t xml:space="preserve"/>
        </x:is>
      </x:c>
      <x:c r="F291" s="26" t="inlineStr">
        <x:is>
          <x:t xml:space="preserve">Displayed as “1y ago” on October 17, 2026</x:t>
        </x:is>
      </x:c>
      <x:c r="G291" s="24" t="inlineStr">
        <x:is>
          <x:t xml:space="preserve">Fan-made / non-canon</x:t>
        </x:is>
      </x:c>
      <x:c r="H291" s="24" t="inlineStr">
        <x:is>
          <x:t xml:space="preserve">AI fan film</x:t>
        </x:is>
      </x:c>
      <x:c r="I291" s="24" t="inlineStr">
        <x:is>
          <x:t xml:space="preserve">YouTube — Skywalker Stories</x:t>
        </x:is>
      </x:c>
      <x:c r="J291" s="27" t="e">
        <x:f>HYPERLINK("https://www.youtube.com/watch?v=6iuUSLx8umw","Open")</x:f>
        <x:v>HYPERLINK is not implemented. linkLocation=https://www.youtube.com/watch?v=6iuUSLx8umw, friendlyName=Open</x:v>
      </x:c>
      <x:c r="K291" s="24" t="inlineStr">
        <x:is>
          <x:t xml:space="preserve">Skywalker Stories. Immediately before or during the opening of Episode III: Revenge of the Sith. Placement confidence: High.</x:t>
        </x:is>
      </x:c>
    </x:row>
    <x:row r="292" s="23" customFormat="1" ht="15.75" customHeight="1">
      <x:c r="A292" s="28" t="b">
        <x:v>0</x:v>
      </x:c>
      <x:c r="B292" s="21" t="inlineStr">
        <x:is>
          <x:t xml:space="preserve">SWS-065</x:t>
        </x:is>
      </x:c>
      <x:c r="C292" s="14" t="inlineStr">
        <x:is>
          <x:t xml:space="preserve">Skywalker Stories — Clone Wars</x:t>
        </x:is>
      </x:c>
      <x:c r="D292" s="24" t="inlineStr">
        <x:is>
          <x:t xml:space="preserve">Tales of the Star Wars Galaxy: Palpatine and Count Dooku discuss Obi Wan &amp; Anakin ROTS Novelization</x:t>
        </x:is>
      </x:c>
      <x:c r="E292" s="25" t="inlineStr">
        <x:is>
          <x:t xml:space="preserve"/>
        </x:is>
      </x:c>
      <x:c r="F292" s="26" t="inlineStr">
        <x:is>
          <x:t xml:space="preserve">Displayed as “1y ago” on October 17, 2026</x:t>
        </x:is>
      </x:c>
      <x:c r="G292" s="24" t="inlineStr">
        <x:is>
          <x:t xml:space="preserve">Fan-made / non-canon</x:t>
        </x:is>
      </x:c>
      <x:c r="H292" s="24" t="inlineStr">
        <x:is>
          <x:t xml:space="preserve">AI fan film</x:t>
        </x:is>
      </x:c>
      <x:c r="I292" s="24" t="inlineStr">
        <x:is>
          <x:t xml:space="preserve">YouTube — Skywalker Stories</x:t>
        </x:is>
      </x:c>
      <x:c r="J292" s="27" t="e">
        <x:f>HYPERLINK("https://www.youtube.com/watch?v=6Dvbkja3raE","Open")</x:f>
        <x:v>HYPERLINK is not implemented. linkLocation=https://www.youtube.com/watch?v=6Dvbkja3raE, friendlyName=Open</x:v>
      </x:c>
      <x:c r="K292" s="24" t="inlineStr">
        <x:is>
          <x:t xml:space="preserve">Skywalker Stories. Immediately before or during the opening of Episode III: Revenge of the Sith. Placement confidence: High.</x:t>
        </x:is>
      </x:c>
    </x:row>
    <x:row r="293" s="23" customFormat="1" ht="15.75" customHeight="1">
      <x:c r="A293" s="28" t="b">
        <x:v>0</x:v>
      </x:c>
      <x:c r="B293" s="21" t="inlineStr">
        <x:is>
          <x:t xml:space="preserve">SWS-067</x:t>
        </x:is>
      </x:c>
      <x:c r="C293" s="14" t="inlineStr">
        <x:is>
          <x:t xml:space="preserve">Skywalker Stories — Clone Wars</x:t>
        </x:is>
      </x:c>
      <x:c r="D293" s="24" t="inlineStr">
        <x:is>
          <x:t xml:space="preserve">Tales of the Star Wars Galaxy: Qui Gon Jinn visits Count Dooku before Battle of Coruscant</x:t>
        </x:is>
      </x:c>
      <x:c r="E293" s="25" t="inlineStr">
        <x:is>
          <x:t xml:space="preserve"/>
        </x:is>
      </x:c>
      <x:c r="F293" s="26" t="inlineStr">
        <x:is>
          <x:t xml:space="preserve">Displayed as “1y ago” on October 17, 2026</x:t>
        </x:is>
      </x:c>
      <x:c r="G293" s="24" t="inlineStr">
        <x:is>
          <x:t xml:space="preserve">Fan-made / non-canon</x:t>
        </x:is>
      </x:c>
      <x:c r="H293" s="24" t="inlineStr">
        <x:is>
          <x:t xml:space="preserve">AI fan film</x:t>
        </x:is>
      </x:c>
      <x:c r="I293" s="24" t="inlineStr">
        <x:is>
          <x:t xml:space="preserve">YouTube — Skywalker Stories</x:t>
        </x:is>
      </x:c>
      <x:c r="J293" s="27" t="e">
        <x:f>HYPERLINK("https://www.youtube.com/watch?v=daQ059H2PSg","Open")</x:f>
        <x:v>HYPERLINK is not implemented. linkLocation=https://www.youtube.com/watch?v=daQ059H2PSg, friendlyName=Open</x:v>
      </x:c>
      <x:c r="K293" s="24" t="inlineStr">
        <x:is>
          <x:t xml:space="preserve">Skywalker Stories. Immediately before or during the opening of Episode III: Revenge of the Sith. Placement confidence: High.</x:t>
        </x:is>
      </x:c>
    </x:row>
    <x:row r="294" s="23" customFormat="1" ht="15.75" customHeight="1">
      <x:c r="A294" s="28" t="b">
        <x:v>0</x:v>
      </x:c>
      <x:c r="B294" s="21" t="inlineStr">
        <x:is>
          <x:t xml:space="preserve">SWS-042</x:t>
        </x:is>
      </x:c>
      <x:c r="C294" s="14" t="inlineStr">
        <x:is>
          <x:t xml:space="preserve">Skywalker Stories — Imperial era</x:t>
        </x:is>
      </x:c>
      <x:c r="D294" s="24" t="inlineStr">
        <x:is>
          <x:t xml:space="preserve">Star Wars: Qui-Gon Jinn visits Anakin on Mustafar</x:t>
        </x:is>
      </x:c>
      <x:c r="E294" s="25" t="inlineStr">
        <x:is>
          <x:t xml:space="preserve"/>
        </x:is>
      </x:c>
      <x:c r="F294" s="26" t="inlineStr">
        <x:is>
          <x:t xml:space="preserve">Displayed as “1y ago” on October 17, 2026</x:t>
        </x:is>
      </x:c>
      <x:c r="G294" s="24" t="inlineStr">
        <x:is>
          <x:t xml:space="preserve">Fan-made / non-canon</x:t>
        </x:is>
      </x:c>
      <x:c r="H294" s="24" t="inlineStr">
        <x:is>
          <x:t xml:space="preserve">AI fan film</x:t>
        </x:is>
      </x:c>
      <x:c r="I294" s="24" t="inlineStr">
        <x:is>
          <x:t xml:space="preserve">YouTube — Skywalker Stories</x:t>
        </x:is>
      </x:c>
      <x:c r="J294" s="27" t="e">
        <x:f>HYPERLINK("https://www.youtube.com/watch?v=CJ1nQpRZsp0","Open")</x:f>
        <x:v>HYPERLINK is not implemented. linkLocation=https://www.youtube.com/watch?v=CJ1nQpRZsp0, friendlyName=Open</x:v>
      </x:c>
      <x:c r="K294" s="24" t="inlineStr">
        <x:is>
          <x:t xml:space="preserve">Skywalker Stories. During the Mustafar aftermath of Episode III; alternate fan scene. Placement confidence: High.</x:t>
        </x:is>
      </x:c>
    </x:row>
    <x:row r="295" s="23" customFormat="1" ht="15.75" customHeight="1">
      <x:c r="A295" s="28" t="b">
        <x:v>0</x:v>
      </x:c>
      <x:c r="B295" s="21" t="inlineStr">
        <x:is>
          <x:t xml:space="preserve">SWS-094</x:t>
        </x:is>
      </x:c>
      <x:c r="C295" s="14" t="inlineStr">
        <x:is>
          <x:t xml:space="preserve">Skywalker Stories — Imperial era</x:t>
        </x:is>
      </x:c>
      <x:c r="D295" s="24" t="inlineStr">
        <x:is>
          <x:t xml:space="preserve">Tales of the Star Wars Galaxy: Qui Gon Jinn vists Anakin on Mustafar</x:t>
        </x:is>
      </x:c>
      <x:c r="E295" s="25" t="inlineStr">
        <x:is>
          <x:t xml:space="preserve"/>
        </x:is>
      </x:c>
      <x:c r="F295" s="26" t="inlineStr">
        <x:is>
          <x:t xml:space="preserve">Displayed as “2y ago” on October 17, 2026</x:t>
        </x:is>
      </x:c>
      <x:c r="G295" s="24" t="inlineStr">
        <x:is>
          <x:t xml:space="preserve">Fan-made / non-canon</x:t>
        </x:is>
      </x:c>
      <x:c r="H295" s="24" t="inlineStr">
        <x:is>
          <x:t xml:space="preserve">AI fan film</x:t>
        </x:is>
      </x:c>
      <x:c r="I295" s="24" t="inlineStr">
        <x:is>
          <x:t xml:space="preserve">YouTube — Skywalker Stories</x:t>
        </x:is>
      </x:c>
      <x:c r="J295" s="27" t="e">
        <x:f>HYPERLINK("https://www.youtube.com/watch?v=BVgUMU4wnwU","Open")</x:f>
        <x:v>HYPERLINK is not implemented. linkLocation=https://www.youtube.com/watch?v=BVgUMU4wnwU, friendlyName=Open</x:v>
      </x:c>
      <x:c r="K295" s="24" t="inlineStr">
        <x:is>
          <x:t xml:space="preserve">Skywalker Stories. During the Mustafar aftermath of Episode III; alternate fan scene. Placement confidence: High.</x:t>
        </x:is>
      </x:c>
    </x:row>
    <x:row r="296" s="23" customFormat="1" ht="15.75" customHeight="1">
      <x:c r="A296" s="28" t="b">
        <x:v>0</x:v>
      </x:c>
      <x:c r="B296" s="21" t="inlineStr">
        <x:is>
          <x:t xml:space="preserve">SWS-016</x:t>
        </x:is>
      </x:c>
      <x:c r="C296" s="14" t="inlineStr">
        <x:is>
          <x:t xml:space="preserve">Skywalker Stories — Imperial era</x:t>
        </x:is>
      </x:c>
      <x:c r="D296" s="24" t="inlineStr">
        <x:is>
          <x:t xml:space="preserve">Star Wars: Darth Vader Bleeds His Kyber Crystal</x:t>
        </x:is>
      </x:c>
      <x:c r="E296" s="25" t="inlineStr">
        <x:is>
          <x:t xml:space="preserve"/>
        </x:is>
      </x:c>
      <x:c r="F296" s="26" t="inlineStr">
        <x:is>
          <x:t xml:space="preserve">Displayed as “10mo ago” on October 17, 2026</x:t>
        </x:is>
      </x:c>
      <x:c r="G296" s="24" t="inlineStr">
        <x:is>
          <x:t xml:space="preserve">Fan-made / non-canon</x:t>
        </x:is>
      </x:c>
      <x:c r="H296" s="24" t="inlineStr">
        <x:is>
          <x:t xml:space="preserve">AI fan film</x:t>
        </x:is>
      </x:c>
      <x:c r="I296" s="24" t="inlineStr">
        <x:is>
          <x:t xml:space="preserve">YouTube — Skywalker Stories</x:t>
        </x:is>
      </x:c>
      <x:c r="J296" s="27" t="e">
        <x:f>HYPERLINK("https://www.youtube.com/watch?v=7jpSHN6xz-g","Open")</x:f>
        <x:v>HYPERLINK is not implemented. linkLocation=https://www.youtube.com/watch?v=7jpSHN6xz-g, friendlyName=Open</x:v>
      </x:c>
      <x:c r="K296" s="24" t="inlineStr">
        <x:is>
          <x:t xml:space="preserve">Skywalker Stories. Immediately after Episode III, during Vader's earliest Imperial missions. Placement confidence: High.</x:t>
        </x:is>
      </x:c>
    </x:row>
    <x:row r="297" s="23" customFormat="1" ht="15.75" customHeight="1">
      <x:c r="A297" s="28" t="b">
        <x:v>0</x:v>
      </x:c>
      <x:c r="B297" s="21" t="inlineStr">
        <x:is>
          <x:t xml:space="preserve">SWS-008</x:t>
        </x:is>
      </x:c>
      <x:c r="C297" s="14" t="inlineStr">
        <x:is>
          <x:t xml:space="preserve">Skywalker Stories — Imperial era</x:t>
        </x:is>
      </x:c>
      <x:c r="D297" s="24" t="inlineStr">
        <x:is>
          <x:t xml:space="preserve">Star Wars: Darth Vader Bleeds His Kyber Crystal After Revenge of the Sith</x:t>
        </x:is>
      </x:c>
      <x:c r="E297" s="25" t="inlineStr">
        <x:is>
          <x:t xml:space="preserve"/>
        </x:is>
      </x:c>
      <x:c r="F297" s="26" t="inlineStr">
        <x:is>
          <x:t xml:space="preserve">Displayed as “6mo ago” on October 17, 2026</x:t>
        </x:is>
      </x:c>
      <x:c r="G297" s="24" t="inlineStr">
        <x:is>
          <x:t xml:space="preserve">Fan-made / non-canon</x:t>
        </x:is>
      </x:c>
      <x:c r="H297" s="24" t="inlineStr">
        <x:is>
          <x:t xml:space="preserve">AI fan film</x:t>
        </x:is>
      </x:c>
      <x:c r="I297" s="24" t="inlineStr">
        <x:is>
          <x:t xml:space="preserve">YouTube — Skywalker Stories</x:t>
        </x:is>
      </x:c>
      <x:c r="J297" s="27" t="e">
        <x:f>HYPERLINK("https://www.youtube.com/watch?v=7nEc6XcWl6Y","Open")</x:f>
        <x:v>HYPERLINK is not implemented. linkLocation=https://www.youtube.com/watch?v=7nEc6XcWl6Y, friendlyName=Open</x:v>
      </x:c>
      <x:c r="K297" s="24" t="inlineStr">
        <x:is>
          <x:t xml:space="preserve">Skywalker Stories. Immediately after Episode III, during Vader's earliest Imperial missions. Placement confidence: High.</x:t>
        </x:is>
      </x:c>
    </x:row>
    <x:row r="298" s="23" customFormat="1" ht="15.75" customHeight="1">
      <x:c r="A298" s="28" t="b">
        <x:v>0</x:v>
      </x:c>
      <x:c r="B298" s="21" t="inlineStr">
        <x:is>
          <x:t xml:space="preserve">SWS-029</x:t>
        </x:is>
      </x:c>
      <x:c r="C298" s="14" t="inlineStr">
        <x:is>
          <x:t xml:space="preserve">Skywalker Stories — Imperial era</x:t>
        </x:is>
      </x:c>
      <x:c r="D298" s="24" t="inlineStr">
        <x:is>
          <x:t xml:space="preserve">Star Wars: Darth Vader Bleeds His Kyber Crystal On Mustafar</x:t>
        </x:is>
      </x:c>
      <x:c r="E298" s="25" t="inlineStr">
        <x:is>
          <x:t xml:space="preserve"/>
        </x:is>
      </x:c>
      <x:c r="F298" s="26" t="inlineStr">
        <x:is>
          <x:t xml:space="preserve">Displayed as “1y ago” on October 17, 2026</x:t>
        </x:is>
      </x:c>
      <x:c r="G298" s="24" t="inlineStr">
        <x:is>
          <x:t xml:space="preserve">Fan-made / non-canon</x:t>
        </x:is>
      </x:c>
      <x:c r="H298" s="24" t="inlineStr">
        <x:is>
          <x:t xml:space="preserve">AI fan film</x:t>
        </x:is>
      </x:c>
      <x:c r="I298" s="24" t="inlineStr">
        <x:is>
          <x:t xml:space="preserve">YouTube — Skywalker Stories</x:t>
        </x:is>
      </x:c>
      <x:c r="J298" s="27" t="e">
        <x:f>HYPERLINK("https://www.youtube.com/watch?v=zhPw1MKUBpU","Open")</x:f>
        <x:v>HYPERLINK is not implemented. linkLocation=https://www.youtube.com/watch?v=zhPw1MKUBpU, friendlyName=Open</x:v>
      </x:c>
      <x:c r="K298" s="24" t="inlineStr">
        <x:is>
          <x:t xml:space="preserve">Skywalker Stories. Immediately after Episode III, during Vader's earliest Imperial missions. Placement confidence: High.</x:t>
        </x:is>
      </x:c>
    </x:row>
    <x:row r="299" s="23" customFormat="1" ht="15.75" customHeight="1">
      <x:c r="A299" s="28" t="b">
        <x:v>0</x:v>
      </x:c>
      <x:c r="B299" s="21" t="inlineStr">
        <x:is>
          <x:t xml:space="preserve">SWS-006</x:t>
        </x:is>
      </x:c>
      <x:c r="C299" s="14" t="inlineStr">
        <x:is>
          <x:t xml:space="preserve">Skywalker Stories — Imperial era</x:t>
        </x:is>
      </x:c>
      <x:c r="D299" s="24" t="inlineStr">
        <x:is>
          <x:t xml:space="preserve">Star Wars: Darth Vader Finds Ahsoka's Lightsaber</x:t>
        </x:is>
      </x:c>
      <x:c r="E299" s="25" t="inlineStr">
        <x:is>
          <x:t xml:space="preserve"/>
        </x:is>
      </x:c>
      <x:c r="F299" s="26" t="inlineStr">
        <x:is>
          <x:t xml:space="preserve">Displayed as “5mo ago” on October 17, 2026</x:t>
        </x:is>
      </x:c>
      <x:c r="G299" s="24" t="inlineStr">
        <x:is>
          <x:t xml:space="preserve">Fan-made / non-canon</x:t>
        </x:is>
      </x:c>
      <x:c r="H299" s="24" t="inlineStr">
        <x:is>
          <x:t xml:space="preserve">AI fan film</x:t>
        </x:is>
      </x:c>
      <x:c r="I299" s="24" t="inlineStr">
        <x:is>
          <x:t xml:space="preserve">YouTube — Skywalker Stories</x:t>
        </x:is>
      </x:c>
      <x:c r="J299" s="27" t="e">
        <x:f>HYPERLINK("https://www.youtube.com/watch?v=bfhraDeFixo","Open")</x:f>
        <x:v>HYPERLINK is not implemented. linkLocation=https://www.youtube.com/watch?v=bfhraDeFixo, friendlyName=Open</x:v>
      </x:c>
      <x:c r="K299" s="24" t="inlineStr">
        <x:is>
          <x:t xml:space="preserve">Skywalker Stories. Shortly after Order 66, echoing The Clone Wars finale. Placement confidence: High.</x:t>
        </x:is>
      </x:c>
    </x:row>
    <x:row r="300" s="23" customFormat="1" ht="15.75" customHeight="1">
      <x:c r="A300" s="28" t="b">
        <x:v>0</x:v>
      </x:c>
      <x:c r="B300" s="21" t="inlineStr">
        <x:is>
          <x:t xml:space="preserve">SWS-026</x:t>
        </x:is>
      </x:c>
      <x:c r="C300" s="14" t="inlineStr">
        <x:is>
          <x:t xml:space="preserve">Skywalker Stories — Imperial era</x:t>
        </x:is>
      </x:c>
      <x:c r="D300" s="24" t="inlineStr">
        <x:is>
          <x:t xml:space="preserve">Star Wars: Darth Vader’s Early Struggles Adapting To Palpatine</x:t>
        </x:is>
      </x:c>
      <x:c r="E300" s="25" t="inlineStr">
        <x:is>
          <x:t xml:space="preserve"/>
        </x:is>
      </x:c>
      <x:c r="F300" s="26" t="inlineStr">
        <x:is>
          <x:t xml:space="preserve">Displayed as “1y ago” on October 17, 2026</x:t>
        </x:is>
      </x:c>
      <x:c r="G300" s="24" t="inlineStr">
        <x:is>
          <x:t xml:space="preserve">Fan-made / non-canon</x:t>
        </x:is>
      </x:c>
      <x:c r="H300" s="24" t="inlineStr">
        <x:is>
          <x:t xml:space="preserve">AI fan film</x:t>
        </x:is>
      </x:c>
      <x:c r="I300" s="24" t="inlineStr">
        <x:is>
          <x:t xml:space="preserve">YouTube — Skywalker Stories</x:t>
        </x:is>
      </x:c>
      <x:c r="J300" s="27" t="e">
        <x:f>HYPERLINK("https://www.youtube.com/watch?v=V7Ry_VieZIQ","Open")</x:f>
        <x:v>HYPERLINK is not implemented. linkLocation=https://www.youtube.com/watch?v=V7Ry_VieZIQ, friendlyName=Open</x:v>
      </x:c>
      <x:c r="K300" s="24" t="inlineStr">
        <x:is>
          <x:t xml:space="preserve">Skywalker Stories. Early Imperial era, soon after Anakin becomes Darth Vader. Placement confidence: High.</x:t>
        </x:is>
      </x:c>
    </x:row>
    <x:row r="301" s="23" customFormat="1" ht="15.75" customHeight="1">
      <x:c r="A301" s="28" t="b">
        <x:v>0</x:v>
      </x:c>
      <x:c r="B301" s="21" t="inlineStr">
        <x:is>
          <x:t xml:space="preserve">SWS-064</x:t>
        </x:is>
      </x:c>
      <x:c r="C301" s="14" t="inlineStr">
        <x:is>
          <x:t xml:space="preserve">Skywalker Stories — Imperial era</x:t>
        </x:is>
      </x:c>
      <x:c r="D301" s="24" t="inlineStr">
        <x:is>
          <x:t xml:space="preserve">Tales of the Star Wars Galaxy: Darth Vader reflects on his new struggles to Darth Sidious</x:t>
        </x:is>
      </x:c>
      <x:c r="E301" s="25" t="inlineStr">
        <x:is>
          <x:t xml:space="preserve"/>
        </x:is>
      </x:c>
      <x:c r="F301" s="26" t="inlineStr">
        <x:is>
          <x:t xml:space="preserve">Displayed as “1y ago” on October 17, 2026</x:t>
        </x:is>
      </x:c>
      <x:c r="G301" s="24" t="inlineStr">
        <x:is>
          <x:t xml:space="preserve">Fan-made / non-canon</x:t>
        </x:is>
      </x:c>
      <x:c r="H301" s="24" t="inlineStr">
        <x:is>
          <x:t xml:space="preserve">AI fan film</x:t>
        </x:is>
      </x:c>
      <x:c r="I301" s="24" t="inlineStr">
        <x:is>
          <x:t xml:space="preserve">YouTube — Skywalker Stories</x:t>
        </x:is>
      </x:c>
      <x:c r="J301" s="27" t="e">
        <x:f>HYPERLINK("https://www.youtube.com/watch?v=du0JN8-G0Ks","Open")</x:f>
        <x:v>HYPERLINK is not implemented. linkLocation=https://www.youtube.com/watch?v=du0JN8-G0Ks, friendlyName=Open</x:v>
      </x:c>
      <x:c r="K301" s="24" t="inlineStr">
        <x:is>
          <x:t xml:space="preserve">Skywalker Stories. Early Imperial era, soon after Anakin becomes Darth Vader. Placement confidence: High.</x:t>
        </x:is>
      </x:c>
    </x:row>
    <x:row r="302" s="23" customFormat="1" ht="15.75" customHeight="1">
      <x:c r="A302" s="28" t="b">
        <x:v>0</x:v>
      </x:c>
      <x:c r="B302" s="21" t="inlineStr">
        <x:is>
          <x:t xml:space="preserve">SWS-087</x:t>
        </x:is>
      </x:c>
      <x:c r="C302" s="14" t="inlineStr">
        <x:is>
          <x:t xml:space="preserve">Skywalker Stories — Imperial era</x:t>
        </x:is>
      </x:c>
      <x:c r="D302" s="24" t="inlineStr">
        <x:is>
          <x:t xml:space="preserve">Tales of the Star Wars Galaxy: Darth Sidious talks to Darth Plagueis</x:t>
        </x:is>
      </x:c>
      <x:c r="E302" s="25" t="inlineStr">
        <x:is>
          <x:t xml:space="preserve"/>
        </x:is>
      </x:c>
      <x:c r="F302" s="26" t="inlineStr">
        <x:is>
          <x:t xml:space="preserve">November 25, 2024</x:t>
        </x:is>
      </x:c>
      <x:c r="G302" s="24" t="inlineStr">
        <x:is>
          <x:t xml:space="preserve">Fan-made / non-canon</x:t>
        </x:is>
      </x:c>
      <x:c r="H302" s="24" t="inlineStr">
        <x:is>
          <x:t xml:space="preserve">AI fan film</x:t>
        </x:is>
      </x:c>
      <x:c r="I302" s="24" t="inlineStr">
        <x:is>
          <x:t xml:space="preserve">YouTube — Skywalker Stories</x:t>
        </x:is>
      </x:c>
      <x:c r="J302" s="27" t="e">
        <x:f>HYPERLINK("https://www.youtube.com/watch?v=retpf1RKl5g","Open")</x:f>
        <x:v>HYPERLINK is not implemented. linkLocation=https://www.youtube.com/watch?v=retpf1RKl5g, friendlyName=Open</x:v>
      </x:c>
      <x:c r="K302" s="24" t="inlineStr">
        <x:is>
          <x:t xml:space="preserve">Skywalker Stories. Early Imperial era: Sidious confronts Plagueis's spirit or memory after creating Vader. Placement confidence: Medium.</x:t>
        </x:is>
      </x:c>
    </x:row>
    <x:row r="303" s="23" customFormat="1" ht="15.75" customHeight="1">
      <x:c r="A303" s="28" t="b">
        <x:v>0</x:v>
      </x:c>
      <x:c r="B303" s="21" t="inlineStr">
        <x:is>
          <x:t xml:space="preserve">SWS-077</x:t>
        </x:is>
      </x:c>
      <x:c r="C303" s="14" t="inlineStr">
        <x:is>
          <x:t xml:space="preserve">Skywalker Stories — Imperial era</x:t>
        </x:is>
      </x:c>
      <x:c r="D303" s="24" t="inlineStr">
        <x:is>
          <x:t xml:space="preserve">Tales of the Star Wars Galaxy: Count Dooku haunts Darth Vader</x:t>
        </x:is>
      </x:c>
      <x:c r="E303" s="25" t="inlineStr">
        <x:is>
          <x:t xml:space="preserve"/>
        </x:is>
      </x:c>
      <x:c r="F303" s="26" t="inlineStr">
        <x:is>
          <x:t xml:space="preserve">Displayed as “1y ago” on October 17, 2026</x:t>
        </x:is>
      </x:c>
      <x:c r="G303" s="24" t="inlineStr">
        <x:is>
          <x:t xml:space="preserve">Fan-made / non-canon</x:t>
        </x:is>
      </x:c>
      <x:c r="H303" s="24" t="inlineStr">
        <x:is>
          <x:t xml:space="preserve">AI fan film</x:t>
        </x:is>
      </x:c>
      <x:c r="I303" s="24" t="inlineStr">
        <x:is>
          <x:t xml:space="preserve">YouTube — Skywalker Stories</x:t>
        </x:is>
      </x:c>
      <x:c r="J303" s="27" t="e">
        <x:f>HYPERLINK("https://www.youtube.com/watch?v=bL3EPDvptFA","Open")</x:f>
        <x:v>HYPERLINK is not implemented. linkLocation=https://www.youtube.com/watch?v=bL3EPDvptFA, friendlyName=Open</x:v>
      </x:c>
      <x:c r="K303" s="24" t="inlineStr">
        <x:is>
          <x:t xml:space="preserve">Skywalker Stories. Imperial-era supernatural encounter; fan-made and chronologically approximate. Placement confidence: Medium.</x:t>
        </x:is>
      </x:c>
    </x:row>
    <x:row r="304" s="23" customFormat="1" ht="15.75" customHeight="1">
      <x:c r="A304" s="28" t="b">
        <x:v>0</x:v>
      </x:c>
      <x:c r="B304" s="21" t="inlineStr">
        <x:is>
          <x:t xml:space="preserve">SWS-061</x:t>
        </x:is>
      </x:c>
      <x:c r="C304" s="14" t="inlineStr">
        <x:is>
          <x:t xml:space="preserve">Skywalker Stories — Imperial era</x:t>
        </x:is>
      </x:c>
      <x:c r="D304" s="24" t="inlineStr">
        <x:is>
          <x:t xml:space="preserve">Tales of the Star Wars Galaxy: Darth Plagueis talks to Darth Vader about Sidious &amp; Vader's Prophecy</x:t>
        </x:is>
      </x:c>
      <x:c r="E304" s="25" t="inlineStr">
        <x:is>
          <x:t xml:space="preserve"/>
        </x:is>
      </x:c>
      <x:c r="F304" s="26" t="inlineStr">
        <x:is>
          <x:t xml:space="preserve">Displayed as “1y ago” on October 17, 2026</x:t>
        </x:is>
      </x:c>
      <x:c r="G304" s="24" t="inlineStr">
        <x:is>
          <x:t xml:space="preserve">Fan-made / non-canon</x:t>
        </x:is>
      </x:c>
      <x:c r="H304" s="24" t="inlineStr">
        <x:is>
          <x:t xml:space="preserve">AI fan film</x:t>
        </x:is>
      </x:c>
      <x:c r="I304" s="24" t="inlineStr">
        <x:is>
          <x:t xml:space="preserve">YouTube — Skywalker Stories</x:t>
        </x:is>
      </x:c>
      <x:c r="J304" s="27" t="e">
        <x:f>HYPERLINK("https://www.youtube.com/watch?v=anUearSlXUI","Open")</x:f>
        <x:v>HYPERLINK is not implemented. linkLocation=https://www.youtube.com/watch?v=anUearSlXUI, friendlyName=Open</x:v>
      </x:c>
      <x:c r="K304" s="24" t="inlineStr">
        <x:is>
          <x:t xml:space="preserve">Skywalker Stories. Imperial-era supernatural encounter; fan-made and chronologically approximate. Placement confidence: Medium.</x:t>
        </x:is>
      </x:c>
    </x:row>
    <x:row r="305" s="23" customFormat="1" ht="15.75" customHeight="1">
      <x:c r="A305" s="28" t="b">
        <x:v>0</x:v>
      </x:c>
      <x:c r="B305" s="21" t="inlineStr">
        <x:is>
          <x:t xml:space="preserve">SWS-083</x:t>
        </x:is>
      </x:c>
      <x:c r="C305" s="14" t="inlineStr">
        <x:is>
          <x:t xml:space="preserve">Skywalker Stories — Imperial era</x:t>
        </x:is>
      </x:c>
      <x:c r="D305" s="24" t="inlineStr">
        <x:is>
          <x:t xml:space="preserve">Tales of the Star Wars Galaxy: Darth Vader encounters Mace Windu at the Jedi Temple</x:t>
        </x:is>
      </x:c>
      <x:c r="E305" s="25" t="inlineStr">
        <x:is>
          <x:t xml:space="preserve"/>
        </x:is>
      </x:c>
      <x:c r="F305" s="26" t="inlineStr">
        <x:is>
          <x:t xml:space="preserve">Displayed as “1y ago” on October 17, 2026</x:t>
        </x:is>
      </x:c>
      <x:c r="G305" s="24" t="inlineStr">
        <x:is>
          <x:t xml:space="preserve">Fan-made / non-canon</x:t>
        </x:is>
      </x:c>
      <x:c r="H305" s="24" t="inlineStr">
        <x:is>
          <x:t xml:space="preserve">AI fan film</x:t>
        </x:is>
      </x:c>
      <x:c r="I305" s="24" t="inlineStr">
        <x:is>
          <x:t xml:space="preserve">YouTube — Skywalker Stories</x:t>
        </x:is>
      </x:c>
      <x:c r="J305" s="27" t="e">
        <x:f>HYPERLINK("https://www.youtube.com/watch?v=uV3C6v6zpN0","Open")</x:f>
        <x:v>HYPERLINK is not implemented. linkLocation=https://www.youtube.com/watch?v=uV3C6v6zpN0, friendlyName=Open</x:v>
      </x:c>
      <x:c r="K305" s="24" t="inlineStr">
        <x:is>
          <x:t xml:space="preserve">Skywalker Stories. Alternate early-Imperial encounter after Order 66; Mace Windu's survival is non-canon. Placement confidence: Low.</x:t>
        </x:is>
      </x:c>
    </x:row>
    <x:row r="306" s="23" customFormat="1" ht="15.75" customHeight="1">
      <x:c r="A306" s="28" t="b">
        <x:v>0</x:v>
      </x:c>
      <x:c r="B306" s="21" t="inlineStr">
        <x:is>
          <x:t xml:space="preserve">SWS-046</x:t>
        </x:is>
      </x:c>
      <x:c r="C306" s="14" t="inlineStr">
        <x:is>
          <x:t xml:space="preserve">Skywalker Stories — Imperial era</x:t>
        </x:is>
      </x:c>
      <x:c r="D306" s="24" t="inlineStr">
        <x:is>
          <x:t xml:space="preserve">Star Wars: Darth Vader Haunted By His Past</x:t>
        </x:is>
      </x:c>
      <x:c r="E306" s="25" t="inlineStr">
        <x:is>
          <x:t xml:space="preserve"/>
        </x:is>
      </x:c>
      <x:c r="F306" s="26" t="inlineStr">
        <x:is>
          <x:t xml:space="preserve">Displayed as “1y ago” on October 17, 2026</x:t>
        </x:is>
      </x:c>
      <x:c r="G306" s="24" t="inlineStr">
        <x:is>
          <x:t xml:space="preserve">Fan-made / non-canon</x:t>
        </x:is>
      </x:c>
      <x:c r="H306" s="24" t="inlineStr">
        <x:is>
          <x:t xml:space="preserve">AI fan film</x:t>
        </x:is>
      </x:c>
      <x:c r="I306" s="24" t="inlineStr">
        <x:is>
          <x:t xml:space="preserve">YouTube — Skywalker Stories</x:t>
        </x:is>
      </x:c>
      <x:c r="J306" s="27" t="e">
        <x:f>HYPERLINK("https://www.youtube.com/watch?v=Sx-VIz8Zwq8","Open")</x:f>
        <x:v>HYPERLINK is not implemented. linkLocation=https://www.youtube.com/watch?v=Sx-VIz8Zwq8, friendlyName=Open</x:v>
      </x:c>
      <x:c r="K306" s="24" t="inlineStr">
        <x:is>
          <x:t xml:space="preserve">Skywalker Stories. Imperial era; exact point in Vader's life is not stated. Placement confidence: Low.</x:t>
        </x:is>
      </x:c>
    </x:row>
    <x:row r="307" s="23" customFormat="1" ht="15.75" customHeight="1">
      <x:c r="A307" s="28" t="b">
        <x:v>0</x:v>
      </x:c>
      <x:c r="B307" s="21" t="inlineStr">
        <x:is>
          <x:t xml:space="preserve">SWS-060</x:t>
        </x:is>
      </x:c>
      <x:c r="C307" s="14" t="inlineStr">
        <x:is>
          <x:t xml:space="preserve">Skywalker Stories — Imperial era</x:t>
        </x:is>
      </x:c>
      <x:c r="D307" s="24" t="inlineStr">
        <x:is>
          <x:t xml:space="preserve">Tales of the Star Wars Galaxy: Darth Vader visits Padme's tomb and is haunted by his past</x:t>
        </x:is>
      </x:c>
      <x:c r="E307" s="25" t="inlineStr">
        <x:is>
          <x:t xml:space="preserve"/>
        </x:is>
      </x:c>
      <x:c r="F307" s="26" t="inlineStr">
        <x:is>
          <x:t xml:space="preserve">Displayed as “1y ago” on October 17, 2026</x:t>
        </x:is>
      </x:c>
      <x:c r="G307" s="24" t="inlineStr">
        <x:is>
          <x:t xml:space="preserve">Fan-made / non-canon</x:t>
        </x:is>
      </x:c>
      <x:c r="H307" s="24" t="inlineStr">
        <x:is>
          <x:t xml:space="preserve">AI fan film</x:t>
        </x:is>
      </x:c>
      <x:c r="I307" s="24" t="inlineStr">
        <x:is>
          <x:t xml:space="preserve">YouTube — Skywalker Stories</x:t>
        </x:is>
      </x:c>
      <x:c r="J307" s="27" t="e">
        <x:f>HYPERLINK("https://www.youtube.com/watch?v=-5XZb67aLo0","Open")</x:f>
        <x:v>HYPERLINK is not implemented. linkLocation=https://www.youtube.com/watch?v=-5XZb67aLo0, friendlyName=Open</x:v>
      </x:c>
      <x:c r="K307" s="24" t="inlineStr">
        <x:is>
          <x:t xml:space="preserve">Skywalker Stories. Imperial era; exact point in Vader's life is not stated. Placement confidence: Low.</x:t>
        </x:is>
      </x:c>
    </x:row>
    <x:row r="308" s="23" customFormat="1" ht="15.75" customHeight="1">
      <x:c r="A308" s="28" t="b">
        <x:v>0</x:v>
      </x:c>
      <x:c r="B308" s="21" t="inlineStr">
        <x:is>
          <x:t xml:space="preserve">SWS-039</x:t>
        </x:is>
      </x:c>
      <x:c r="C308" s="14" t="inlineStr">
        <x:is>
          <x:t xml:space="preserve">Skywalker Stories — Imperial era</x:t>
        </x:is>
      </x:c>
      <x:c r="D308" s="24" t="inlineStr">
        <x:is>
          <x:t xml:space="preserve">Star Wars: Darth Vader and Thrawn Work Together</x:t>
        </x:is>
      </x:c>
      <x:c r="E308" s="25" t="inlineStr">
        <x:is>
          <x:t xml:space="preserve"/>
        </x:is>
      </x:c>
      <x:c r="F308" s="26" t="inlineStr">
        <x:is>
          <x:t xml:space="preserve">Displayed as “1y ago” on October 17, 2026</x:t>
        </x:is>
      </x:c>
      <x:c r="G308" s="24" t="inlineStr">
        <x:is>
          <x:t xml:space="preserve">Fan-made / non-canon</x:t>
        </x:is>
      </x:c>
      <x:c r="H308" s="24" t="inlineStr">
        <x:is>
          <x:t xml:space="preserve">AI fan film</x:t>
        </x:is>
      </x:c>
      <x:c r="I308" s="24" t="inlineStr">
        <x:is>
          <x:t xml:space="preserve">YouTube — Skywalker Stories</x:t>
        </x:is>
      </x:c>
      <x:c r="J308" s="27" t="e">
        <x:f>HYPERLINK("https://www.youtube.com/watch?v=g1O95mkSH1Y","Open")</x:f>
        <x:v>HYPERLINK is not implemented. linkLocation=https://www.youtube.com/watch?v=g1O95mkSH1Y, friendlyName=Open</x:v>
      </x:c>
      <x:c r="K308" s="24" t="inlineStr">
        <x:is>
          <x:t xml:space="preserve">Skywalker Stories. Imperial era, before the original trilogy; Thrawn/Vader collaboration. Placement confidence: Medium.</x:t>
        </x:is>
      </x:c>
    </x:row>
    <x:row r="309" s="23" customFormat="1" ht="15.75" customHeight="1">
      <x:c r="A309" s="28" t="b">
        <x:v>0</x:v>
      </x:c>
      <x:c r="B309" s="21" t="inlineStr">
        <x:is>
          <x:t xml:space="preserve">SWS-107</x:t>
        </x:is>
      </x:c>
      <x:c r="C309" s="14" t="inlineStr">
        <x:is>
          <x:t xml:space="preserve">Skywalker Stories — Imperial era</x:t>
        </x:is>
      </x:c>
      <x:c r="D309" s="24" t="inlineStr">
        <x:is>
          <x:t xml:space="preserve">Tales of the Sith: Darth Maul encounters Darth Vader</x:t>
        </x:is>
      </x:c>
      <x:c r="E309" s="25" t="inlineStr">
        <x:is>
          <x:t xml:space="preserve"/>
        </x:is>
      </x:c>
      <x:c r="F309" s="26" t="inlineStr">
        <x:is>
          <x:t xml:space="preserve">Displayed as “2y ago” on October 17, 2026</x:t>
        </x:is>
      </x:c>
      <x:c r="G309" s="24" t="inlineStr">
        <x:is>
          <x:t xml:space="preserve">Fan-made / non-canon</x:t>
        </x:is>
      </x:c>
      <x:c r="H309" s="24" t="inlineStr">
        <x:is>
          <x:t xml:space="preserve">AI fan film</x:t>
        </x:is>
      </x:c>
      <x:c r="I309" s="24" t="inlineStr">
        <x:is>
          <x:t xml:space="preserve">YouTube — Skywalker Stories</x:t>
        </x:is>
      </x:c>
      <x:c r="J309" s="27" t="e">
        <x:f>HYPERLINK("https://www.youtube.com/watch?v=7fB2aCxcmiU","Open")</x:f>
        <x:v>HYPERLINK is not implemented. linkLocation=https://www.youtube.com/watch?v=7fB2aCxcmiU, friendlyName=Open</x:v>
      </x:c>
      <x:c r="K309" s="24" t="inlineStr">
        <x:is>
          <x:t xml:space="preserve">Skywalker Stories. Alternate Imperial-era confrontation; exact year is unstated. Placement confidence: Low.</x:t>
        </x:is>
      </x:c>
    </x:row>
    <x:row r="310" s="23" customFormat="1" ht="15.75" customHeight="1">
      <x:c r="A310" s="28" t="b">
        <x:v>0</x:v>
      </x:c>
      <x:c r="B310" s="21" t="inlineStr">
        <x:is>
          <x:t xml:space="preserve">SWS-086</x:t>
        </x:is>
      </x:c>
      <x:c r="C310" s="14" t="inlineStr">
        <x:is>
          <x:t xml:space="preserve">Skywalker Stories — Imperial era</x:t>
        </x:is>
      </x:c>
      <x:c r="D310" s="24" t="inlineStr">
        <x:is>
          <x:t xml:space="preserve">Tales of the Star Wars Galaxy: Darth Vader gets visited by Qui Gon Jinn</x:t>
        </x:is>
      </x:c>
      <x:c r="E310" s="25" t="inlineStr">
        <x:is>
          <x:t xml:space="preserve"/>
        </x:is>
      </x:c>
      <x:c r="F310" s="26" t="inlineStr">
        <x:is>
          <x:t xml:space="preserve">Displayed as “1y ago” on October 17, 2026</x:t>
        </x:is>
      </x:c>
      <x:c r="G310" s="24" t="inlineStr">
        <x:is>
          <x:t xml:space="preserve">Fan-made / non-canon</x:t>
        </x:is>
      </x:c>
      <x:c r="H310" s="24" t="inlineStr">
        <x:is>
          <x:t xml:space="preserve">AI fan film</x:t>
        </x:is>
      </x:c>
      <x:c r="I310" s="24" t="inlineStr">
        <x:is>
          <x:t xml:space="preserve">YouTube — Skywalker Stories</x:t>
        </x:is>
      </x:c>
      <x:c r="J310" s="27" t="e">
        <x:f>HYPERLINK("https://www.youtube.com/watch?v=IYV3VJfOnQo","Open")</x:f>
        <x:v>HYPERLINK is not implemented. linkLocation=https://www.youtube.com/watch?v=IYV3VJfOnQo, friendlyName=Open</x:v>
      </x:c>
      <x:c r="K310" s="24" t="inlineStr">
        <x:is>
          <x:t xml:space="preserve">Skywalker Stories. Imperial-era Force-ghost encounter; exact year is unstated. Placement confidence: Low.</x:t>
        </x:is>
      </x:c>
    </x:row>
    <x:row r="311" s="23" customFormat="1" ht="15.75" customHeight="1">
      <x:c r="A311" s="28" t="b">
        <x:v>0</x:v>
      </x:c>
      <x:c r="B311" s="21" t="inlineStr">
        <x:is>
          <x:t xml:space="preserve">SWS-057</x:t>
        </x:is>
      </x:c>
      <x:c r="C311" s="14" t="inlineStr">
        <x:is>
          <x:t xml:space="preserve">Skywalker Stories — Imperial era</x:t>
        </x:is>
      </x:c>
      <x:c r="D311" s="24" t="inlineStr">
        <x:is>
          <x:t xml:space="preserve">Tales of the Star Wars Galaxy: Darth Vader talks to Palpatine after killing Ahsoka</x:t>
        </x:is>
      </x:c>
      <x:c r="E311" s="25" t="inlineStr">
        <x:is>
          <x:t xml:space="preserve"/>
        </x:is>
      </x:c>
      <x:c r="F311" s="26" t="inlineStr">
        <x:is>
          <x:t xml:space="preserve">Displayed as “1y ago” on October 17, 2026</x:t>
        </x:is>
      </x:c>
      <x:c r="G311" s="24" t="inlineStr">
        <x:is>
          <x:t xml:space="preserve">Fan-made / non-canon</x:t>
        </x:is>
      </x:c>
      <x:c r="H311" s="24" t="inlineStr">
        <x:is>
          <x:t xml:space="preserve">AI fan film</x:t>
        </x:is>
      </x:c>
      <x:c r="I311" s="24" t="inlineStr">
        <x:is>
          <x:t xml:space="preserve">YouTube — Skywalker Stories</x:t>
        </x:is>
      </x:c>
      <x:c r="J311" s="27" t="e">
        <x:f>HYPERLINK("https://www.youtube.com/watch?v=uVGtjNlTxlI","Open")</x:f>
        <x:v>HYPERLINK is not implemented. linkLocation=https://www.youtube.com/watch?v=uVGtjNlTxlI, friendlyName=Open</x:v>
      </x:c>
      <x:c r="K311" s="24" t="inlineStr">
        <x:is>
          <x:t xml:space="preserve">Skywalker Stories. Alternate outcome to Vader and Ahsoka's Malachor confrontation in Rebels. Placement confidence: Medium.</x:t>
        </x:is>
      </x:c>
    </x:row>
    <x:row r="312" s="23" customFormat="1" ht="15.75" customHeight="1">
      <x:c r="A312" s="28" t="b">
        <x:v>0</x:v>
      </x:c>
      <x:c r="B312" s="21" t="inlineStr">
        <x:is>
          <x:t xml:space="preserve">SWS-005</x:t>
        </x:is>
      </x:c>
      <x:c r="C312" s="14" t="inlineStr">
        <x:is>
          <x:t xml:space="preserve">Skywalker Stories — Imperial era</x:t>
        </x:is>
      </x:c>
      <x:c r="D312" s="24" t="inlineStr">
        <x:is>
          <x:t xml:space="preserve">Star Wars: The Death of Darth Maul</x:t>
        </x:is>
      </x:c>
      <x:c r="E312" s="25" t="inlineStr">
        <x:is>
          <x:t xml:space="preserve"/>
        </x:is>
      </x:c>
      <x:c r="F312" s="26" t="inlineStr">
        <x:is>
          <x:t xml:space="preserve">Displayed as “4mo ago” on October 17, 2026</x:t>
        </x:is>
      </x:c>
      <x:c r="G312" s="24" t="inlineStr">
        <x:is>
          <x:t xml:space="preserve">Fan-made / non-canon</x:t>
        </x:is>
      </x:c>
      <x:c r="H312" s="24" t="inlineStr">
        <x:is>
          <x:t xml:space="preserve">AI fan film</x:t>
        </x:is>
      </x:c>
      <x:c r="I312" s="24" t="inlineStr">
        <x:is>
          <x:t xml:space="preserve">YouTube — Skywalker Stories</x:t>
        </x:is>
      </x:c>
      <x:c r="J312" s="27" t="e">
        <x:f>HYPERLINK("https://www.youtube.com/watch?v=qDFfrsb2I_A","Open")</x:f>
        <x:v>HYPERLINK is not implemented. linkLocation=https://www.youtube.com/watch?v=qDFfrsb2I_A, friendlyName=Open</x:v>
      </x:c>
      <x:c r="K312" s="24" t="inlineStr">
        <x:is>
          <x:t xml:space="preserve">Skywalker Stories. Around Rebels Season 3, shortly before A New Hope. Placement confidence: High.</x:t>
        </x:is>
      </x:c>
    </x:row>
    <x:row r="313" s="23" customFormat="1" ht="15.75" customHeight="1">
      <x:c r="A313" s="28" t="b">
        <x:v>0</x:v>
      </x:c>
      <x:c r="B313" s="21" t="inlineStr">
        <x:is>
          <x:t xml:space="preserve">SWS-044</x:t>
        </x:is>
      </x:c>
      <x:c r="C313" s="14" t="inlineStr">
        <x:is>
          <x:t xml:space="preserve">Skywalker Stories — Galactic Civil War</x:t>
        </x:is>
      </x:c>
      <x:c r="D313" s="24" t="inlineStr">
        <x:is>
          <x:t xml:space="preserve">Star Wars: Emperor Palpatine Dissolves the Senate</x:t>
        </x:is>
      </x:c>
      <x:c r="E313" s="25" t="inlineStr">
        <x:is>
          <x:t xml:space="preserve"/>
        </x:is>
      </x:c>
      <x:c r="F313" s="26" t="inlineStr">
        <x:is>
          <x:t xml:space="preserve">Displayed as “1y ago” on October 17, 2026</x:t>
        </x:is>
      </x:c>
      <x:c r="G313" s="24" t="inlineStr">
        <x:is>
          <x:t xml:space="preserve">Fan-made / non-canon</x:t>
        </x:is>
      </x:c>
      <x:c r="H313" s="24" t="inlineStr">
        <x:is>
          <x:t xml:space="preserve">AI fan film</x:t>
        </x:is>
      </x:c>
      <x:c r="I313" s="24" t="inlineStr">
        <x:is>
          <x:t xml:space="preserve">YouTube — Skywalker Stories</x:t>
        </x:is>
      </x:c>
      <x:c r="J313" s="27" t="e">
        <x:f>HYPERLINK("https://www.youtube.com/watch?v=wX0v-nPngvQ","Open")</x:f>
        <x:v>HYPERLINK is not implemented. linkLocation=https://www.youtube.com/watch?v=wX0v-nPngvQ, friendlyName=Open</x:v>
      </x:c>
      <x:c r="K313" s="24" t="inlineStr">
        <x:is>
          <x:t xml:space="preserve">Skywalker Stories. Alongside Episode IV: A New Hope, when the Imperial Senate is dissolved. Placement confidence: High.</x:t>
        </x:is>
      </x:c>
    </x:row>
    <x:row r="314" s="23" customFormat="1" ht="15.75" customHeight="1">
      <x:c r="A314" s="28" t="b">
        <x:v>0</x:v>
      </x:c>
      <x:c r="B314" s="21" t="inlineStr">
        <x:is>
          <x:t xml:space="preserve">SWS-110</x:t>
        </x:is>
      </x:c>
      <x:c r="C314" s="14" t="inlineStr">
        <x:is>
          <x:t xml:space="preserve">Skywalker Stories — Galactic Civil War</x:t>
        </x:is>
      </x:c>
      <x:c r="D314" s="24" t="inlineStr">
        <x:is>
          <x:t xml:space="preserve">Star Wars Deepfake - Ewan McGregor as Ben Kenobi in A New Hope</x:t>
        </x:is>
      </x:c>
      <x:c r="E314" s="25" t="inlineStr">
        <x:is>
          <x:t xml:space="preserve"/>
        </x:is>
      </x:c>
      <x:c r="F314" s="26" t="inlineStr">
        <x:is>
          <x:t xml:space="preserve">Displayed as “2y ago” on October 17, 2026</x:t>
        </x:is>
      </x:c>
      <x:c r="G314" s="24" t="inlineStr">
        <x:is>
          <x:t xml:space="preserve">Fan-made / non-canon</x:t>
        </x:is>
      </x:c>
      <x:c r="H314" s="24" t="inlineStr">
        <x:is>
          <x:t xml:space="preserve">AI fan film</x:t>
        </x:is>
      </x:c>
      <x:c r="I314" s="24" t="inlineStr">
        <x:is>
          <x:t xml:space="preserve">YouTube — Skywalker Stories</x:t>
        </x:is>
      </x:c>
      <x:c r="J314" s="27" t="e">
        <x:f>HYPERLINK("https://www.youtube.com/watch?v=KknCPAcGKxc","Open")</x:f>
        <x:v>HYPERLINK is not implemented. linkLocation=https://www.youtube.com/watch?v=KknCPAcGKxc, friendlyName=Open</x:v>
      </x:c>
      <x:c r="K314" s="24" t="inlineStr">
        <x:is>
          <x:t xml:space="preserve">Skywalker Stories. Visual re-edit alongside Episode IV: A New Hope; no new story continuity. Placement confidence: High.</x:t>
        </x:is>
      </x:c>
    </x:row>
    <x:row r="315" s="23" customFormat="1" ht="15.75" customHeight="1">
      <x:c r="A315" s="28" t="b">
        <x:v>0</x:v>
      </x:c>
      <x:c r="B315" s="21" t="inlineStr">
        <x:is>
          <x:t xml:space="preserve">SWS-043</x:t>
        </x:is>
      </x:c>
      <x:c r="C315" s="14" t="inlineStr">
        <x:is>
          <x:t xml:space="preserve">Skywalker Stories — Galactic Civil War</x:t>
        </x:is>
      </x:c>
      <x:c r="D315" s="24" t="inlineStr">
        <x:is>
          <x:t xml:space="preserve">Star Wars: Darth Vader Learns About Luke Skywalker</x:t>
        </x:is>
      </x:c>
      <x:c r="E315" s="25" t="inlineStr">
        <x:is>
          <x:t xml:space="preserve"/>
        </x:is>
      </x:c>
      <x:c r="F315" s="26" t="inlineStr">
        <x:is>
          <x:t xml:space="preserve">Displayed as “1y ago” on October 17, 2026</x:t>
        </x:is>
      </x:c>
      <x:c r="G315" s="24" t="inlineStr">
        <x:is>
          <x:t xml:space="preserve">Fan-made / non-canon</x:t>
        </x:is>
      </x:c>
      <x:c r="H315" s="24" t="inlineStr">
        <x:is>
          <x:t xml:space="preserve">AI fan film</x:t>
        </x:is>
      </x:c>
      <x:c r="I315" s="24" t="inlineStr">
        <x:is>
          <x:t xml:space="preserve">YouTube — Skywalker Stories</x:t>
        </x:is>
      </x:c>
      <x:c r="J315" s="27" t="e">
        <x:f>HYPERLINK("https://www.youtube.com/watch?v=Cb52tiDHL0o","Open")</x:f>
        <x:v>HYPERLINK is not implemented. linkLocation=https://www.youtube.com/watch?v=Cb52tiDHL0o, friendlyName=Open</x:v>
      </x:c>
      <x:c r="K315" s="24" t="inlineStr">
        <x:is>
          <x:t xml:space="preserve">Skywalker Stories. Between Episodes IV and V, after Vader learns Luke's identity. Placement confidence: High. Separate upload sharing a title with another channel video.</x:t>
        </x:is>
      </x:c>
    </x:row>
    <x:row r="316" s="23" customFormat="1" ht="15.75" customHeight="1">
      <x:c r="A316" s="28" t="b">
        <x:v>0</x:v>
      </x:c>
      <x:c r="B316" s="21" t="inlineStr">
        <x:is>
          <x:t xml:space="preserve">SWS-009</x:t>
        </x:is>
      </x:c>
      <x:c r="C316" s="14" t="inlineStr">
        <x:is>
          <x:t xml:space="preserve">Skywalker Stories — Galactic Civil War</x:t>
        </x:is>
      </x:c>
      <x:c r="D316" s="24" t="inlineStr">
        <x:is>
          <x:t xml:space="preserve">Star Wars: Darth Vader Learns About Luke Skywalker</x:t>
        </x:is>
      </x:c>
      <x:c r="E316" s="25" t="inlineStr">
        <x:is>
          <x:t xml:space="preserve"/>
        </x:is>
      </x:c>
      <x:c r="F316" s="26" t="inlineStr">
        <x:is>
          <x:t xml:space="preserve">Displayed as “7mo ago” on October 17, 2026</x:t>
        </x:is>
      </x:c>
      <x:c r="G316" s="24" t="inlineStr">
        <x:is>
          <x:t xml:space="preserve">Fan-made / non-canon</x:t>
        </x:is>
      </x:c>
      <x:c r="H316" s="24" t="inlineStr">
        <x:is>
          <x:t xml:space="preserve">AI fan film</x:t>
        </x:is>
      </x:c>
      <x:c r="I316" s="24" t="inlineStr">
        <x:is>
          <x:t xml:space="preserve">YouTube — Skywalker Stories</x:t>
        </x:is>
      </x:c>
      <x:c r="J316" s="27" t="e">
        <x:f>HYPERLINK("https://www.youtube.com/watch?v=L3m2BQ6ob7I","Open")</x:f>
        <x:v>HYPERLINK is not implemented. linkLocation=https://www.youtube.com/watch?v=L3m2BQ6ob7I, friendlyName=Open</x:v>
      </x:c>
      <x:c r="K316" s="24" t="inlineStr">
        <x:is>
          <x:t xml:space="preserve">Skywalker Stories. Between Episodes IV and V, after Vader learns Luke's identity. Placement confidence: High. Separate upload sharing a title with another channel video.</x:t>
        </x:is>
      </x:c>
    </x:row>
    <x:row r="317" s="23" customFormat="1" ht="15.75" customHeight="1">
      <x:c r="A317" s="28" t="b">
        <x:v>0</x:v>
      </x:c>
      <x:c r="B317" s="21" t="inlineStr">
        <x:is>
          <x:t xml:space="preserve">SWS-085</x:t>
        </x:is>
      </x:c>
      <x:c r="C317" s="14" t="inlineStr">
        <x:is>
          <x:t xml:space="preserve">Skywalker Stories — Galactic Civil War</x:t>
        </x:is>
      </x:c>
      <x:c r="D317" s="24" t="inlineStr">
        <x:is>
          <x:t xml:space="preserve">Tales of the Star Wars Galaxy: Darth Vader Learns He Has A Son</x:t>
        </x:is>
      </x:c>
      <x:c r="E317" s="25" t="inlineStr">
        <x:is>
          <x:t xml:space="preserve"/>
        </x:is>
      </x:c>
      <x:c r="F317" s="26" t="inlineStr">
        <x:is>
          <x:t xml:space="preserve">Displayed as “1y ago” on October 17, 2026</x:t>
        </x:is>
      </x:c>
      <x:c r="G317" s="24" t="inlineStr">
        <x:is>
          <x:t xml:space="preserve">Fan-made / non-canon</x:t>
        </x:is>
      </x:c>
      <x:c r="H317" s="24" t="inlineStr">
        <x:is>
          <x:t xml:space="preserve">AI fan film</x:t>
        </x:is>
      </x:c>
      <x:c r="I317" s="24" t="inlineStr">
        <x:is>
          <x:t xml:space="preserve">YouTube — Skywalker Stories</x:t>
        </x:is>
      </x:c>
      <x:c r="J317" s="27" t="e">
        <x:f>HYPERLINK("https://www.youtube.com/watch?v=Qwz8KpGTztk","Open")</x:f>
        <x:v>HYPERLINK is not implemented. linkLocation=https://www.youtube.com/watch?v=Qwz8KpGTztk, friendlyName=Open</x:v>
      </x:c>
      <x:c r="K317" s="24" t="inlineStr">
        <x:is>
          <x:t xml:space="preserve">Skywalker Stories. Between Episodes IV and V, after Vader learns Luke's identity. Placement confidence: High.</x:t>
        </x:is>
      </x:c>
    </x:row>
    <x:row r="318" s="23" customFormat="1" ht="15.75" customHeight="1">
      <x:c r="A318" s="28" t="b">
        <x:v>0</x:v>
      </x:c>
      <x:c r="B318" s="21" t="inlineStr">
        <x:is>
          <x:t xml:space="preserve">SWS-051</x:t>
        </x:is>
      </x:c>
      <x:c r="C318" s="14" t="inlineStr">
        <x:is>
          <x:t xml:space="preserve">Skywalker Stories — Galactic Civil War</x:t>
        </x:is>
      </x:c>
      <x:c r="D318" s="24" t="inlineStr">
        <x:is>
          <x:t xml:space="preserve">Star Wars - Qui-Gon visits Darth Vader after fighting Luke Skywalker on Bespin</x:t>
        </x:is>
      </x:c>
      <x:c r="E318" s="25" t="inlineStr">
        <x:is>
          <x:t xml:space="preserve"/>
        </x:is>
      </x:c>
      <x:c r="F318" s="26" t="inlineStr">
        <x:is>
          <x:t xml:space="preserve">Displayed as “1y ago” on October 17, 2026</x:t>
        </x:is>
      </x:c>
      <x:c r="G318" s="24" t="inlineStr">
        <x:is>
          <x:t xml:space="preserve">Fan-made / non-canon</x:t>
        </x:is>
      </x:c>
      <x:c r="H318" s="24" t="inlineStr">
        <x:is>
          <x:t xml:space="preserve">AI fan film</x:t>
        </x:is>
      </x:c>
      <x:c r="I318" s="24" t="inlineStr">
        <x:is>
          <x:t xml:space="preserve">YouTube — Skywalker Stories</x:t>
        </x:is>
      </x:c>
      <x:c r="J318" s="27" t="e">
        <x:f>HYPERLINK("https://www.youtube.com/watch?v=EChIJZdWGY4","Open")</x:f>
        <x:v>HYPERLINK is not implemented. linkLocation=https://www.youtube.com/watch?v=EChIJZdWGY4, friendlyName=Open</x:v>
      </x:c>
      <x:c r="K318" s="24" t="inlineStr">
        <x:is>
          <x:t xml:space="preserve">Skywalker Stories. Immediately after Episode V: The Empire Strikes Back. Placement confidence: High.</x:t>
        </x:is>
      </x:c>
    </x:row>
    <x:row r="319" s="23" customFormat="1" ht="15.75" customHeight="1">
      <x:c r="A319" s="28" t="b">
        <x:v>0</x:v>
      </x:c>
      <x:c r="B319" s="21" t="inlineStr">
        <x:is>
          <x:t xml:space="preserve">SWS-007</x:t>
        </x:is>
      </x:c>
      <x:c r="C319" s="14" t="inlineStr">
        <x:is>
          <x:t xml:space="preserve">Skywalker Stories — Galactic Civil War</x:t>
        </x:is>
      </x:c>
      <x:c r="D319" s="24" t="inlineStr">
        <x:is>
          <x:t xml:space="preserve">Star Wars: Qui Gon Visits Darth Vader After His Fight With Luke Skywalker On Bespin</x:t>
        </x:is>
      </x:c>
      <x:c r="E319" s="25" t="inlineStr">
        <x:is>
          <x:t xml:space="preserve"/>
        </x:is>
      </x:c>
      <x:c r="F319" s="26" t="inlineStr">
        <x:is>
          <x:t xml:space="preserve">Displayed as “5mo ago” on October 17, 2026</x:t>
        </x:is>
      </x:c>
      <x:c r="G319" s="24" t="inlineStr">
        <x:is>
          <x:t xml:space="preserve">Fan-made / non-canon</x:t>
        </x:is>
      </x:c>
      <x:c r="H319" s="24" t="inlineStr">
        <x:is>
          <x:t xml:space="preserve">AI fan film</x:t>
        </x:is>
      </x:c>
      <x:c r="I319" s="24" t="inlineStr">
        <x:is>
          <x:t xml:space="preserve">YouTube — Skywalker Stories</x:t>
        </x:is>
      </x:c>
      <x:c r="J319" s="27" t="e">
        <x:f>HYPERLINK("https://www.youtube.com/watch?v=-bXYD7d1MMg","Open")</x:f>
        <x:v>HYPERLINK is not implemented. linkLocation=https://www.youtube.com/watch?v=-bXYD7d1MMg, friendlyName=Open</x:v>
      </x:c>
      <x:c r="K319" s="24" t="inlineStr">
        <x:is>
          <x:t xml:space="preserve">Skywalker Stories. Immediately after Episode V: The Empire Strikes Back. Placement confidence: High.</x:t>
        </x:is>
      </x:c>
    </x:row>
    <x:row r="320" s="23" customFormat="1" ht="15.75" customHeight="1">
      <x:c r="A320" s="28" t="b">
        <x:v>0</x:v>
      </x:c>
      <x:c r="B320" s="21" t="inlineStr">
        <x:is>
          <x:t xml:space="preserve">SWS-028</x:t>
        </x:is>
      </x:c>
      <x:c r="C320" s="14" t="inlineStr">
        <x:is>
          <x:t xml:space="preserve">Skywalker Stories — Galactic Civil War</x:t>
        </x:is>
      </x:c>
      <x:c r="D320" s="24" t="inlineStr">
        <x:is>
          <x:t xml:space="preserve">Star Wars: Qui-Gon Visits Darth Vader After His Duel With Luke Skywalker On Bespin</x:t>
        </x:is>
      </x:c>
      <x:c r="E320" s="25" t="inlineStr">
        <x:is>
          <x:t xml:space="preserve"/>
        </x:is>
      </x:c>
      <x:c r="F320" s="26" t="inlineStr">
        <x:is>
          <x:t xml:space="preserve">Displayed as “1y ago” on October 17, 2026</x:t>
        </x:is>
      </x:c>
      <x:c r="G320" s="24" t="inlineStr">
        <x:is>
          <x:t xml:space="preserve">Fan-made / non-canon</x:t>
        </x:is>
      </x:c>
      <x:c r="H320" s="24" t="inlineStr">
        <x:is>
          <x:t xml:space="preserve">AI fan film</x:t>
        </x:is>
      </x:c>
      <x:c r="I320" s="24" t="inlineStr">
        <x:is>
          <x:t xml:space="preserve">YouTube — Skywalker Stories</x:t>
        </x:is>
      </x:c>
      <x:c r="J320" s="27" t="e">
        <x:f>HYPERLINK("https://www.youtube.com/watch?v=f09zNDZNrro","Open")</x:f>
        <x:v>HYPERLINK is not implemented. linkLocation=https://www.youtube.com/watch?v=f09zNDZNrro, friendlyName=Open</x:v>
      </x:c>
      <x:c r="K320" s="24" t="inlineStr">
        <x:is>
          <x:t xml:space="preserve">Skywalker Stories. Immediately after Episode V: The Empire Strikes Back. Placement confidence: High.</x:t>
        </x:is>
      </x:c>
    </x:row>
    <x:row r="321" s="23" customFormat="1" ht="15.75" customHeight="1">
      <x:c r="A321" s="28" t="b">
        <x:v>0</x:v>
      </x:c>
      <x:c r="B321" s="21" t="inlineStr">
        <x:is>
          <x:t xml:space="preserve">SWS-015</x:t>
        </x:is>
      </x:c>
      <x:c r="C321" s="14" t="inlineStr">
        <x:is>
          <x:t xml:space="preserve">Skywalker Stories — Galactic Civil War</x:t>
        </x:is>
      </x:c>
      <x:c r="D321" s="24" t="inlineStr">
        <x:is>
          <x:t xml:space="preserve">Star Wars: Qui-Gon Visits Darth Vader After His Fight With Luke Skywalker On Bespin</x:t>
        </x:is>
      </x:c>
      <x:c r="E321" s="25" t="inlineStr">
        <x:is>
          <x:t xml:space="preserve"/>
        </x:is>
      </x:c>
      <x:c r="F321" s="26" t="inlineStr">
        <x:is>
          <x:t xml:space="preserve">Displayed as “10mo ago” on October 17, 2026</x:t>
        </x:is>
      </x:c>
      <x:c r="G321" s="24" t="inlineStr">
        <x:is>
          <x:t xml:space="preserve">Fan-made / non-canon</x:t>
        </x:is>
      </x:c>
      <x:c r="H321" s="24" t="inlineStr">
        <x:is>
          <x:t xml:space="preserve">AI fan film</x:t>
        </x:is>
      </x:c>
      <x:c r="I321" s="24" t="inlineStr">
        <x:is>
          <x:t xml:space="preserve">YouTube — Skywalker Stories</x:t>
        </x:is>
      </x:c>
      <x:c r="J321" s="27" t="e">
        <x:f>HYPERLINK("https://www.youtube.com/watch?v=TbI7E8OoXDI","Open")</x:f>
        <x:v>HYPERLINK is not implemented. linkLocation=https://www.youtube.com/watch?v=TbI7E8OoXDI, friendlyName=Open</x:v>
      </x:c>
      <x:c r="K321" s="24" t="inlineStr">
        <x:is>
          <x:t xml:space="preserve">Skywalker Stories. Immediately after Episode V: The Empire Strikes Back. Placement confidence: High.</x:t>
        </x:is>
      </x:c>
    </x:row>
    <x:row r="322" s="23" customFormat="1" ht="15.75" customHeight="1">
      <x:c r="A322" s="28" t="b">
        <x:v>0</x:v>
      </x:c>
      <x:c r="B322" s="21" t="inlineStr">
        <x:is>
          <x:t xml:space="preserve">SWS-037</x:t>
        </x:is>
      </x:c>
      <x:c r="C322" s="14" t="inlineStr">
        <x:is>
          <x:t xml:space="preserve">Skywalker Stories — Galactic Civil War</x:t>
        </x:is>
      </x:c>
      <x:c r="D322" s="24" t="inlineStr">
        <x:is>
          <x:t xml:space="preserve">Star Wars: Qui-Gon Jinn visits Yoda on Dagobah after Luke Confronts Vader</x:t>
        </x:is>
      </x:c>
      <x:c r="E322" s="25" t="inlineStr">
        <x:is>
          <x:t xml:space="preserve"/>
        </x:is>
      </x:c>
      <x:c r="F322" s="26" t="inlineStr">
        <x:is>
          <x:t xml:space="preserve">Displayed as “1y ago” on October 17, 2026</x:t>
        </x:is>
      </x:c>
      <x:c r="G322" s="24" t="inlineStr">
        <x:is>
          <x:t xml:space="preserve">Fan-made / non-canon</x:t>
        </x:is>
      </x:c>
      <x:c r="H322" s="24" t="inlineStr">
        <x:is>
          <x:t xml:space="preserve">AI fan film</x:t>
        </x:is>
      </x:c>
      <x:c r="I322" s="24" t="inlineStr">
        <x:is>
          <x:t xml:space="preserve">YouTube — Skywalker Stories</x:t>
        </x:is>
      </x:c>
      <x:c r="J322" s="27" t="e">
        <x:f>HYPERLINK("https://www.youtube.com/watch?v=Jeme4doSM34","Open")</x:f>
        <x:v>HYPERLINK is not implemented. linkLocation=https://www.youtube.com/watch?v=Jeme4doSM34, friendlyName=Open</x:v>
      </x:c>
      <x:c r="K322" s="24" t="inlineStr">
        <x:is>
          <x:t xml:space="preserve">Skywalker Stories. Between Episodes V and VI, after Luke's confrontation with Vader. Placement confidence: High.</x:t>
        </x:is>
      </x:c>
    </x:row>
    <x:row r="323" s="23" customFormat="1" ht="15.75" customHeight="1">
      <x:c r="A323" s="28" t="b">
        <x:v>0</x:v>
      </x:c>
      <x:c r="B323" s="21" t="inlineStr">
        <x:is>
          <x:t xml:space="preserve">SWS-012</x:t>
        </x:is>
      </x:c>
      <x:c r="C323" s="14" t="inlineStr">
        <x:is>
          <x:t xml:space="preserve">Skywalker Stories — Galactic Civil War</x:t>
        </x:is>
      </x:c>
      <x:c r="D323" s="24" t="inlineStr">
        <x:is>
          <x:t xml:space="preserve">Star Wars: Darth Vader Visits Padme's Tomb Before Return of the Jedi</x:t>
        </x:is>
      </x:c>
      <x:c r="E323" s="25" t="inlineStr">
        <x:is>
          <x:t xml:space="preserve"/>
        </x:is>
      </x:c>
      <x:c r="F323" s="26" t="inlineStr">
        <x:is>
          <x:t xml:space="preserve">Displayed as “8mo ago” on October 17, 2026</x:t>
        </x:is>
      </x:c>
      <x:c r="G323" s="24" t="inlineStr">
        <x:is>
          <x:t xml:space="preserve">Fan-made / non-canon</x:t>
        </x:is>
      </x:c>
      <x:c r="H323" s="24" t="inlineStr">
        <x:is>
          <x:t xml:space="preserve">AI fan film</x:t>
        </x:is>
      </x:c>
      <x:c r="I323" s="24" t="inlineStr">
        <x:is>
          <x:t xml:space="preserve">YouTube — Skywalker Stories</x:t>
        </x:is>
      </x:c>
      <x:c r="J323" s="27" t="e">
        <x:f>HYPERLINK("https://www.youtube.com/watch?v=IEwgJfQ0MKE","Open")</x:f>
        <x:v>HYPERLINK is not implemented. linkLocation=https://www.youtube.com/watch?v=IEwgJfQ0MKE, friendlyName=Open</x:v>
      </x:c>
      <x:c r="K323" s="24" t="inlineStr">
        <x:is>
          <x:t xml:space="preserve">Skywalker Stories. Between Episodes V and VI, before Return of the Jedi. Placement confidence: High.</x:t>
        </x:is>
      </x:c>
    </x:row>
    <x:row r="324" s="23" customFormat="1" ht="15.75" customHeight="1">
      <x:c r="A324" s="28" t="b">
        <x:v>0</x:v>
      </x:c>
      <x:c r="B324" s="21" t="inlineStr">
        <x:is>
          <x:t xml:space="preserve">SWS-023</x:t>
        </x:is>
      </x:c>
      <x:c r="C324" s="14" t="inlineStr">
        <x:is>
          <x:t xml:space="preserve">Skywalker Stories — Galactic Civil War</x:t>
        </x:is>
      </x:c>
      <x:c r="D324" s="24" t="inlineStr">
        <x:is>
          <x:t xml:space="preserve">Star Wars: Darth Vader's Journey To Redemption At Padme's Tomb</x:t>
        </x:is>
      </x:c>
      <x:c r="E324" s="25" t="inlineStr">
        <x:is>
          <x:t xml:space="preserve"/>
        </x:is>
      </x:c>
      <x:c r="F324" s="26" t="inlineStr">
        <x:is>
          <x:t xml:space="preserve">Displayed as “1y ago” on October 17, 2026</x:t>
        </x:is>
      </x:c>
      <x:c r="G324" s="24" t="inlineStr">
        <x:is>
          <x:t xml:space="preserve">Fan-made / non-canon</x:t>
        </x:is>
      </x:c>
      <x:c r="H324" s="24" t="inlineStr">
        <x:is>
          <x:t xml:space="preserve">AI fan film</x:t>
        </x:is>
      </x:c>
      <x:c r="I324" s="24" t="inlineStr">
        <x:is>
          <x:t xml:space="preserve">YouTube — Skywalker Stories</x:t>
        </x:is>
      </x:c>
      <x:c r="J324" s="27" t="e">
        <x:f>HYPERLINK("https://www.youtube.com/watch?v=5jQtkG1ysow","Open")</x:f>
        <x:v>HYPERLINK is not implemented. linkLocation=https://www.youtube.com/watch?v=5jQtkG1ysow, friendlyName=Open</x:v>
      </x:c>
      <x:c r="K324" s="24" t="inlineStr">
        <x:is>
          <x:t xml:space="preserve">Skywalker Stories. Vader-era Padmé-tomb story, placed provisionally before Return of the Jedi. Placement confidence: Medium.</x:t>
        </x:is>
      </x:c>
    </x:row>
    <x:row r="325" s="23" customFormat="1" ht="15.75" customHeight="1">
      <x:c r="A325" s="28" t="b">
        <x:v>0</x:v>
      </x:c>
      <x:c r="B325" s="21" t="inlineStr">
        <x:is>
          <x:t xml:space="preserve">SWS-045</x:t>
        </x:is>
      </x:c>
      <x:c r="C325" s="14" t="inlineStr">
        <x:is>
          <x:t xml:space="preserve">Skywalker Stories — Galactic Civil War</x:t>
        </x:is>
      </x:c>
      <x:c r="D325" s="24" t="inlineStr">
        <x:is>
          <x:t xml:space="preserve">Star Wars: Darth Vader's Journey to Redemption at Padme's Tomb</x:t>
        </x:is>
      </x:c>
      <x:c r="E325" s="25" t="inlineStr">
        <x:is>
          <x:t xml:space="preserve"/>
        </x:is>
      </x:c>
      <x:c r="F325" s="26" t="inlineStr">
        <x:is>
          <x:t xml:space="preserve">Displayed as “1y ago” on October 17, 2026</x:t>
        </x:is>
      </x:c>
      <x:c r="G325" s="24" t="inlineStr">
        <x:is>
          <x:t xml:space="preserve">Fan-made / non-canon</x:t>
        </x:is>
      </x:c>
      <x:c r="H325" s="24" t="inlineStr">
        <x:is>
          <x:t xml:space="preserve">AI fan film</x:t>
        </x:is>
      </x:c>
      <x:c r="I325" s="24" t="inlineStr">
        <x:is>
          <x:t xml:space="preserve">YouTube — Skywalker Stories</x:t>
        </x:is>
      </x:c>
      <x:c r="J325" s="27" t="e">
        <x:f>HYPERLINK("https://www.youtube.com/watch?v=HsC2UzDVPSI","Open")</x:f>
        <x:v>HYPERLINK is not implemented. linkLocation=https://www.youtube.com/watch?v=HsC2UzDVPSI, friendlyName=Open</x:v>
      </x:c>
      <x:c r="K325" s="24" t="inlineStr">
        <x:is>
          <x:t xml:space="preserve">Skywalker Stories. Vader-era Padmé-tomb story, placed provisionally before Return of the Jedi. Placement confidence: Medium.</x:t>
        </x:is>
      </x:c>
    </x:row>
    <x:row r="326" s="23" customFormat="1" ht="15.75" customHeight="1">
      <x:c r="A326" s="28" t="b">
        <x:v>0</x:v>
      </x:c>
      <x:c r="B326" s="21" t="inlineStr">
        <x:is>
          <x:t xml:space="preserve">SWS-038</x:t>
        </x:is>
      </x:c>
      <x:c r="C326" s="14" t="inlineStr">
        <x:is>
          <x:t xml:space="preserve">Skywalker Stories — New Republic</x:t>
        </x:is>
      </x:c>
      <x:c r="D326" s="24" t="inlineStr">
        <x:is>
          <x:t xml:space="preserve">Star Wars: The Redemption of Anakin Skywalker</x:t>
        </x:is>
      </x:c>
      <x:c r="E326" s="25" t="inlineStr">
        <x:is>
          <x:t xml:space="preserve"/>
        </x:is>
      </x:c>
      <x:c r="F326" s="26" t="inlineStr">
        <x:is>
          <x:t xml:space="preserve">Displayed as “1y ago” on October 17, 2026</x:t>
        </x:is>
      </x:c>
      <x:c r="G326" s="24" t="inlineStr">
        <x:is>
          <x:t xml:space="preserve">Fan-made / non-canon</x:t>
        </x:is>
      </x:c>
      <x:c r="H326" s="24" t="inlineStr">
        <x:is>
          <x:t xml:space="preserve">AI fan film</x:t>
        </x:is>
      </x:c>
      <x:c r="I326" s="24" t="inlineStr">
        <x:is>
          <x:t xml:space="preserve">YouTube — Skywalker Stories</x:t>
        </x:is>
      </x:c>
      <x:c r="J326" s="27" t="e">
        <x:f>HYPERLINK("https://www.youtube.com/watch?v=9QCkvkbloUA","Open")</x:f>
        <x:v>HYPERLINK is not implemented. linkLocation=https://www.youtube.com/watch?v=9QCkvkbloUA, friendlyName=Open</x:v>
      </x:c>
      <x:c r="K326" s="24" t="inlineStr">
        <x:is>
          <x:t xml:space="preserve">Skywalker Stories. Immediately after Return of the Jedi; redemption/Force-ghost epilogue. Placement confidence: Medium.</x:t>
        </x:is>
      </x:c>
    </x:row>
    <x:row r="327" s="23" customFormat="1" ht="15.75" customHeight="1">
      <x:c r="A327" s="28" t="b">
        <x:v>0</x:v>
      </x:c>
      <x:c r="B327" s="21" t="inlineStr">
        <x:is>
          <x:t xml:space="preserve">SWS-090</x:t>
        </x:is>
      </x:c>
      <x:c r="C327" s="14" t="inlineStr">
        <x:is>
          <x:t xml:space="preserve">Skywalker Stories — New Republic</x:t>
        </x:is>
      </x:c>
      <x:c r="D327" s="24" t="inlineStr">
        <x:is>
          <x:t xml:space="preserve">Tales of the Star Wars Galaxy: Obi Wan teaches Anakin Skywalker to be a Force Ghost</x:t>
        </x:is>
      </x:c>
      <x:c r="E327" s="25" t="inlineStr">
        <x:is>
          <x:t xml:space="preserve"/>
        </x:is>
      </x:c>
      <x:c r="F327" s="26" t="inlineStr">
        <x:is>
          <x:t xml:space="preserve">Displayed as “1y ago” on October 17, 2026</x:t>
        </x:is>
      </x:c>
      <x:c r="G327" s="24" t="inlineStr">
        <x:is>
          <x:t xml:space="preserve">Fan-made / non-canon</x:t>
        </x:is>
      </x:c>
      <x:c r="H327" s="24" t="inlineStr">
        <x:is>
          <x:t xml:space="preserve">AI fan film</x:t>
        </x:is>
      </x:c>
      <x:c r="I327" s="24" t="inlineStr">
        <x:is>
          <x:t xml:space="preserve">YouTube — Skywalker Stories</x:t>
        </x:is>
      </x:c>
      <x:c r="J327" s="27" t="e">
        <x:f>HYPERLINK("https://www.youtube.com/watch?v=y6gPdaDZbTc","Open")</x:f>
        <x:v>HYPERLINK is not implemented. linkLocation=https://www.youtube.com/watch?v=y6gPdaDZbTc, friendlyName=Open</x:v>
      </x:c>
      <x:c r="K327" s="24" t="inlineStr">
        <x:is>
          <x:t xml:space="preserve">Skywalker Stories. Immediately after Return of the Jedi, explaining Anakin's Force-ghost return. Placement confidence: Medium.</x:t>
        </x:is>
      </x:c>
    </x:row>
    <x:row r="328" s="23" customFormat="1" ht="15.75" customHeight="1">
      <x:c r="A328" s="28" t="b">
        <x:v>0</x:v>
      </x:c>
      <x:c r="B328" s="21" t="inlineStr">
        <x:is>
          <x:t xml:space="preserve">SWS-048</x:t>
        </x:is>
      </x:c>
      <x:c r="C328" s="14" t="inlineStr">
        <x:is>
          <x:t xml:space="preserve">Skywalker Stories — New Republic</x:t>
        </x:is>
      </x:c>
      <x:c r="D328" s="24" t="inlineStr">
        <x:is>
          <x:t xml:space="preserve">Star Wars - Luke Skywalker tells Leia about how Vader turned back to the light</x:t>
        </x:is>
      </x:c>
      <x:c r="E328" s="25" t="inlineStr">
        <x:is>
          <x:t xml:space="preserve"/>
        </x:is>
      </x:c>
      <x:c r="F328" s="26" t="inlineStr">
        <x:is>
          <x:t xml:space="preserve">Displayed as “1y ago” on October 17, 2026</x:t>
        </x:is>
      </x:c>
      <x:c r="G328" s="24" t="inlineStr">
        <x:is>
          <x:t xml:space="preserve">Fan-made / non-canon</x:t>
        </x:is>
      </x:c>
      <x:c r="H328" s="24" t="inlineStr">
        <x:is>
          <x:t xml:space="preserve">AI fan film</x:t>
        </x:is>
      </x:c>
      <x:c r="I328" s="24" t="inlineStr">
        <x:is>
          <x:t xml:space="preserve">YouTube — Skywalker Stories</x:t>
        </x:is>
      </x:c>
      <x:c r="J328" s="27" t="e">
        <x:f>HYPERLINK("https://www.youtube.com/watch?v=2iYI2anOeLs","Open")</x:f>
        <x:v>HYPERLINK is not implemented. linkLocation=https://www.youtube.com/watch?v=2iYI2anOeLs, friendlyName=Open</x:v>
      </x:c>
      <x:c r="K328" s="24" t="inlineStr">
        <x:is>
          <x:t xml:space="preserve">Skywalker Stories. After Return of the Jedi, during Luke/Leia's reckoning with Anakin's redemption. Placement confidence: High.</x:t>
        </x:is>
      </x:c>
    </x:row>
    <x:row r="329" s="23" customFormat="1" ht="15.75" customHeight="1">
      <x:c r="A329" s="28" t="b">
        <x:v>0</x:v>
      </x:c>
      <x:c r="B329" s="21" t="inlineStr">
        <x:is>
          <x:t xml:space="preserve">SWS-018</x:t>
        </x:is>
      </x:c>
      <x:c r="C329" s="14" t="inlineStr">
        <x:is>
          <x:t xml:space="preserve">Skywalker Stories — New Republic</x:t>
        </x:is>
      </x:c>
      <x:c r="D329" s="24" t="inlineStr">
        <x:is>
          <x:t xml:space="preserve">Star Wars: Anakin Skywalker Asks Leia For Forgiveness</x:t>
        </x:is>
      </x:c>
      <x:c r="E329" s="25" t="inlineStr">
        <x:is>
          <x:t xml:space="preserve"/>
        </x:is>
      </x:c>
      <x:c r="F329" s="26" t="inlineStr">
        <x:is>
          <x:t xml:space="preserve">Displayed as “10mo ago” on October 17, 2026</x:t>
        </x:is>
      </x:c>
      <x:c r="G329" s="24" t="inlineStr">
        <x:is>
          <x:t xml:space="preserve">Fan-made / non-canon</x:t>
        </x:is>
      </x:c>
      <x:c r="H329" s="24" t="inlineStr">
        <x:is>
          <x:t xml:space="preserve">AI fan film</x:t>
        </x:is>
      </x:c>
      <x:c r="I329" s="24" t="inlineStr">
        <x:is>
          <x:t xml:space="preserve">YouTube — Skywalker Stories</x:t>
        </x:is>
      </x:c>
      <x:c r="J329" s="27" t="e">
        <x:f>HYPERLINK("https://www.youtube.com/watch?v=3nB_FrKHLNU","Open")</x:f>
        <x:v>HYPERLINK is not implemented. linkLocation=https://www.youtube.com/watch?v=3nB_FrKHLNU, friendlyName=Open</x:v>
      </x:c>
      <x:c r="K329" s="24" t="inlineStr">
        <x:is>
          <x:t xml:space="preserve">Skywalker Stories. After Return of the Jedi, during Luke/Leia's reckoning with Anakin's redemption. Placement confidence: High. Separate upload sharing a title with another channel video.</x:t>
        </x:is>
      </x:c>
    </x:row>
    <x:row r="330" s="23" customFormat="1" ht="15.75" customHeight="1">
      <x:c r="A330" s="28" t="b">
        <x:v>0</x:v>
      </x:c>
      <x:c r="B330" s="21" t="inlineStr">
        <x:is>
          <x:t xml:space="preserve">SWS-001</x:t>
        </x:is>
      </x:c>
      <x:c r="C330" s="14" t="inlineStr">
        <x:is>
          <x:t xml:space="preserve">Skywalker Stories — New Republic</x:t>
        </x:is>
      </x:c>
      <x:c r="D330" s="24" t="inlineStr">
        <x:is>
          <x:t xml:space="preserve">Star Wars: Anakin Skywalker Asks Leia For Forgiveness</x:t>
        </x:is>
      </x:c>
      <x:c r="E330" s="25" t="inlineStr">
        <x:is>
          <x:t xml:space="preserve"/>
        </x:is>
      </x:c>
      <x:c r="F330" s="26" t="inlineStr">
        <x:is>
          <x:t xml:space="preserve">September 18, 2026</x:t>
        </x:is>
      </x:c>
      <x:c r="G330" s="24" t="inlineStr">
        <x:is>
          <x:t xml:space="preserve">Fan-made / non-canon</x:t>
        </x:is>
      </x:c>
      <x:c r="H330" s="24" t="inlineStr">
        <x:is>
          <x:t xml:space="preserve">AI fan film</x:t>
        </x:is>
      </x:c>
      <x:c r="I330" s="24" t="inlineStr">
        <x:is>
          <x:t xml:space="preserve">YouTube — Skywalker Stories</x:t>
        </x:is>
      </x:c>
      <x:c r="J330" s="27" t="e">
        <x:f>HYPERLINK("https://www.youtube.com/watch?v=sxo8lo7e7Q8","Open")</x:f>
        <x:v>HYPERLINK is not implemented. linkLocation=https://www.youtube.com/watch?v=sxo8lo7e7Q8, friendlyName=Open</x:v>
      </x:c>
      <x:c r="K330" s="24" t="inlineStr">
        <x:is>
          <x:t xml:space="preserve">Skywalker Stories. After Return of the Jedi, during Luke/Leia's reckoning with Anakin's redemption. Placement confidence: High. Separate upload sharing a title with another channel video.</x:t>
        </x:is>
      </x:c>
    </x:row>
    <x:row r="331" s="23" customFormat="1" ht="15.75" customHeight="1">
      <x:c r="A331" s="28" t="b">
        <x:v>0</x:v>
      </x:c>
      <x:c r="B331" s="21" t="inlineStr">
        <x:is>
          <x:t xml:space="preserve">SWS-058</x:t>
        </x:is>
      </x:c>
      <x:c r="C331" s="14" t="inlineStr">
        <x:is>
          <x:t xml:space="preserve">Skywalker Stories — New Republic</x:t>
        </x:is>
      </x:c>
      <x:c r="D331" s="24" t="inlineStr">
        <x:is>
          <x:t xml:space="preserve">Tales of the Star Wars Galaxy: Anakin Skywalker Asks Leia For Forgiveness</x:t>
        </x:is>
      </x:c>
      <x:c r="E331" s="25" t="inlineStr">
        <x:is>
          <x:t xml:space="preserve"/>
        </x:is>
      </x:c>
      <x:c r="F331" s="26" t="inlineStr">
        <x:is>
          <x:t xml:space="preserve">Displayed as “1y ago” on October 17, 2026</x:t>
        </x:is>
      </x:c>
      <x:c r="G331" s="24" t="inlineStr">
        <x:is>
          <x:t xml:space="preserve">Fan-made / non-canon</x:t>
        </x:is>
      </x:c>
      <x:c r="H331" s="24" t="inlineStr">
        <x:is>
          <x:t xml:space="preserve">AI fan film</x:t>
        </x:is>
      </x:c>
      <x:c r="I331" s="24" t="inlineStr">
        <x:is>
          <x:t xml:space="preserve">YouTube — Skywalker Stories</x:t>
        </x:is>
      </x:c>
      <x:c r="J331" s="27" t="e">
        <x:f>HYPERLINK("https://www.youtube.com/watch?v=__94Dx8HHxE","Open")</x:f>
        <x:v>HYPERLINK is not implemented. linkLocation=https://www.youtube.com/watch?v=__94Dx8HHxE, friendlyName=Open</x:v>
      </x:c>
      <x:c r="K331" s="24" t="inlineStr">
        <x:is>
          <x:t xml:space="preserve">Skywalker Stories. After Return of the Jedi, during Luke/Leia's reckoning with Anakin's redemption. Placement confidence: High.</x:t>
        </x:is>
      </x:c>
    </x:row>
    <x:row r="332" s="23" customFormat="1" ht="15.75" customHeight="1">
      <x:c r="A332" s="28" t="b">
        <x:v>0</x:v>
      </x:c>
      <x:c r="B332" s="21" t="inlineStr">
        <x:is>
          <x:t xml:space="preserve">SWS-101</x:t>
        </x:is>
      </x:c>
      <x:c r="C332" s="14" t="inlineStr">
        <x:is>
          <x:t xml:space="preserve">Skywalker Stories — New Republic</x:t>
        </x:is>
      </x:c>
      <x:c r="D332" s="24" t="inlineStr">
        <x:is>
          <x:t xml:space="preserve">Tales of the Star Wars Galaxy: Anakin Skywalker seeks forgiveness from Leia</x:t>
        </x:is>
      </x:c>
      <x:c r="E332" s="25" t="inlineStr">
        <x:is>
          <x:t xml:space="preserve"/>
        </x:is>
      </x:c>
      <x:c r="F332" s="26" t="inlineStr">
        <x:is>
          <x:t xml:space="preserve">Displayed as “2y ago” on October 17, 2026</x:t>
        </x:is>
      </x:c>
      <x:c r="G332" s="24" t="inlineStr">
        <x:is>
          <x:t xml:space="preserve">Fan-made / non-canon</x:t>
        </x:is>
      </x:c>
      <x:c r="H332" s="24" t="inlineStr">
        <x:is>
          <x:t xml:space="preserve">AI fan film</x:t>
        </x:is>
      </x:c>
      <x:c r="I332" s="24" t="inlineStr">
        <x:is>
          <x:t xml:space="preserve">YouTube — Skywalker Stories</x:t>
        </x:is>
      </x:c>
      <x:c r="J332" s="27" t="e">
        <x:f>HYPERLINK("https://www.youtube.com/watch?v=cixOJY_4VM0","Open")</x:f>
        <x:v>HYPERLINK is not implemented. linkLocation=https://www.youtube.com/watch?v=cixOJY_4VM0, friendlyName=Open</x:v>
      </x:c>
      <x:c r="K332" s="24" t="inlineStr">
        <x:is>
          <x:t xml:space="preserve">Skywalker Stories. After Return of the Jedi, during Luke/Leia's reckoning with Anakin's redemption. Placement confidence: High.</x:t>
        </x:is>
      </x:c>
    </x:row>
    <x:row r="333" s="23" customFormat="1" ht="15.75" customHeight="1">
      <x:c r="A333" s="28" t="b">
        <x:v>0</x:v>
      </x:c>
      <x:c r="B333" s="21" t="inlineStr">
        <x:is>
          <x:t xml:space="preserve">SWS-102</x:t>
        </x:is>
      </x:c>
      <x:c r="C333" s="14" t="inlineStr">
        <x:is>
          <x:t xml:space="preserve">Skywalker Stories — New Republic</x:t>
        </x:is>
      </x:c>
      <x:c r="D333" s="24" t="inlineStr">
        <x:is>
          <x:t xml:space="preserve">Tales of the Star Wars Galaxy: Luke Skywalker tells Leia Organa that Anakin Skywalker was redeemed</x:t>
        </x:is>
      </x:c>
      <x:c r="E333" s="25" t="inlineStr">
        <x:is>
          <x:t xml:space="preserve"/>
        </x:is>
      </x:c>
      <x:c r="F333" s="26" t="inlineStr">
        <x:is>
          <x:t xml:space="preserve">Displayed as “2y ago” on October 17, 2026</x:t>
        </x:is>
      </x:c>
      <x:c r="G333" s="24" t="inlineStr">
        <x:is>
          <x:t xml:space="preserve">Fan-made / non-canon</x:t>
        </x:is>
      </x:c>
      <x:c r="H333" s="24" t="inlineStr">
        <x:is>
          <x:t xml:space="preserve">AI fan film</x:t>
        </x:is>
      </x:c>
      <x:c r="I333" s="24" t="inlineStr">
        <x:is>
          <x:t xml:space="preserve">YouTube — Skywalker Stories</x:t>
        </x:is>
      </x:c>
      <x:c r="J333" s="27" t="e">
        <x:f>HYPERLINK("https://www.youtube.com/watch?v=i_V4Yf7XRF8","Open")</x:f>
        <x:v>HYPERLINK is not implemented. linkLocation=https://www.youtube.com/watch?v=i_V4Yf7XRF8, friendlyName=Open</x:v>
      </x:c>
      <x:c r="K333" s="24" t="inlineStr">
        <x:is>
          <x:t xml:space="preserve">Skywalker Stories. After Return of the Jedi, during Luke/Leia's reckoning with Anakin's redemption. Placement confidence: High.</x:t>
        </x:is>
      </x:c>
    </x:row>
    <x:row r="334" s="23" customFormat="1" ht="15.75" customHeight="1">
      <x:c r="A334" s="28" t="b">
        <x:v>0</x:v>
      </x:c>
      <x:c r="B334" s="21" t="inlineStr">
        <x:is>
          <x:t xml:space="preserve">SWS-059</x:t>
        </x:is>
      </x:c>
      <x:c r="C334" s="14" t="inlineStr">
        <x:is>
          <x:t xml:space="preserve">Skywalker Stories — New Republic</x:t>
        </x:is>
      </x:c>
      <x:c r="D334" s="24" t="inlineStr">
        <x:is>
          <x:t xml:space="preserve">Tales of the Star Wars Galaxy: Luke Skywalker finds out the truth about what happened to Padme</x:t>
        </x:is>
      </x:c>
      <x:c r="E334" s="25" t="inlineStr">
        <x:is>
          <x:t xml:space="preserve"/>
        </x:is>
      </x:c>
      <x:c r="F334" s="26" t="inlineStr">
        <x:is>
          <x:t xml:space="preserve">Displayed as “1y ago” on October 17, 2026</x:t>
        </x:is>
      </x:c>
      <x:c r="G334" s="24" t="inlineStr">
        <x:is>
          <x:t xml:space="preserve">Fan-made / non-canon</x:t>
        </x:is>
      </x:c>
      <x:c r="H334" s="24" t="inlineStr">
        <x:is>
          <x:t xml:space="preserve">AI fan film</x:t>
        </x:is>
      </x:c>
      <x:c r="I334" s="24" t="inlineStr">
        <x:is>
          <x:t xml:space="preserve">YouTube — Skywalker Stories</x:t>
        </x:is>
      </x:c>
      <x:c r="J334" s="27" t="e">
        <x:f>HYPERLINK("https://www.youtube.com/watch?v=ZsCOrp87ujE","Open")</x:f>
        <x:v>HYPERLINK is not implemented. linkLocation=https://www.youtube.com/watch?v=ZsCOrp87ujE, friendlyName=Open</x:v>
      </x:c>
      <x:c r="K334" s="24" t="inlineStr">
        <x:is>
          <x:t xml:space="preserve">Skywalker Stories. After Return of the Jedi, when Luke investigates his mother's fate. Placement confidence: Medium.</x:t>
        </x:is>
      </x:c>
    </x:row>
    <x:row r="335" s="23" customFormat="1" ht="15.75" customHeight="1">
      <x:c r="A335" s="28" t="b">
        <x:v>0</x:v>
      </x:c>
      <x:c r="B335" s="21" t="inlineStr">
        <x:is>
          <x:t xml:space="preserve">SWS-014</x:t>
        </x:is>
      </x:c>
      <x:c r="C335" s="14" t="inlineStr">
        <x:is>
          <x:t xml:space="preserve">Skywalker Stories — New Republic</x:t>
        </x:is>
      </x:c>
      <x:c r="D335" s="24" t="inlineStr">
        <x:is>
          <x:t xml:space="preserve">Star Wars: Luke Skywalker Encounters Darth Bane &amp; Begins The Jedi Academy</x:t>
        </x:is>
      </x:c>
      <x:c r="E335" s="25" t="inlineStr">
        <x:is>
          <x:t xml:space="preserve"/>
        </x:is>
      </x:c>
      <x:c r="F335" s="26" t="inlineStr">
        <x:is>
          <x:t xml:space="preserve">Displayed as “9mo ago” on October 17, 2026</x:t>
        </x:is>
      </x:c>
      <x:c r="G335" s="24" t="inlineStr">
        <x:is>
          <x:t xml:space="preserve">Fan-made / non-canon</x:t>
        </x:is>
      </x:c>
      <x:c r="H335" s="24" t="inlineStr">
        <x:is>
          <x:t xml:space="preserve">AI fan film</x:t>
        </x:is>
      </x:c>
      <x:c r="I335" s="24" t="inlineStr">
        <x:is>
          <x:t xml:space="preserve">YouTube — Skywalker Stories</x:t>
        </x:is>
      </x:c>
      <x:c r="J335" s="27" t="e">
        <x:f>HYPERLINK("https://www.youtube.com/watch?v=G_Ugr_O0-8k","Open")</x:f>
        <x:v>HYPERLINK is not implemented. linkLocation=https://www.youtube.com/watch?v=G_Ugr_O0-8k, friendlyName=Open</x:v>
      </x:c>
      <x:c r="K335" s="24" t="inlineStr">
        <x:is>
          <x:t xml:space="preserve">Skywalker Stories. Early New Republic, while Luke establishes his Jedi academy. Placement confidence: High.</x:t>
        </x:is>
      </x:c>
    </x:row>
    <x:row r="336" s="23" customFormat="1" ht="15.75" customHeight="1">
      <x:c r="A336" s="28" t="b">
        <x:v>0</x:v>
      </x:c>
      <x:c r="B336" s="21" t="inlineStr">
        <x:is>
          <x:t xml:space="preserve">SWS-034</x:t>
        </x:is>
      </x:c>
      <x:c r="C336" s="14" t="inlineStr">
        <x:is>
          <x:t xml:space="preserve">Skywalker Stories — New Republic</x:t>
        </x:is>
      </x:c>
      <x:c r="D336" s="24" t="inlineStr">
        <x:is>
          <x:t xml:space="preserve">Star Wars: Luke Skywalker Guided By Anakin Skywalker &amp; Obi Wan On Rebuilding the Jedi Order</x:t>
        </x:is>
      </x:c>
      <x:c r="E336" s="25" t="inlineStr">
        <x:is>
          <x:t xml:space="preserve"/>
        </x:is>
      </x:c>
      <x:c r="F336" s="26" t="inlineStr">
        <x:is>
          <x:t xml:space="preserve">Displayed as “1y ago” on October 17, 2026</x:t>
        </x:is>
      </x:c>
      <x:c r="G336" s="24" t="inlineStr">
        <x:is>
          <x:t xml:space="preserve">Fan-made / non-canon</x:t>
        </x:is>
      </x:c>
      <x:c r="H336" s="24" t="inlineStr">
        <x:is>
          <x:t xml:space="preserve">AI fan film</x:t>
        </x:is>
      </x:c>
      <x:c r="I336" s="24" t="inlineStr">
        <x:is>
          <x:t xml:space="preserve">YouTube — Skywalker Stories</x:t>
        </x:is>
      </x:c>
      <x:c r="J336" s="27" t="e">
        <x:f>HYPERLINK("https://www.youtube.com/watch?v=ryZqmDReUmg","Open")</x:f>
        <x:v>HYPERLINK is not implemented. linkLocation=https://www.youtube.com/watch?v=ryZqmDReUmg, friendlyName=Open</x:v>
      </x:c>
      <x:c r="K336" s="24" t="inlineStr">
        <x:is>
          <x:t xml:space="preserve">Skywalker Stories. Early New Republic, while Luke establishes his Jedi academy. Placement confidence: High.</x:t>
        </x:is>
      </x:c>
    </x:row>
    <x:row r="337" s="23" customFormat="1" ht="15.75" customHeight="1">
      <x:c r="A337" s="28" t="b">
        <x:v>0</x:v>
      </x:c>
      <x:c r="B337" s="21" t="inlineStr">
        <x:is>
          <x:t xml:space="preserve">SWS-024</x:t>
        </x:is>
      </x:c>
      <x:c r="C337" s="14" t="inlineStr">
        <x:is>
          <x:t xml:space="preserve">Skywalker Stories — New Republic</x:t>
        </x:is>
      </x:c>
      <x:c r="D337" s="24" t="inlineStr">
        <x:is>
          <x:t xml:space="preserve">Star Wars: Luke Skywalker Speaks To Qui Gon Jinn and Begins The Jedi Academy</x:t>
        </x:is>
      </x:c>
      <x:c r="E337" s="25" t="inlineStr">
        <x:is>
          <x:t xml:space="preserve"/>
        </x:is>
      </x:c>
      <x:c r="F337" s="26" t="inlineStr">
        <x:is>
          <x:t xml:space="preserve">Displayed as “1y ago” on October 17, 2026</x:t>
        </x:is>
      </x:c>
      <x:c r="G337" s="24" t="inlineStr">
        <x:is>
          <x:t xml:space="preserve">Fan-made / non-canon</x:t>
        </x:is>
      </x:c>
      <x:c r="H337" s="24" t="inlineStr">
        <x:is>
          <x:t xml:space="preserve">AI fan film</x:t>
        </x:is>
      </x:c>
      <x:c r="I337" s="24" t="inlineStr">
        <x:is>
          <x:t xml:space="preserve">YouTube — Skywalker Stories</x:t>
        </x:is>
      </x:c>
      <x:c r="J337" s="27" t="e">
        <x:f>HYPERLINK("https://www.youtube.com/watch?v=jKXpZXp1A6s","Open")</x:f>
        <x:v>HYPERLINK is not implemented. linkLocation=https://www.youtube.com/watch?v=jKXpZXp1A6s, friendlyName=Open</x:v>
      </x:c>
      <x:c r="K337" s="24" t="inlineStr">
        <x:is>
          <x:t xml:space="preserve">Skywalker Stories. Early New Republic, while Luke establishes his Jedi academy. Placement confidence: High.</x:t>
        </x:is>
      </x:c>
    </x:row>
    <x:row r="338" s="23" customFormat="1" ht="15.75" customHeight="1">
      <x:c r="A338" s="28" t="b">
        <x:v>0</x:v>
      </x:c>
      <x:c r="B338" s="21" t="inlineStr">
        <x:is>
          <x:t xml:space="preserve">SWS-113</x:t>
        </x:is>
      </x:c>
      <x:c r="C338" s="14" t="inlineStr">
        <x:is>
          <x:t xml:space="preserve">Skywalker Stories — New Republic</x:t>
        </x:is>
      </x:c>
      <x:c r="D338" s="24" t="inlineStr">
        <x:is>
          <x:t xml:space="preserve">Luke Skywalker Talks To Force Ghost Anakin Skywalker about Grogu (AI Audio) - Star Wars</x:t>
        </x:is>
      </x:c>
      <x:c r="E338" s="25" t="inlineStr">
        <x:is>
          <x:t xml:space="preserve"/>
        </x:is>
      </x:c>
      <x:c r="F338" s="26" t="inlineStr">
        <x:is>
          <x:t xml:space="preserve">Displayed as “3y ago” on October 17, 2026</x:t>
        </x:is>
      </x:c>
      <x:c r="G338" s="24" t="inlineStr">
        <x:is>
          <x:t xml:space="preserve">Fan-made / non-canon</x:t>
        </x:is>
      </x:c>
      <x:c r="H338" s="24" t="inlineStr">
        <x:is>
          <x:t xml:space="preserve">AI fan film</x:t>
        </x:is>
      </x:c>
      <x:c r="I338" s="24" t="inlineStr">
        <x:is>
          <x:t xml:space="preserve">YouTube — Skywalker Stories</x:t>
        </x:is>
      </x:c>
      <x:c r="J338" s="27" t="e">
        <x:f>HYPERLINK("https://www.youtube.com/watch?v=joaCtSy4Z-M","Open")</x:f>
        <x:v>HYPERLINK is not implemented. linkLocation=https://www.youtube.com/watch?v=joaCtSy4Z-M, friendlyName=Open</x:v>
      </x:c>
      <x:c r="K338" s="24" t="inlineStr">
        <x:is>
          <x:t xml:space="preserve">Skywalker Stories. Around The Mandalorian/The Book of Boba Fett era. Placement confidence: High.</x:t>
        </x:is>
      </x:c>
    </x:row>
    <x:row r="339" s="23" customFormat="1" ht="15.75" customHeight="1">
      <x:c r="A339" s="28" t="b">
        <x:v>0</x:v>
      </x:c>
      <x:c r="B339" s="21" t="inlineStr">
        <x:is>
          <x:t xml:space="preserve">SWS-108</x:t>
        </x:is>
      </x:c>
      <x:c r="C339" s="14" t="inlineStr">
        <x:is>
          <x:t xml:space="preserve">Skywalker Stories — New Republic</x:t>
        </x:is>
      </x:c>
      <x:c r="D339" s="24" t="inlineStr">
        <x:is>
          <x:t xml:space="preserve">Tales of the Star Wars Galaxy: Anakin Skywalker visits Luke Skywalker about Grogu</x:t>
        </x:is>
      </x:c>
      <x:c r="E339" s="25" t="inlineStr">
        <x:is>
          <x:t xml:space="preserve"/>
        </x:is>
      </x:c>
      <x:c r="F339" s="26" t="inlineStr">
        <x:is>
          <x:t xml:space="preserve">Displayed as “2y ago” on October 17, 2026</x:t>
        </x:is>
      </x:c>
      <x:c r="G339" s="24" t="inlineStr">
        <x:is>
          <x:t xml:space="preserve">Fan-made / non-canon</x:t>
        </x:is>
      </x:c>
      <x:c r="H339" s="24" t="inlineStr">
        <x:is>
          <x:t xml:space="preserve">AI fan film</x:t>
        </x:is>
      </x:c>
      <x:c r="I339" s="24" t="inlineStr">
        <x:is>
          <x:t xml:space="preserve">YouTube — Skywalker Stories</x:t>
        </x:is>
      </x:c>
      <x:c r="J339" s="27" t="e">
        <x:f>HYPERLINK("https://www.youtube.com/watch?v=bMgCYBvwsf0","Open")</x:f>
        <x:v>HYPERLINK is not implemented. linkLocation=https://www.youtube.com/watch?v=bMgCYBvwsf0, friendlyName=Open</x:v>
      </x:c>
      <x:c r="K339" s="24" t="inlineStr">
        <x:is>
          <x:t xml:space="preserve">Skywalker Stories. Around The Mandalorian/The Book of Boba Fett era. Placement confidence: High.</x:t>
        </x:is>
      </x:c>
    </x:row>
    <x:row r="340" s="23" customFormat="1" ht="15.75" customHeight="1">
      <x:c r="A340" s="28" t="b">
        <x:v>0</x:v>
      </x:c>
      <x:c r="B340" s="21" t="inlineStr">
        <x:is>
          <x:t xml:space="preserve">SWS-109</x:t>
        </x:is>
      </x:c>
      <x:c r="C340" s="14" t="inlineStr">
        <x:is>
          <x:t xml:space="preserve">Skywalker Stories — New Republic</x:t>
        </x:is>
      </x:c>
      <x:c r="D340" s="24" t="inlineStr">
        <x:is>
          <x:t xml:space="preserve">Tales of the Star Wars Galaxy: Luke Skywalker meets Ahsoka Tano</x:t>
        </x:is>
      </x:c>
      <x:c r="E340" s="25" t="inlineStr">
        <x:is>
          <x:t xml:space="preserve"/>
        </x:is>
      </x:c>
      <x:c r="F340" s="26" t="inlineStr">
        <x:is>
          <x:t xml:space="preserve">Displayed as “2y ago” on October 17, 2026</x:t>
        </x:is>
      </x:c>
      <x:c r="G340" s="24" t="inlineStr">
        <x:is>
          <x:t xml:space="preserve">Fan-made / non-canon</x:t>
        </x:is>
      </x:c>
      <x:c r="H340" s="24" t="inlineStr">
        <x:is>
          <x:t xml:space="preserve">AI fan film</x:t>
        </x:is>
      </x:c>
      <x:c r="I340" s="24" t="inlineStr">
        <x:is>
          <x:t xml:space="preserve">YouTube — Skywalker Stories</x:t>
        </x:is>
      </x:c>
      <x:c r="J340" s="27" t="e">
        <x:f>HYPERLINK("https://www.youtube.com/watch?v=SOYNTuKzICE","Open")</x:f>
        <x:v>HYPERLINK is not implemented. linkLocation=https://www.youtube.com/watch?v=SOYNTuKzICE, friendlyName=Open</x:v>
      </x:c>
      <x:c r="K340" s="24" t="inlineStr">
        <x:is>
          <x:t xml:space="preserve">Skywalker Stories. Around The Mandalorian/The Book of Boba Fett era. Placement confidence: High.</x:t>
        </x:is>
      </x:c>
    </x:row>
    <x:row r="341" s="23" customFormat="1" ht="15.75" customHeight="1">
      <x:c r="A341" s="28" t="b">
        <x:v>0</x:v>
      </x:c>
      <x:c r="B341" s="21" t="inlineStr">
        <x:is>
          <x:t xml:space="preserve">SWS-069</x:t>
        </x:is>
      </x:c>
      <x:c r="C341" s="14" t="inlineStr">
        <x:is>
          <x:t xml:space="preserve">Skywalker Stories — New Republic</x:t>
        </x:is>
      </x:c>
      <x:c r="D341" s="24" t="inlineStr">
        <x:is>
          <x:t xml:space="preserve">Tales of the Star Wars Galaxy: Luke Skywalker meets Ahsoka Tano and speak to Anakin</x:t>
        </x:is>
      </x:c>
      <x:c r="E341" s="25" t="inlineStr">
        <x:is>
          <x:t xml:space="preserve"/>
        </x:is>
      </x:c>
      <x:c r="F341" s="26" t="inlineStr">
        <x:is>
          <x:t xml:space="preserve">Displayed as “1y ago” on October 17, 2026</x:t>
        </x:is>
      </x:c>
      <x:c r="G341" s="24" t="inlineStr">
        <x:is>
          <x:t xml:space="preserve">Fan-made / non-canon</x:t>
        </x:is>
      </x:c>
      <x:c r="H341" s="24" t="inlineStr">
        <x:is>
          <x:t xml:space="preserve">AI fan film</x:t>
        </x:is>
      </x:c>
      <x:c r="I341" s="24" t="inlineStr">
        <x:is>
          <x:t xml:space="preserve">YouTube — Skywalker Stories</x:t>
        </x:is>
      </x:c>
      <x:c r="J341" s="27" t="e">
        <x:f>HYPERLINK("https://www.youtube.com/watch?v=-LulLYID1K0","Open")</x:f>
        <x:v>HYPERLINK is not implemented. linkLocation=https://www.youtube.com/watch?v=-LulLYID1K0, friendlyName=Open</x:v>
      </x:c>
      <x:c r="K341" s="24" t="inlineStr">
        <x:is>
          <x:t xml:space="preserve">Skywalker Stories. Around The Mandalorian/The Book of Boba Fett era. Placement confidence: High.</x:t>
        </x:is>
      </x:c>
    </x:row>
    <x:row r="342" s="23" customFormat="1" ht="15.75" customHeight="1">
      <x:c r="A342" s="28" t="b">
        <x:v>0</x:v>
      </x:c>
      <x:c r="B342" s="21" t="inlineStr">
        <x:is>
          <x:t xml:space="preserve">SWS-078</x:t>
        </x:is>
      </x:c>
      <x:c r="C342" s="14" t="inlineStr">
        <x:is>
          <x:t xml:space="preserve">Skywalker Stories — New Republic</x:t>
        </x:is>
      </x:c>
      <x:c r="D342" s="24" t="inlineStr">
        <x:is>
          <x:t xml:space="preserve">Tales of the Star Wars Galaxy: Din Djarin and Boba Fett seek out Luke Skywalker about Thrawn</x:t>
        </x:is>
      </x:c>
      <x:c r="E342" s="25" t="inlineStr">
        <x:is>
          <x:t xml:space="preserve"/>
        </x:is>
      </x:c>
      <x:c r="F342" s="26" t="inlineStr">
        <x:is>
          <x:t xml:space="preserve">Displayed as “1y ago” on October 17, 2026</x:t>
        </x:is>
      </x:c>
      <x:c r="G342" s="24" t="inlineStr">
        <x:is>
          <x:t xml:space="preserve">Fan-made / non-canon</x:t>
        </x:is>
      </x:c>
      <x:c r="H342" s="24" t="inlineStr">
        <x:is>
          <x:t xml:space="preserve">AI fan film</x:t>
        </x:is>
      </x:c>
      <x:c r="I342" s="24" t="inlineStr">
        <x:is>
          <x:t xml:space="preserve">YouTube — Skywalker Stories</x:t>
        </x:is>
      </x:c>
      <x:c r="J342" s="27" t="e">
        <x:f>HYPERLINK("https://www.youtube.com/watch?v=0tdxW14paxU","Open")</x:f>
        <x:v>HYPERLINK is not implemented. linkLocation=https://www.youtube.com/watch?v=0tdxW14paxU, friendlyName=Open</x:v>
      </x:c>
      <x:c r="K342" s="24" t="inlineStr">
        <x:is>
          <x:t xml:space="preserve">Skywalker Stories. New Republic era, after Luke meets Din Djarin and Grogu. Placement confidence: Medium.</x:t>
        </x:is>
      </x:c>
    </x:row>
    <x:row r="343" s="23" customFormat="1" ht="15.75" customHeight="1">
      <x:c r="A343" s="28" t="b">
        <x:v>0</x:v>
      </x:c>
      <x:c r="B343" s="21" t="inlineStr">
        <x:is>
          <x:t xml:space="preserve">SWS-099</x:t>
        </x:is>
      </x:c>
      <x:c r="C343" s="14" t="inlineStr">
        <x:is>
          <x:t xml:space="preserve">Skywalker Stories — New Republic</x:t>
        </x:is>
      </x:c>
      <x:c r="D343" s="24" t="inlineStr">
        <x:is>
          <x:t xml:space="preserve">Tales of the Star Wars Galaxy: The Mandalorian and Boba Fett learn about Thrawn's return</x:t>
        </x:is>
      </x:c>
      <x:c r="E343" s="25" t="inlineStr">
        <x:is>
          <x:t xml:space="preserve"/>
        </x:is>
      </x:c>
      <x:c r="F343" s="26" t="inlineStr">
        <x:is>
          <x:t xml:space="preserve">Displayed as “2y ago” on October 17, 2026</x:t>
        </x:is>
      </x:c>
      <x:c r="G343" s="24" t="inlineStr">
        <x:is>
          <x:t xml:space="preserve">Fan-made / non-canon</x:t>
        </x:is>
      </x:c>
      <x:c r="H343" s="24" t="inlineStr">
        <x:is>
          <x:t xml:space="preserve">AI fan film</x:t>
        </x:is>
      </x:c>
      <x:c r="I343" s="24" t="inlineStr">
        <x:is>
          <x:t xml:space="preserve">YouTube — Skywalker Stories</x:t>
        </x:is>
      </x:c>
      <x:c r="J343" s="27" t="e">
        <x:f>HYPERLINK("https://www.youtube.com/watch?v=ALnFpmRd7tk","Open")</x:f>
        <x:v>HYPERLINK is not implemented. linkLocation=https://www.youtube.com/watch?v=ALnFpmRd7tk, friendlyName=Open</x:v>
      </x:c>
      <x:c r="K343" s="24" t="inlineStr">
        <x:is>
          <x:t xml:space="preserve">Skywalker Stories. New Republic era, after Luke meets Din Djarin and Grogu. Placement confidence: Medium.</x:t>
        </x:is>
      </x:c>
    </x:row>
    <x:row r="344" s="23" customFormat="1" ht="15.75" customHeight="1">
      <x:c r="A344" s="28" t="b">
        <x:v>0</x:v>
      </x:c>
      <x:c r="B344" s="21" t="inlineStr">
        <x:is>
          <x:t xml:space="preserve">SWS-093</x:t>
        </x:is>
      </x:c>
      <x:c r="C344" s="14" t="inlineStr">
        <x:is>
          <x:t xml:space="preserve">Skywalker Stories — New Republic</x:t>
        </x:is>
      </x:c>
      <x:c r="D344" s="24" t="inlineStr">
        <x:is>
          <x:t xml:space="preserve">Tales of the Star Wars Galaxy: Luke Skywalker, Leia, and Han Solo discuss Thrawn's return</x:t>
        </x:is>
      </x:c>
      <x:c r="E344" s="25" t="inlineStr">
        <x:is>
          <x:t xml:space="preserve"/>
        </x:is>
      </x:c>
      <x:c r="F344" s="26" t="inlineStr">
        <x:is>
          <x:t xml:space="preserve">Displayed as “2y ago” on October 17, 2026</x:t>
        </x:is>
      </x:c>
      <x:c r="G344" s="24" t="inlineStr">
        <x:is>
          <x:t xml:space="preserve">Fan-made / non-canon</x:t>
        </x:is>
      </x:c>
      <x:c r="H344" s="24" t="inlineStr">
        <x:is>
          <x:t xml:space="preserve">AI fan film</x:t>
        </x:is>
      </x:c>
      <x:c r="I344" s="24" t="inlineStr">
        <x:is>
          <x:t xml:space="preserve">YouTube — Skywalker Stories</x:t>
        </x:is>
      </x:c>
      <x:c r="J344" s="27" t="e">
        <x:f>HYPERLINK("https://www.youtube.com/watch?v=GgM5ucUpAy0","Open")</x:f>
        <x:v>HYPERLINK is not implemented. linkLocation=https://www.youtube.com/watch?v=GgM5ucUpAy0, friendlyName=Open</x:v>
      </x:c>
      <x:c r="K344" s="24" t="inlineStr">
        <x:is>
          <x:t xml:space="preserve">Skywalker Stories. Around Ahsoka and the emerging threat of Thrawn's return. Placement confidence: High.</x:t>
        </x:is>
      </x:c>
    </x:row>
    <x:row r="345" s="23" customFormat="1" ht="15.75" customHeight="1">
      <x:c r="A345" s="28" t="b">
        <x:v>0</x:v>
      </x:c>
      <x:c r="B345" s="21" t="inlineStr">
        <x:is>
          <x:t xml:space="preserve">SWS-019</x:t>
        </x:is>
      </x:c>
      <x:c r="C345" s="14" t="inlineStr">
        <x:is>
          <x:t xml:space="preserve">Skywalker Stories — New Republic</x:t>
        </x:is>
      </x:c>
      <x:c r="D345" s="24" t="inlineStr">
        <x:is>
          <x:t xml:space="preserve">Star Wars: Luke Skywalker and Anakin in The World Between Worlds</x:t>
        </x:is>
      </x:c>
      <x:c r="E345" s="25" t="inlineStr">
        <x:is>
          <x:t xml:space="preserve"/>
        </x:is>
      </x:c>
      <x:c r="F345" s="26" t="inlineStr">
        <x:is>
          <x:t xml:space="preserve">Displayed as “11mo ago” on October 17, 2026</x:t>
        </x:is>
      </x:c>
      <x:c r="G345" s="24" t="inlineStr">
        <x:is>
          <x:t xml:space="preserve">Fan-made / non-canon</x:t>
        </x:is>
      </x:c>
      <x:c r="H345" s="24" t="inlineStr">
        <x:is>
          <x:t xml:space="preserve">AI fan film</x:t>
        </x:is>
      </x:c>
      <x:c r="I345" s="24" t="inlineStr">
        <x:is>
          <x:t xml:space="preserve">YouTube — Skywalker Stories</x:t>
        </x:is>
      </x:c>
      <x:c r="J345" s="27" t="e">
        <x:f>HYPERLINK("https://www.youtube.com/watch?v=nlYKedsYe50","Open")</x:f>
        <x:v>HYPERLINK is not implemented. linkLocation=https://www.youtube.com/watch?v=nlYKedsYe50, friendlyName=Open</x:v>
      </x:c>
      <x:c r="K345" s="24" t="inlineStr">
        <x:is>
          <x:t xml:space="preserve">Skywalker Stories. New Republic era; speculative World Between Worlds encounter. Placement confidence: Medium.</x:t>
        </x:is>
      </x:c>
    </x:row>
    <x:row r="346" s="23" customFormat="1" ht="15.75" customHeight="1">
      <x:c r="A346" s="28" t="b">
        <x:v>0</x:v>
      </x:c>
      <x:c r="B346" s="21" t="inlineStr">
        <x:is>
          <x:t xml:space="preserve">SWS-002</x:t>
        </x:is>
      </x:c>
      <x:c r="C346" s="14" t="inlineStr">
        <x:is>
          <x:t xml:space="preserve">Skywalker Stories — New Republic</x:t>
        </x:is>
      </x:c>
      <x:c r="D346" s="24" t="inlineStr">
        <x:is>
          <x:t xml:space="preserve">Star Wars: Luke Skywalker and Anakin Skywalker in The World Between Worlds</x:t>
        </x:is>
      </x:c>
      <x:c r="E346" s="25" t="inlineStr">
        <x:is>
          <x:t xml:space="preserve"/>
        </x:is>
      </x:c>
      <x:c r="F346" s="26" t="inlineStr">
        <x:is>
          <x:t xml:space="preserve">Displayed as “1mo ago” on October 17, 2026</x:t>
        </x:is>
      </x:c>
      <x:c r="G346" s="24" t="inlineStr">
        <x:is>
          <x:t xml:space="preserve">Fan-made / non-canon</x:t>
        </x:is>
      </x:c>
      <x:c r="H346" s="24" t="inlineStr">
        <x:is>
          <x:t xml:space="preserve">AI fan film</x:t>
        </x:is>
      </x:c>
      <x:c r="I346" s="24" t="inlineStr">
        <x:is>
          <x:t xml:space="preserve">YouTube — Skywalker Stories</x:t>
        </x:is>
      </x:c>
      <x:c r="J346" s="27" t="e">
        <x:f>HYPERLINK("https://www.youtube.com/watch?v=qInG0fDGyRA","Open")</x:f>
        <x:v>HYPERLINK is not implemented. linkLocation=https://www.youtube.com/watch?v=qInG0fDGyRA, friendlyName=Open</x:v>
      </x:c>
      <x:c r="K346" s="24" t="inlineStr">
        <x:is>
          <x:t xml:space="preserve">Skywalker Stories. New Republic era; speculative World Between Worlds encounter. Placement confidence: Medium.</x:t>
        </x:is>
      </x:c>
    </x:row>
    <x:row r="347" s="23" customFormat="1" ht="15.75" customHeight="1">
      <x:c r="A347" s="28" t="b">
        <x:v>0</x:v>
      </x:c>
      <x:c r="B347" s="21" t="inlineStr">
        <x:is>
          <x:t xml:space="preserve">SWS-091</x:t>
        </x:is>
      </x:c>
      <x:c r="C347" s="14" t="inlineStr">
        <x:is>
          <x:t xml:space="preserve">Skywalker Stories — New Republic</x:t>
        </x:is>
      </x:c>
      <x:c r="D347" s="24" t="inlineStr">
        <x:is>
          <x:t xml:space="preserve">Tales of the Star Wars Galaxy: Anakin Skywalker and Obi Wan talk to Luke Skywalker about Baylan</x:t>
        </x:is>
      </x:c>
      <x:c r="E347" s="25" t="inlineStr">
        <x:is>
          <x:t xml:space="preserve"/>
        </x:is>
      </x:c>
      <x:c r="F347" s="26" t="inlineStr">
        <x:is>
          <x:t xml:space="preserve">Displayed as “2y ago” on October 17, 2026</x:t>
        </x:is>
      </x:c>
      <x:c r="G347" s="24" t="inlineStr">
        <x:is>
          <x:t xml:space="preserve">Fan-made / non-canon</x:t>
        </x:is>
      </x:c>
      <x:c r="H347" s="24" t="inlineStr">
        <x:is>
          <x:t xml:space="preserve">AI fan film</x:t>
        </x:is>
      </x:c>
      <x:c r="I347" s="24" t="inlineStr">
        <x:is>
          <x:t xml:space="preserve">YouTube — Skywalker Stories</x:t>
        </x:is>
      </x:c>
      <x:c r="J347" s="27" t="e">
        <x:f>HYPERLINK("https://www.youtube.com/watch?v=hn-1oxgU4gI","Open")</x:f>
        <x:v>HYPERLINK is not implemented. linkLocation=https://www.youtube.com/watch?v=hn-1oxgU4gI, friendlyName=Open</x:v>
      </x:c>
      <x:c r="K347" s="24" t="inlineStr">
        <x:is>
          <x:t xml:space="preserve">Skywalker Stories. After Ahsoka, during Luke's New Republic-era Jedi work. Placement confidence: Medium.</x:t>
        </x:is>
      </x:c>
    </x:row>
    <x:row r="348" s="23" customFormat="1" ht="15.75" customHeight="1">
      <x:c r="A348" s="28" t="b">
        <x:v>0</x:v>
      </x:c>
      <x:c r="B348" s="21" t="inlineStr">
        <x:is>
          <x:t xml:space="preserve">SWS-104</x:t>
        </x:is>
      </x:c>
      <x:c r="C348" s="14" t="inlineStr">
        <x:is>
          <x:t xml:space="preserve">Skywalker Stories — New Republic</x:t>
        </x:is>
      </x:c>
      <x:c r="D348" s="24" t="inlineStr">
        <x:is>
          <x:t xml:space="preserve">Tales of the Star Wars Galaxy: Luke Skywalker finds out about Leia &amp; Han having a kid</x:t>
        </x:is>
      </x:c>
      <x:c r="E348" s="25" t="inlineStr">
        <x:is>
          <x:t xml:space="preserve"/>
        </x:is>
      </x:c>
      <x:c r="F348" s="26" t="inlineStr">
        <x:is>
          <x:t xml:space="preserve">Displayed as “2y ago” on October 17, 2026</x:t>
        </x:is>
      </x:c>
      <x:c r="G348" s="24" t="inlineStr">
        <x:is>
          <x:t xml:space="preserve">Fan-made / non-canon</x:t>
        </x:is>
      </x:c>
      <x:c r="H348" s="24" t="inlineStr">
        <x:is>
          <x:t xml:space="preserve">AI fan film</x:t>
        </x:is>
      </x:c>
      <x:c r="I348" s="24" t="inlineStr">
        <x:is>
          <x:t xml:space="preserve">YouTube — Skywalker Stories</x:t>
        </x:is>
      </x:c>
      <x:c r="J348" s="27" t="e">
        <x:f>HYPERLINK("https://www.youtube.com/watch?v=SNZr_5Gpplk","Open")</x:f>
        <x:v>HYPERLINK is not implemented. linkLocation=https://www.youtube.com/watch?v=SNZr_5Gpplk, friendlyName=Open</x:v>
      </x:c>
      <x:c r="K348" s="24" t="inlineStr">
        <x:is>
          <x:t xml:space="preserve">Skywalker Stories. Early New Republic, after Leia and Han begin their family. Placement confidence: Medium.</x:t>
        </x:is>
      </x:c>
    </x:row>
    <x:row r="349" s="23" customFormat="1" ht="15.75" customHeight="1">
      <x:c r="A349" s="28" t="b">
        <x:v>0</x:v>
      </x:c>
      <x:c r="B349" s="21" t="inlineStr">
        <x:is>
          <x:t xml:space="preserve">SWS-056</x:t>
        </x:is>
      </x:c>
      <x:c r="C349" s="14" t="inlineStr">
        <x:is>
          <x:t xml:space="preserve">Skywalker Stories — New Republic</x:t>
        </x:is>
      </x:c>
      <x:c r="D349" s="24" t="inlineStr">
        <x:is>
          <x:t xml:space="preserve">Tales of the Star Wars Galaxy: Luke Skywalker Guides Ben Solo in the Force</x:t>
        </x:is>
      </x:c>
      <x:c r="E349" s="25" t="inlineStr">
        <x:is>
          <x:t xml:space="preserve"/>
        </x:is>
      </x:c>
      <x:c r="F349" s="26" t="inlineStr">
        <x:is>
          <x:t xml:space="preserve">Displayed as “1y ago” on October 17, 2026</x:t>
        </x:is>
      </x:c>
      <x:c r="G349" s="24" t="inlineStr">
        <x:is>
          <x:t xml:space="preserve">Fan-made / non-canon</x:t>
        </x:is>
      </x:c>
      <x:c r="H349" s="24" t="inlineStr">
        <x:is>
          <x:t xml:space="preserve">AI fan film</x:t>
        </x:is>
      </x:c>
      <x:c r="I349" s="24" t="inlineStr">
        <x:is>
          <x:t xml:space="preserve">YouTube — Skywalker Stories</x:t>
        </x:is>
      </x:c>
      <x:c r="J349" s="27" t="e">
        <x:f>HYPERLINK("https://www.youtube.com/watch?v=An8T-X_6GvA","Open")</x:f>
        <x:v>HYPERLINK is not implemented. linkLocation=https://www.youtube.com/watch?v=An8T-X_6GvA, friendlyName=Open</x:v>
      </x:c>
      <x:c r="K349" s="24" t="inlineStr">
        <x:is>
          <x:t xml:space="preserve">Skywalker Stories. During Ben Solo's training at Luke's Jedi academy. Placement confidence: High.</x:t>
        </x:is>
      </x:c>
    </x:row>
    <x:row r="350" s="23" customFormat="1" ht="15.75" customHeight="1">
      <x:c r="A350" s="28" t="b">
        <x:v>0</x:v>
      </x:c>
      <x:c r="B350" s="21" t="inlineStr">
        <x:is>
          <x:t xml:space="preserve">SWS-106</x:t>
        </x:is>
      </x:c>
      <x:c r="C350" s="14" t="inlineStr">
        <x:is>
          <x:t xml:space="preserve">Skywalker Stories — New Republic</x:t>
        </x:is>
      </x:c>
      <x:c r="D350" s="24" t="inlineStr">
        <x:is>
          <x:t xml:space="preserve">Tales of the Star Wars Galaxy: Luke Skywalker helps find balance in Ben Solo</x:t>
        </x:is>
      </x:c>
      <x:c r="E350" s="25" t="inlineStr">
        <x:is>
          <x:t xml:space="preserve"/>
        </x:is>
      </x:c>
      <x:c r="F350" s="26" t="inlineStr">
        <x:is>
          <x:t xml:space="preserve">Displayed as “2y ago” on October 17, 2026</x:t>
        </x:is>
      </x:c>
      <x:c r="G350" s="24" t="inlineStr">
        <x:is>
          <x:t xml:space="preserve">Fan-made / non-canon</x:t>
        </x:is>
      </x:c>
      <x:c r="H350" s="24" t="inlineStr">
        <x:is>
          <x:t xml:space="preserve">AI fan film</x:t>
        </x:is>
      </x:c>
      <x:c r="I350" s="24" t="inlineStr">
        <x:is>
          <x:t xml:space="preserve">YouTube — Skywalker Stories</x:t>
        </x:is>
      </x:c>
      <x:c r="J350" s="27" t="e">
        <x:f>HYPERLINK("https://www.youtube.com/watch?v=TxlvyVoxJ6g","Open")</x:f>
        <x:v>HYPERLINK is not implemented. linkLocation=https://www.youtube.com/watch?v=TxlvyVoxJ6g, friendlyName=Open</x:v>
      </x:c>
      <x:c r="K350" s="24" t="inlineStr">
        <x:is>
          <x:t xml:space="preserve">Skywalker Stories. During Ben Solo's training at Luke's Jedi academy. Placement confidence: High.</x:t>
        </x:is>
      </x:c>
    </x:row>
    <x:row r="351" s="23" customFormat="1" ht="15.75" customHeight="1">
      <x:c r="A351" s="28" t="b">
        <x:v>0</x:v>
      </x:c>
      <x:c r="B351" s="21" t="inlineStr">
        <x:is>
          <x:t xml:space="preserve">SWS-063</x:t>
        </x:is>
      </x:c>
      <x:c r="C351" s="14" t="inlineStr">
        <x:is>
          <x:t xml:space="preserve">Skywalker Stories — New Republic</x:t>
        </x:is>
      </x:c>
      <x:c r="D351" s="24" t="inlineStr">
        <x:is>
          <x:t xml:space="preserve">Tales of the Star Wars Galaxy: Cal Kestis meets Luke Skywalker</x:t>
        </x:is>
      </x:c>
      <x:c r="E351" s="25" t="inlineStr">
        <x:is>
          <x:t xml:space="preserve"/>
        </x:is>
      </x:c>
      <x:c r="F351" s="26" t="inlineStr">
        <x:is>
          <x:t xml:space="preserve">Displayed as “1y ago” on October 17, 2026</x:t>
        </x:is>
      </x:c>
      <x:c r="G351" s="24" t="inlineStr">
        <x:is>
          <x:t xml:space="preserve">Fan-made / non-canon</x:t>
        </x:is>
      </x:c>
      <x:c r="H351" s="24" t="inlineStr">
        <x:is>
          <x:t xml:space="preserve">AI fan film</x:t>
        </x:is>
      </x:c>
      <x:c r="I351" s="24" t="inlineStr">
        <x:is>
          <x:t xml:space="preserve">YouTube — Skywalker Stories</x:t>
        </x:is>
      </x:c>
      <x:c r="J351" s="27" t="e">
        <x:f>HYPERLINK("https://www.youtube.com/watch?v=_f-gTUDm-Nk","Open")</x:f>
        <x:v>HYPERLINK is not implemented. linkLocation=https://www.youtube.com/watch?v=_f-gTUDm-Nk, friendlyName=Open</x:v>
      </x:c>
      <x:c r="K351" s="24" t="inlineStr">
        <x:is>
          <x:t xml:space="preserve">Skywalker Stories. Speculative post-Endor meeting; Cal Kestis's status makes placement uncertain. Placement confidence: Low.</x:t>
        </x:is>
      </x:c>
    </x:row>
    <x:row r="352" s="23" customFormat="1" ht="15.75" customHeight="1">
      <x:c r="A352" s="28" t="b">
        <x:v>0</x:v>
      </x:c>
      <x:c r="B352" s="21" t="inlineStr">
        <x:is>
          <x:t xml:space="preserve">SWS-021</x:t>
        </x:is>
      </x:c>
      <x:c r="C352" s="14" t="inlineStr">
        <x:is>
          <x:t xml:space="preserve">Skywalker Stories — Legends after Endor</x:t>
        </x:is>
      </x:c>
      <x:c r="D352" s="24" t="inlineStr">
        <x:is>
          <x:t xml:space="preserve">Star Wars: Luke Skywalker Guides Jacen Solo</x:t>
        </x:is>
      </x:c>
      <x:c r="E352" s="25" t="inlineStr">
        <x:is>
          <x:t xml:space="preserve"/>
        </x:is>
      </x:c>
      <x:c r="F352" s="26" t="inlineStr">
        <x:is>
          <x:t xml:space="preserve">Displayed as “1y ago” on October 17, 2026</x:t>
        </x:is>
      </x:c>
      <x:c r="G352" s="24" t="inlineStr">
        <x:is>
          <x:t xml:space="preserve">Fan-made / non-canon</x:t>
        </x:is>
      </x:c>
      <x:c r="H352" s="24" t="inlineStr">
        <x:is>
          <x:t xml:space="preserve">AI fan film</x:t>
        </x:is>
      </x:c>
      <x:c r="I352" s="24" t="inlineStr">
        <x:is>
          <x:t xml:space="preserve">YouTube — Skywalker Stories</x:t>
        </x:is>
      </x:c>
      <x:c r="J352" s="27" t="e">
        <x:f>HYPERLINK("https://www.youtube.com/watch?v=TNF569-WWl0","Open")</x:f>
        <x:v>HYPERLINK is not implemented. linkLocation=https://www.youtube.com/watch?v=TNF569-WWl0, friendlyName=Open</x:v>
      </x:c>
      <x:c r="K352" s="24" t="inlineStr">
        <x:is>
          <x:t xml:space="preserve">Skywalker Stories. Legends post-Endor continuity; exact placement depends on the referenced novel era. Placement confidence: Medium.</x:t>
        </x:is>
      </x:c>
    </x:row>
    <x:row r="353" s="23" customFormat="1" ht="15.75" customHeight="1">
      <x:c r="A353" s="28" t="b">
        <x:v>0</x:v>
      </x:c>
      <x:c r="B353" s="21" t="inlineStr">
        <x:is>
          <x:t xml:space="preserve">SWS-068</x:t>
        </x:is>
      </x:c>
      <x:c r="C353" s="14" t="inlineStr">
        <x:is>
          <x:t xml:space="preserve">Skywalker Stories — Legends after Endor</x:t>
        </x:is>
      </x:c>
      <x:c r="D353" s="24" t="inlineStr">
        <x:is>
          <x:t xml:space="preserve">Tales of the Star Wars Galaxy: Anakin Skywalker &amp; Obi Wan visit Luke Skywalker after Abeloth</x:t>
        </x:is>
      </x:c>
      <x:c r="E353" s="25" t="inlineStr">
        <x:is>
          <x:t xml:space="preserve"/>
        </x:is>
      </x:c>
      <x:c r="F353" s="26" t="inlineStr">
        <x:is>
          <x:t xml:space="preserve">Displayed as “1y ago” on October 17, 2026</x:t>
        </x:is>
      </x:c>
      <x:c r="G353" s="24" t="inlineStr">
        <x:is>
          <x:t xml:space="preserve">Fan-made / non-canon</x:t>
        </x:is>
      </x:c>
      <x:c r="H353" s="24" t="inlineStr">
        <x:is>
          <x:t xml:space="preserve">AI fan film</x:t>
        </x:is>
      </x:c>
      <x:c r="I353" s="24" t="inlineStr">
        <x:is>
          <x:t xml:space="preserve">YouTube — Skywalker Stories</x:t>
        </x:is>
      </x:c>
      <x:c r="J353" s="27" t="e">
        <x:f>HYPERLINK("https://www.youtube.com/watch?v=kzld5M80ZOk","Open")</x:f>
        <x:v>HYPERLINK is not implemented. linkLocation=https://www.youtube.com/watch?v=kzld5M80ZOk, friendlyName=Open</x:v>
      </x:c>
      <x:c r="K353" s="24" t="inlineStr">
        <x:is>
          <x:t xml:space="preserve">Skywalker Stories. Legends post-Endor continuity; exact placement depends on the referenced novel era. Placement confidence: Medium.</x:t>
        </x:is>
      </x:c>
    </x:row>
    <x:row r="354" s="23" customFormat="1" ht="15.75" customHeight="1">
      <x:c r="A354" s="28" t="b">
        <x:v>0</x:v>
      </x:c>
      <x:c r="B354" s="21" t="inlineStr">
        <x:is>
          <x:t xml:space="preserve">SWS-103</x:t>
        </x:is>
      </x:c>
      <x:c r="C354" s="14" t="inlineStr">
        <x:is>
          <x:t xml:space="preserve">Skywalker Stories — Legends after Endor</x:t>
        </x:is>
      </x:c>
      <x:c r="D354" s="24" t="inlineStr">
        <x:is>
          <x:t xml:space="preserve">Tales of the Star Wars Galaxy: Luke Skywalker talks with Anakin and Obi Wan about Mara Jade</x:t>
        </x:is>
      </x:c>
      <x:c r="E354" s="25" t="inlineStr">
        <x:is>
          <x:t xml:space="preserve"/>
        </x:is>
      </x:c>
      <x:c r="F354" s="26" t="inlineStr">
        <x:is>
          <x:t xml:space="preserve">Displayed as “2y ago” on October 17, 2026</x:t>
        </x:is>
      </x:c>
      <x:c r="G354" s="24" t="inlineStr">
        <x:is>
          <x:t xml:space="preserve">Fan-made / non-canon</x:t>
        </x:is>
      </x:c>
      <x:c r="H354" s="24" t="inlineStr">
        <x:is>
          <x:t xml:space="preserve">AI fan film</x:t>
        </x:is>
      </x:c>
      <x:c r="I354" s="24" t="inlineStr">
        <x:is>
          <x:t xml:space="preserve">YouTube — Skywalker Stories</x:t>
        </x:is>
      </x:c>
      <x:c r="J354" s="27" t="e">
        <x:f>HYPERLINK("https://www.youtube.com/watch?v=6knBj2CUYsY","Open")</x:f>
        <x:v>HYPERLINK is not implemented. linkLocation=https://www.youtube.com/watch?v=6knBj2CUYsY, friendlyName=Open</x:v>
      </x:c>
      <x:c r="K354" s="24" t="inlineStr">
        <x:is>
          <x:t xml:space="preserve">Skywalker Stories. Legends post-Endor continuity; exact placement depends on the referenced novel era. Placement confidence: Medium.</x:t>
        </x:is>
      </x:c>
    </x:row>
    <x:row r="355" s="23" customFormat="1" ht="15.75" customHeight="1">
      <x:c r="A355" s="28" t="b">
        <x:v>0</x:v>
      </x:c>
      <x:c r="B355" s="21" t="inlineStr">
        <x:is>
          <x:t xml:space="preserve">SWS-100</x:t>
        </x:is>
      </x:c>
      <x:c r="C355" s="14" t="inlineStr">
        <x:is>
          <x:t xml:space="preserve">Skywalker Stories — Legends after Endor</x:t>
        </x:is>
      </x:c>
      <x:c r="D355" s="24" t="inlineStr">
        <x:is>
          <x:t xml:space="preserve">Tales of the Star Wars Galaxy: Luke teaches Jaina and Jacen Solo</x:t>
        </x:is>
      </x:c>
      <x:c r="E355" s="25" t="inlineStr">
        <x:is>
          <x:t xml:space="preserve"/>
        </x:is>
      </x:c>
      <x:c r="F355" s="26" t="inlineStr">
        <x:is>
          <x:t xml:space="preserve">Displayed as “2y ago” on October 17, 2026</x:t>
        </x:is>
      </x:c>
      <x:c r="G355" s="24" t="inlineStr">
        <x:is>
          <x:t xml:space="preserve">Fan-made / non-canon</x:t>
        </x:is>
      </x:c>
      <x:c r="H355" s="24" t="inlineStr">
        <x:is>
          <x:t xml:space="preserve">AI fan film</x:t>
        </x:is>
      </x:c>
      <x:c r="I355" s="24" t="inlineStr">
        <x:is>
          <x:t xml:space="preserve">YouTube — Skywalker Stories</x:t>
        </x:is>
      </x:c>
      <x:c r="J355" s="27" t="e">
        <x:f>HYPERLINK("https://www.youtube.com/watch?v=Fv4PNUrZqcE","Open")</x:f>
        <x:v>HYPERLINK is not implemented. linkLocation=https://www.youtube.com/watch?v=Fv4PNUrZqcE, friendlyName=Open</x:v>
      </x:c>
      <x:c r="K355" s="24" t="inlineStr">
        <x:is>
          <x:t xml:space="preserve">Skywalker Stories. Legends post-Endor continuity; exact placement depends on the referenced novel era. Placement confidence: Medium.</x:t>
        </x:is>
      </x:c>
    </x:row>
    <x:row r="356" s="23" customFormat="1" ht="15.75" customHeight="1">
      <x:c r="A356" s="28" t="b">
        <x:v>0</x:v>
      </x:c>
      <x:c r="B356" s="21" t="inlineStr">
        <x:is>
          <x:t xml:space="preserve">SWS-098</x:t>
        </x:is>
      </x:c>
      <x:c r="C356" s="14" t="inlineStr">
        <x:is>
          <x:t xml:space="preserve">Skywalker Stories — Legends after Endor</x:t>
        </x:is>
      </x:c>
      <x:c r="D356" s="24" t="inlineStr">
        <x:is>
          <x:t xml:space="preserve">Tales of the Star Wars Galaxy: Mara Jade confronts Darth Caedus</x:t>
        </x:is>
      </x:c>
      <x:c r="E356" s="25" t="inlineStr">
        <x:is>
          <x:t xml:space="preserve"/>
        </x:is>
      </x:c>
      <x:c r="F356" s="26" t="inlineStr">
        <x:is>
          <x:t xml:space="preserve">Displayed as “2y ago” on October 17, 2026</x:t>
        </x:is>
      </x:c>
      <x:c r="G356" s="24" t="inlineStr">
        <x:is>
          <x:t xml:space="preserve">Fan-made / non-canon</x:t>
        </x:is>
      </x:c>
      <x:c r="H356" s="24" t="inlineStr">
        <x:is>
          <x:t xml:space="preserve">AI fan film</x:t>
        </x:is>
      </x:c>
      <x:c r="I356" s="24" t="inlineStr">
        <x:is>
          <x:t xml:space="preserve">YouTube — Skywalker Stories</x:t>
        </x:is>
      </x:c>
      <x:c r="J356" s="27" t="e">
        <x:f>HYPERLINK("https://www.youtube.com/watch?v=dmJcjy_q1wQ","Open")</x:f>
        <x:v>HYPERLINK is not implemented. linkLocation=https://www.youtube.com/watch?v=dmJcjy_q1wQ, friendlyName=Open</x:v>
      </x:c>
      <x:c r="K356" s="24" t="inlineStr">
        <x:is>
          <x:t xml:space="preserve">Skywalker Stories. Legends post-Endor continuity; exact placement depends on the referenced novel era. Placement confidence: Medium.</x:t>
        </x:is>
      </x:c>
    </x:row>
    <x:row r="357" s="23" customFormat="1" ht="15.75" customHeight="1">
      <x:c r="A357" s="28" t="b">
        <x:v>0</x:v>
      </x:c>
      <x:c r="B357" s="21" t="inlineStr">
        <x:is>
          <x:t xml:space="preserve">SWS-040</x:t>
        </x:is>
      </x:c>
      <x:c r="C357" s="14" t="inlineStr">
        <x:is>
          <x:t xml:space="preserve">Skywalker Stories — Sequel era</x:t>
        </x:is>
      </x:c>
      <x:c r="D357" s="24" t="inlineStr">
        <x:is>
          <x:t xml:space="preserve">Star Wars: Luke Skywalker’s Guided On Ahch-To By Anakin Skywalker &amp; Obi Wan</x:t>
        </x:is>
      </x:c>
      <x:c r="E357" s="25" t="inlineStr">
        <x:is>
          <x:t xml:space="preserve"/>
        </x:is>
      </x:c>
      <x:c r="F357" s="26" t="inlineStr">
        <x:is>
          <x:t xml:space="preserve">Displayed as “1y ago” on October 17, 2026</x:t>
        </x:is>
      </x:c>
      <x:c r="G357" s="24" t="inlineStr">
        <x:is>
          <x:t xml:space="preserve">Fan-made / non-canon</x:t>
        </x:is>
      </x:c>
      <x:c r="H357" s="24" t="inlineStr">
        <x:is>
          <x:t xml:space="preserve">AI fan film</x:t>
        </x:is>
      </x:c>
      <x:c r="I357" s="24" t="inlineStr">
        <x:is>
          <x:t xml:space="preserve">YouTube — Skywalker Stories</x:t>
        </x:is>
      </x:c>
      <x:c r="J357" s="27" t="e">
        <x:f>HYPERLINK("https://www.youtube.com/watch?v=g9D0_tvFy3I","Open")</x:f>
        <x:v>HYPERLINK is not implemented. linkLocation=https://www.youtube.com/watch?v=g9D0_tvFy3I, friendlyName=Open</x:v>
      </x:c>
      <x:c r="K357" s="24" t="inlineStr">
        <x:is>
          <x:t xml:space="preserve">Skywalker Stories. Around or after Episode VIII: The Last Jedi on Ahch-To. Placement confidence: Medium.</x:t>
        </x:is>
      </x:c>
    </x:row>
    <x:row r="358" s="23" customFormat="1" ht="15.75" customHeight="1">
      <x:c r="A358" s="28" t="b">
        <x:v>0</x:v>
      </x:c>
      <x:c r="B358" s="21" t="inlineStr">
        <x:is>
          <x:t xml:space="preserve">SWS-095</x:t>
        </x:is>
      </x:c>
      <x:c r="C358" s="14" t="inlineStr">
        <x:is>
          <x:t xml:space="preserve">Skywalker Stories — Sequel era</x:t>
        </x:is>
      </x:c>
      <x:c r="D358" s="24" t="inlineStr">
        <x:is>
          <x:t xml:space="preserve">Tales of the Star Wars Galaxy: Anakin Guides Kylo Ren to the light</x:t>
        </x:is>
      </x:c>
      <x:c r="E358" s="25" t="inlineStr">
        <x:is>
          <x:t xml:space="preserve"/>
        </x:is>
      </x:c>
      <x:c r="F358" s="26" t="inlineStr">
        <x:is>
          <x:t xml:space="preserve">Displayed as “2y ago” on October 17, 2026</x:t>
        </x:is>
      </x:c>
      <x:c r="G358" s="24" t="inlineStr">
        <x:is>
          <x:t xml:space="preserve">Fan-made / non-canon</x:t>
        </x:is>
      </x:c>
      <x:c r="H358" s="24" t="inlineStr">
        <x:is>
          <x:t xml:space="preserve">AI fan film</x:t>
        </x:is>
      </x:c>
      <x:c r="I358" s="24" t="inlineStr">
        <x:is>
          <x:t xml:space="preserve">YouTube — Skywalker Stories</x:t>
        </x:is>
      </x:c>
      <x:c r="J358" s="27" t="e">
        <x:f>HYPERLINK("https://www.youtube.com/watch?v=uU7otT-VKyw","Open")</x:f>
        <x:v>HYPERLINK is not implemented. linkLocation=https://www.youtube.com/watch?v=uU7otT-VKyw, friendlyName=Open</x:v>
      </x:c>
      <x:c r="K358" s="24" t="inlineStr">
        <x:is>
          <x:t xml:space="preserve">Skywalker Stories. During the sequel era; alternate intervention in Kylo Ren's path. Placement confidence: Medium.</x:t>
        </x:is>
      </x:c>
    </x:row>
    <x:row r="359" s="23" customFormat="1" ht="15.75" customHeight="1">
      <x:c r="A359" s="28" t="b">
        <x:v>0</x:v>
      </x:c>
      <x:c r="B359" s="21" t="inlineStr">
        <x:is>
          <x:t xml:space="preserve">SWS-047</x:t>
        </x:is>
      </x:c>
      <x:c r="C359" s="14" t="inlineStr">
        <x:is>
          <x:t xml:space="preserve">Skywalker Stories — cross-era / alternate</x:t>
        </x:is>
      </x:c>
      <x:c r="D359" s="24" t="inlineStr">
        <x:is>
          <x:t xml:space="preserve">Star Wars - Emperor Palpatine visits Valkorian at the Eternal Throne</x:t>
        </x:is>
      </x:c>
      <x:c r="E359" s="25" t="inlineStr">
        <x:is>
          <x:t xml:space="preserve"/>
        </x:is>
      </x:c>
      <x:c r="F359" s="26" t="inlineStr">
        <x:is>
          <x:t xml:space="preserve">Displayed as “1y ago” on October 17, 2026</x:t>
        </x:is>
      </x:c>
      <x:c r="G359" s="24" t="inlineStr">
        <x:is>
          <x:t xml:space="preserve">Fan-made / non-canon</x:t>
        </x:is>
      </x:c>
      <x:c r="H359" s="24" t="inlineStr">
        <x:is>
          <x:t xml:space="preserve">AI fan film</x:t>
        </x:is>
      </x:c>
      <x:c r="I359" s="24" t="inlineStr">
        <x:is>
          <x:t xml:space="preserve">YouTube — Skywalker Stories</x:t>
        </x:is>
      </x:c>
      <x:c r="J359" s="27" t="e">
        <x:f>HYPERLINK("https://www.youtube.com/watch?v=oCYpjmOaCVs","Open")</x:f>
        <x:v>HYPERLINK is not implemented. linkLocation=https://www.youtube.com/watch?v=oCYpjmOaCVs, friendlyName=Open</x:v>
      </x:c>
      <x:c r="K359" s="24" t="inlineStr">
        <x:is>
          <x:t xml:space="preserve">Skywalker Stories. Cross-era, supernatural, or explicit alternate-timeline story; no single chronological slot. Placement confidence: High.</x:t>
        </x:is>
      </x:c>
    </x:row>
    <x:row r="360" s="23" customFormat="1" ht="15.75" customHeight="1">
      <x:c r="A360" s="28" t="b">
        <x:v>0</x:v>
      </x:c>
      <x:c r="B360" s="21" t="inlineStr">
        <x:is>
          <x:t xml:space="preserve">SWS-050</x:t>
        </x:is>
      </x:c>
      <x:c r="C360" s="14" t="inlineStr">
        <x:is>
          <x:t xml:space="preserve">Skywalker Stories — cross-era / alternate</x:t>
        </x:is>
      </x:c>
      <x:c r="D360" s="24" t="inlineStr">
        <x:is>
          <x:t xml:space="preserve">Star Wars - Luke Skywalker encounters Darth Malgus on Korriban</x:t>
        </x:is>
      </x:c>
      <x:c r="E360" s="25" t="inlineStr">
        <x:is>
          <x:t xml:space="preserve"/>
        </x:is>
      </x:c>
      <x:c r="F360" s="26" t="inlineStr">
        <x:is>
          <x:t xml:space="preserve">Displayed as “1y ago” on October 17, 2026</x:t>
        </x:is>
      </x:c>
      <x:c r="G360" s="24" t="inlineStr">
        <x:is>
          <x:t xml:space="preserve">Fan-made / non-canon</x:t>
        </x:is>
      </x:c>
      <x:c r="H360" s="24" t="inlineStr">
        <x:is>
          <x:t xml:space="preserve">AI fan film</x:t>
        </x:is>
      </x:c>
      <x:c r="I360" s="24" t="inlineStr">
        <x:is>
          <x:t xml:space="preserve">YouTube — Skywalker Stories</x:t>
        </x:is>
      </x:c>
      <x:c r="J360" s="27" t="e">
        <x:f>HYPERLINK("https://www.youtube.com/watch?v=av7G29HHMio","Open")</x:f>
        <x:v>HYPERLINK is not implemented. linkLocation=https://www.youtube.com/watch?v=av7G29HHMio, friendlyName=Open</x:v>
      </x:c>
      <x:c r="K360" s="24" t="inlineStr">
        <x:is>
          <x:t xml:space="preserve">Skywalker Stories. Cross-era, supernatural, or explicit alternate-timeline story; no single chronological slot. Placement confidence: High.</x:t>
        </x:is>
      </x:c>
    </x:row>
    <x:row r="361" s="23" customFormat="1" ht="15.75" customHeight="1">
      <x:c r="A361" s="28" t="b">
        <x:v>0</x:v>
      </x:c>
      <x:c r="B361" s="21" t="inlineStr">
        <x:is>
          <x:t xml:space="preserve">SWS-052</x:t>
        </x:is>
      </x:c>
      <x:c r="C361" s="14" t="inlineStr">
        <x:is>
          <x:t xml:space="preserve">Skywalker Stories — cross-era / alternate</x:t>
        </x:is>
      </x:c>
      <x:c r="D361" s="24" t="inlineStr">
        <x:is>
          <x:t xml:space="preserve">Star Wars - Revan tells Darth Vader about his prophecy</x:t>
        </x:is>
      </x:c>
      <x:c r="E361" s="25" t="inlineStr">
        <x:is>
          <x:t xml:space="preserve"/>
        </x:is>
      </x:c>
      <x:c r="F361" s="26" t="inlineStr">
        <x:is>
          <x:t xml:space="preserve">Displayed as “1y ago” on October 17, 2026</x:t>
        </x:is>
      </x:c>
      <x:c r="G361" s="24" t="inlineStr">
        <x:is>
          <x:t xml:space="preserve">Fan-made / non-canon</x:t>
        </x:is>
      </x:c>
      <x:c r="H361" s="24" t="inlineStr">
        <x:is>
          <x:t xml:space="preserve">AI fan film</x:t>
        </x:is>
      </x:c>
      <x:c r="I361" s="24" t="inlineStr">
        <x:is>
          <x:t xml:space="preserve">YouTube — Skywalker Stories</x:t>
        </x:is>
      </x:c>
      <x:c r="J361" s="27" t="e">
        <x:f>HYPERLINK("https://www.youtube.com/watch?v=w2I_A3UM344","Open")</x:f>
        <x:v>HYPERLINK is not implemented. linkLocation=https://www.youtube.com/watch?v=w2I_A3UM344, friendlyName=Open</x:v>
      </x:c>
      <x:c r="K361" s="24" t="inlineStr">
        <x:is>
          <x:t xml:space="preserve">Skywalker Stories. Cross-era, supernatural, or explicit alternate-timeline story; no single chronological slot. Placement confidence: High.</x:t>
        </x:is>
      </x:c>
    </x:row>
    <x:row r="362" s="23" customFormat="1" ht="15.75" customHeight="1">
      <x:c r="A362" s="28" t="b">
        <x:v>0</x:v>
      </x:c>
      <x:c r="B362" s="21" t="inlineStr">
        <x:is>
          <x:t xml:space="preserve">SWS-017</x:t>
        </x:is>
      </x:c>
      <x:c r="C362" s="14" t="inlineStr">
        <x:is>
          <x:t xml:space="preserve">Skywalker Stories — cross-era / alternate</x:t>
        </x:is>
      </x:c>
      <x:c r="D362" s="24" t="inlineStr">
        <x:is>
          <x:t xml:space="preserve">Star Wars: Darth Vader Haunted By Darth Malgus</x:t>
        </x:is>
      </x:c>
      <x:c r="E362" s="25" t="inlineStr">
        <x:is>
          <x:t xml:space="preserve"/>
        </x:is>
      </x:c>
      <x:c r="F362" s="26" t="inlineStr">
        <x:is>
          <x:t xml:space="preserve">Displayed as “10mo ago” on October 17, 2026</x:t>
        </x:is>
      </x:c>
      <x:c r="G362" s="24" t="inlineStr">
        <x:is>
          <x:t xml:space="preserve">Fan-made / non-canon</x:t>
        </x:is>
      </x:c>
      <x:c r="H362" s="24" t="inlineStr">
        <x:is>
          <x:t xml:space="preserve">AI fan film</x:t>
        </x:is>
      </x:c>
      <x:c r="I362" s="24" t="inlineStr">
        <x:is>
          <x:t xml:space="preserve">YouTube — Skywalker Stories</x:t>
        </x:is>
      </x:c>
      <x:c r="J362" s="27" t="e">
        <x:f>HYPERLINK("https://www.youtube.com/watch?v=g3t3ILBQ9TE","Open")</x:f>
        <x:v>HYPERLINK is not implemented. linkLocation=https://www.youtube.com/watch?v=g3t3ILBQ9TE, friendlyName=Open</x:v>
      </x:c>
      <x:c r="K362" s="24" t="inlineStr">
        <x:is>
          <x:t xml:space="preserve">Skywalker Stories. Cross-era, supernatural, or explicit alternate-timeline story; no single chronological slot. Placement confidence: High.</x:t>
        </x:is>
      </x:c>
    </x:row>
    <x:row r="363" s="23" customFormat="1" ht="15.75" customHeight="1">
      <x:c r="A363" s="28" t="b">
        <x:v>0</x:v>
      </x:c>
      <x:c r="B363" s="21" t="inlineStr">
        <x:is>
          <x:t xml:space="preserve">SWS-025</x:t>
        </x:is>
      </x:c>
      <x:c r="C363" s="14" t="inlineStr">
        <x:is>
          <x:t xml:space="preserve">Skywalker Stories — cross-era / alternate</x:t>
        </x:is>
      </x:c>
      <x:c r="D363" s="24" t="inlineStr">
        <x:is>
          <x:t xml:space="preserve">Star Wars: Luke Skywalker Encounters Darth Bane on Korriban</x:t>
        </x:is>
      </x:c>
      <x:c r="E363" s="25" t="inlineStr">
        <x:is>
          <x:t xml:space="preserve"/>
        </x:is>
      </x:c>
      <x:c r="F363" s="26" t="inlineStr">
        <x:is>
          <x:t xml:space="preserve">Displayed as “1y ago” on October 17, 2026</x:t>
        </x:is>
      </x:c>
      <x:c r="G363" s="24" t="inlineStr">
        <x:is>
          <x:t xml:space="preserve">Fan-made / non-canon</x:t>
        </x:is>
      </x:c>
      <x:c r="H363" s="24" t="inlineStr">
        <x:is>
          <x:t xml:space="preserve">AI fan film</x:t>
        </x:is>
      </x:c>
      <x:c r="I363" s="24" t="inlineStr">
        <x:is>
          <x:t xml:space="preserve">YouTube — Skywalker Stories</x:t>
        </x:is>
      </x:c>
      <x:c r="J363" s="27" t="e">
        <x:f>HYPERLINK("https://www.youtube.com/watch?v=0CIi-_LgeeE","Open")</x:f>
        <x:v>HYPERLINK is not implemented. linkLocation=https://www.youtube.com/watch?v=0CIi-_LgeeE, friendlyName=Open</x:v>
      </x:c>
      <x:c r="K363" s="24" t="inlineStr">
        <x:is>
          <x:t xml:space="preserve">Skywalker Stories. Cross-era, supernatural, or explicit alternate-timeline story; no single chronological slot. Placement confidence: High.</x:t>
        </x:is>
      </x:c>
    </x:row>
    <x:row r="364" s="23" customFormat="1" ht="15.75" customHeight="1">
      <x:c r="A364" s="28" t="b">
        <x:v>0</x:v>
      </x:c>
      <x:c r="B364" s="21" t="inlineStr">
        <x:is>
          <x:t xml:space="preserve">SWS-105</x:t>
        </x:is>
      </x:c>
      <x:c r="C364" s="14" t="inlineStr">
        <x:is>
          <x:t xml:space="preserve">Skywalker Stories — cross-era / alternate</x:t>
        </x:is>
      </x:c>
      <x:c r="D364" s="24" t="inlineStr">
        <x:is>
          <x:t xml:space="preserve">Tales of the Sith: Vader Trains Grogu | Trailer</x:t>
        </x:is>
      </x:c>
      <x:c r="E364" s="25" t="inlineStr">
        <x:is>
          <x:t xml:space="preserve"/>
        </x:is>
      </x:c>
      <x:c r="F364" s="26" t="inlineStr">
        <x:is>
          <x:t xml:space="preserve">Displayed as “2y ago” on October 17, 2026</x:t>
        </x:is>
      </x:c>
      <x:c r="G364" s="24" t="inlineStr">
        <x:is>
          <x:t xml:space="preserve">Fan-made / non-canon</x:t>
        </x:is>
      </x:c>
      <x:c r="H364" s="24" t="inlineStr">
        <x:is>
          <x:t xml:space="preserve">AI fan film</x:t>
        </x:is>
      </x:c>
      <x:c r="I364" s="24" t="inlineStr">
        <x:is>
          <x:t xml:space="preserve">YouTube — Skywalker Stories</x:t>
        </x:is>
      </x:c>
      <x:c r="J364" s="27" t="e">
        <x:f>HYPERLINK("https://www.youtube.com/watch?v=T2SZXiq-pkk","Open")</x:f>
        <x:v>HYPERLINK is not implemented. linkLocation=https://www.youtube.com/watch?v=T2SZXiq-pkk, friendlyName=Open</x:v>
      </x:c>
      <x:c r="K364" s="24" t="inlineStr">
        <x:is>
          <x:t xml:space="preserve">Skywalker Stories. Cross-era, supernatural, or explicit alternate-timeline story; no single chronological slot. Placement confidence: High.</x:t>
        </x:is>
      </x:c>
    </x:row>
    <x:row r="365" s="23" customFormat="1" ht="15.75" customHeight="1">
      <x:c r="A365" s="28" t="b">
        <x:v>0</x:v>
      </x:c>
      <x:c r="B365" s="21" t="inlineStr">
        <x:is>
          <x:t xml:space="preserve">SWS-092</x:t>
        </x:is>
      </x:c>
      <x:c r="C365" s="14" t="inlineStr">
        <x:is>
          <x:t xml:space="preserve">Skywalker Stories — cross-era / alternate</x:t>
        </x:is>
      </x:c>
      <x:c r="D365" s="24" t="inlineStr">
        <x:is>
          <x:t xml:space="preserve">Tales of the Star Wars Galaxy: Anakin Skywalker haunted by Malgus, Plageuis, Dooku, and Maul</x:t>
        </x:is>
      </x:c>
      <x:c r="E365" s="25" t="inlineStr">
        <x:is>
          <x:t xml:space="preserve"/>
        </x:is>
      </x:c>
      <x:c r="F365" s="26" t="inlineStr">
        <x:is>
          <x:t xml:space="preserve">Displayed as “2y ago” on October 17, 2026</x:t>
        </x:is>
      </x:c>
      <x:c r="G365" s="24" t="inlineStr">
        <x:is>
          <x:t xml:space="preserve">Fan-made / non-canon</x:t>
        </x:is>
      </x:c>
      <x:c r="H365" s="24" t="inlineStr">
        <x:is>
          <x:t xml:space="preserve">AI fan film</x:t>
        </x:is>
      </x:c>
      <x:c r="I365" s="24" t="inlineStr">
        <x:is>
          <x:t xml:space="preserve">YouTube — Skywalker Stories</x:t>
        </x:is>
      </x:c>
      <x:c r="J365" s="27" t="e">
        <x:f>HYPERLINK("https://www.youtube.com/watch?v=xengx0IeZMs","Open")</x:f>
        <x:v>HYPERLINK is not implemented. linkLocation=https://www.youtube.com/watch?v=xengx0IeZMs, friendlyName=Open</x:v>
      </x:c>
      <x:c r="K365" s="24" t="inlineStr">
        <x:is>
          <x:t xml:space="preserve">Skywalker Stories. Cross-era, supernatural, or explicit alternate-timeline story; no single chronological slot. Placement confidence: High.</x:t>
        </x:is>
      </x:c>
    </x:row>
    <x:row r="366" s="23" customFormat="1" ht="15.75" customHeight="1">
      <x:c r="A366" s="28" t="b">
        <x:v>0</x:v>
      </x:c>
      <x:c r="B366" s="21" t="inlineStr">
        <x:is>
          <x:t xml:space="preserve">SWS-070</x:t>
        </x:is>
      </x:c>
      <x:c r="C366" s="14" t="inlineStr">
        <x:is>
          <x:t xml:space="preserve">Skywalker Stories — cross-era / alternate</x:t>
        </x:is>
      </x:c>
      <x:c r="D366" s="24" t="inlineStr">
        <x:is>
          <x:t xml:space="preserve">Tales of the Star Wars Galaxy: Baylan Skoll speaks to Revan on Peridia</x:t>
        </x:is>
      </x:c>
      <x:c r="E366" s="25" t="inlineStr">
        <x:is>
          <x:t xml:space="preserve"/>
        </x:is>
      </x:c>
      <x:c r="F366" s="26" t="inlineStr">
        <x:is>
          <x:t xml:space="preserve">Displayed as “1y ago” on October 17, 2026</x:t>
        </x:is>
      </x:c>
      <x:c r="G366" s="24" t="inlineStr">
        <x:is>
          <x:t xml:space="preserve">Fan-made / non-canon</x:t>
        </x:is>
      </x:c>
      <x:c r="H366" s="24" t="inlineStr">
        <x:is>
          <x:t xml:space="preserve">AI fan film</x:t>
        </x:is>
      </x:c>
      <x:c r="I366" s="24" t="inlineStr">
        <x:is>
          <x:t xml:space="preserve">YouTube — Skywalker Stories</x:t>
        </x:is>
      </x:c>
      <x:c r="J366" s="27" t="e">
        <x:f>HYPERLINK("https://www.youtube.com/watch?v=k8JgI6cSyQk","Open")</x:f>
        <x:v>HYPERLINK is not implemented. linkLocation=https://www.youtube.com/watch?v=k8JgI6cSyQk, friendlyName=Open</x:v>
      </x:c>
      <x:c r="K366" s="24" t="inlineStr">
        <x:is>
          <x:t xml:space="preserve">Skywalker Stories. Ahsoka-era Baylan encounters ancient Revan on Peridia; supernatural cross-era story. Placement confidence: Medium.</x:t>
        </x:is>
      </x:c>
    </x:row>
    <x:row r="367" s="23" customFormat="1" ht="15.75" customHeight="1">
      <x:c r="A367" s="28" t="b">
        <x:v>0</x:v>
      </x:c>
      <x:c r="B367" s="21" t="inlineStr">
        <x:is>
          <x:t xml:space="preserve">SWS-082</x:t>
        </x:is>
      </x:c>
      <x:c r="C367" s="14" t="inlineStr">
        <x:is>
          <x:t xml:space="preserve">Skywalker Stories — cross-era / alternate</x:t>
        </x:is>
      </x:c>
      <x:c r="D367" s="24" t="inlineStr">
        <x:is>
          <x:t xml:space="preserve">Tales of the Star Wars Galaxy: Darth Sidious speaks with Emperor Vitiate at the Eternal Throne</x:t>
        </x:is>
      </x:c>
      <x:c r="E367" s="25" t="inlineStr">
        <x:is>
          <x:t xml:space="preserve"/>
        </x:is>
      </x:c>
      <x:c r="F367" s="26" t="inlineStr">
        <x:is>
          <x:t xml:space="preserve">Displayed as “1y ago” on October 17, 2026</x:t>
        </x:is>
      </x:c>
      <x:c r="G367" s="24" t="inlineStr">
        <x:is>
          <x:t xml:space="preserve">Fan-made / non-canon</x:t>
        </x:is>
      </x:c>
      <x:c r="H367" s="24" t="inlineStr">
        <x:is>
          <x:t xml:space="preserve">AI fan film</x:t>
        </x:is>
      </x:c>
      <x:c r="I367" s="24" t="inlineStr">
        <x:is>
          <x:t xml:space="preserve">YouTube — Skywalker Stories</x:t>
        </x:is>
      </x:c>
      <x:c r="J367" s="27" t="e">
        <x:f>HYPERLINK("https://www.youtube.com/watch?v=S9VcgL-iz3A","Open")</x:f>
        <x:v>HYPERLINK is not implemented. linkLocation=https://www.youtube.com/watch?v=S9VcgL-iz3A, friendlyName=Open</x:v>
      </x:c>
      <x:c r="K367" s="24" t="inlineStr">
        <x:is>
          <x:t xml:space="preserve">Skywalker Stories. Cross-era, supernatural, or explicit alternate-timeline story; no single chronological slot. Placement confidence: High.</x:t>
        </x:is>
      </x:c>
    </x:row>
    <x:row r="368" s="23" customFormat="1" ht="15.75" customHeight="1">
      <x:c r="A368" s="28" t="b">
        <x:v>0</x:v>
      </x:c>
      <x:c r="B368" s="21" t="inlineStr">
        <x:is>
          <x:t xml:space="preserve">SWS-088</x:t>
        </x:is>
      </x:c>
      <x:c r="C368" s="14" t="inlineStr">
        <x:is>
          <x:t xml:space="preserve">Skywalker Stories — cross-era / alternate</x:t>
        </x:is>
      </x:c>
      <x:c r="D368" s="24" t="inlineStr">
        <x:is>
          <x:t xml:space="preserve">Tales of the Star Wars Galaxy: Darth Sidious talks to Darth Bane about the Rule of Two</x:t>
        </x:is>
      </x:c>
      <x:c r="E368" s="25" t="inlineStr">
        <x:is>
          <x:t xml:space="preserve"/>
        </x:is>
      </x:c>
      <x:c r="F368" s="26" t="inlineStr">
        <x:is>
          <x:t xml:space="preserve">Displayed as “1y ago” on October 17, 2026</x:t>
        </x:is>
      </x:c>
      <x:c r="G368" s="24" t="inlineStr">
        <x:is>
          <x:t xml:space="preserve">Fan-made / non-canon</x:t>
        </x:is>
      </x:c>
      <x:c r="H368" s="24" t="inlineStr">
        <x:is>
          <x:t xml:space="preserve">AI fan film</x:t>
        </x:is>
      </x:c>
      <x:c r="I368" s="24" t="inlineStr">
        <x:is>
          <x:t xml:space="preserve">YouTube — Skywalker Stories</x:t>
        </x:is>
      </x:c>
      <x:c r="J368" s="27" t="e">
        <x:f>HYPERLINK("https://www.youtube.com/watch?v=cGpc6ri4jhs","Open")</x:f>
        <x:v>HYPERLINK is not implemented. linkLocation=https://www.youtube.com/watch?v=cGpc6ri4jhs, friendlyName=Open</x:v>
      </x:c>
      <x:c r="K368" s="24" t="inlineStr">
        <x:is>
          <x:t xml:space="preserve">Skywalker Stories. Cross-era, supernatural, or explicit alternate-timeline story; no single chronological slot. Placement confidence: High.</x:t>
        </x:is>
      </x:c>
    </x:row>
    <x:row r="369" s="23" customFormat="1" ht="15.75" customHeight="1">
      <x:c r="A369" s="28" t="b">
        <x:v>0</x:v>
      </x:c>
      <x:c r="B369" s="21" t="inlineStr">
        <x:is>
          <x:t xml:space="preserve">SWS-071</x:t>
        </x:is>
      </x:c>
      <x:c r="C369" s="14" t="inlineStr">
        <x:is>
          <x:t xml:space="preserve">Skywalker Stories — cross-era / alternate</x:t>
        </x:is>
      </x:c>
      <x:c r="D369" s="24" t="inlineStr">
        <x:is>
          <x:t xml:space="preserve">Tales of the Star Wars Galaxy: Darth Vader and Palpatine talk about Kreia &amp; Revan</x:t>
        </x:is>
      </x:c>
      <x:c r="E369" s="25" t="inlineStr">
        <x:is>
          <x:t xml:space="preserve"/>
        </x:is>
      </x:c>
      <x:c r="F369" s="26" t="inlineStr">
        <x:is>
          <x:t xml:space="preserve">Displayed as “1y ago” on October 17, 2026</x:t>
        </x:is>
      </x:c>
      <x:c r="G369" s="24" t="inlineStr">
        <x:is>
          <x:t xml:space="preserve">Fan-made / non-canon</x:t>
        </x:is>
      </x:c>
      <x:c r="H369" s="24" t="inlineStr">
        <x:is>
          <x:t xml:space="preserve">AI fan film</x:t>
        </x:is>
      </x:c>
      <x:c r="I369" s="24" t="inlineStr">
        <x:is>
          <x:t xml:space="preserve">YouTube — Skywalker Stories</x:t>
        </x:is>
      </x:c>
      <x:c r="J369" s="27" t="e">
        <x:f>HYPERLINK("https://www.youtube.com/watch?v=xGto5HgOhNA","Open")</x:f>
        <x:v>HYPERLINK is not implemented. linkLocation=https://www.youtube.com/watch?v=xGto5HgOhNA, friendlyName=Open</x:v>
      </x:c>
      <x:c r="K369" s="24" t="inlineStr">
        <x:is>
          <x:t xml:space="preserve">Skywalker Stories. Cross-era, supernatural, or explicit alternate-timeline story; no single chronological slot. Placement confidence: High.</x:t>
        </x:is>
      </x:c>
    </x:row>
    <x:row r="370" s="23" customFormat="1" ht="15.75" customHeight="1">
      <x:c r="A370" s="28" t="b">
        <x:v>0</x:v>
      </x:c>
      <x:c r="B370" s="21" t="inlineStr">
        <x:is>
          <x:t xml:space="preserve">SWS-080</x:t>
        </x:is>
      </x:c>
      <x:c r="C370" s="14" t="inlineStr">
        <x:is>
          <x:t xml:space="preserve">Skywalker Stories — cross-era / alternate</x:t>
        </x:is>
      </x:c>
      <x:c r="D370" s="24" t="inlineStr">
        <x:is>
          <x:t xml:space="preserve">Tales of the Star Wars Galaxy: Darth Vader encounters Kratos The God of War</x:t>
        </x:is>
      </x:c>
      <x:c r="E370" s="25" t="inlineStr">
        <x:is>
          <x:t xml:space="preserve"/>
        </x:is>
      </x:c>
      <x:c r="F370" s="26" t="inlineStr">
        <x:is>
          <x:t xml:space="preserve">Displayed as “1y ago” on October 17, 2026</x:t>
        </x:is>
      </x:c>
      <x:c r="G370" s="24" t="inlineStr">
        <x:is>
          <x:t xml:space="preserve">Fan-made / non-canon</x:t>
        </x:is>
      </x:c>
      <x:c r="H370" s="24" t="inlineStr">
        <x:is>
          <x:t xml:space="preserve">AI fan film</x:t>
        </x:is>
      </x:c>
      <x:c r="I370" s="24" t="inlineStr">
        <x:is>
          <x:t xml:space="preserve">YouTube — Skywalker Stories</x:t>
        </x:is>
      </x:c>
      <x:c r="J370" s="27" t="e">
        <x:f>HYPERLINK("https://www.youtube.com/watch?v=dnVJFhk8tJA","Open")</x:f>
        <x:v>HYPERLINK is not implemented. linkLocation=https://www.youtube.com/watch?v=dnVJFhk8tJA, friendlyName=Open</x:v>
      </x:c>
      <x:c r="K370" s="24" t="inlineStr">
        <x:is>
          <x:t xml:space="preserve">Skywalker Stories. Cross-era, supernatural, or explicit alternate-timeline story; no single chronological slot. Placement confidence: High.</x:t>
        </x:is>
      </x:c>
    </x:row>
    <x:row r="371" s="23" customFormat="1" ht="15.75" customHeight="1">
      <x:c r="A371" s="28" t="b">
        <x:v>0</x:v>
      </x:c>
      <x:c r="B371" s="21" t="inlineStr">
        <x:is>
          <x:t xml:space="preserve">SWS-084</x:t>
        </x:is>
      </x:c>
      <x:c r="C371" s="14" t="inlineStr">
        <x:is>
          <x:t xml:space="preserve">Skywalker Stories — cross-era / alternate</x:t>
        </x:is>
      </x:c>
      <x:c r="D371" s="24" t="inlineStr">
        <x:is>
          <x:t xml:space="preserve">Tales of the Star Wars Galaxy: Darth Vader talks to Darth Malgus</x:t>
        </x:is>
      </x:c>
      <x:c r="E371" s="25" t="inlineStr">
        <x:is>
          <x:t xml:space="preserve"/>
        </x:is>
      </x:c>
      <x:c r="F371" s="26" t="inlineStr">
        <x:is>
          <x:t xml:space="preserve">Displayed as “1y ago” on October 17, 2026</x:t>
        </x:is>
      </x:c>
      <x:c r="G371" s="24" t="inlineStr">
        <x:is>
          <x:t xml:space="preserve">Fan-made / non-canon</x:t>
        </x:is>
      </x:c>
      <x:c r="H371" s="24" t="inlineStr">
        <x:is>
          <x:t xml:space="preserve">AI fan film</x:t>
        </x:is>
      </x:c>
      <x:c r="I371" s="24" t="inlineStr">
        <x:is>
          <x:t xml:space="preserve">YouTube — Skywalker Stories</x:t>
        </x:is>
      </x:c>
      <x:c r="J371" s="27" t="e">
        <x:f>HYPERLINK("https://www.youtube.com/watch?v=VWC4qE3jCr0","Open")</x:f>
        <x:v>HYPERLINK is not implemented. linkLocation=https://www.youtube.com/watch?v=VWC4qE3jCr0, friendlyName=Open</x:v>
      </x:c>
      <x:c r="K371" s="24" t="inlineStr">
        <x:is>
          <x:t xml:space="preserve">Skywalker Stories. Cross-era, supernatural, or explicit alternate-timeline story; no single chronological slot. Placement confidence: High.</x:t>
        </x:is>
      </x:c>
    </x:row>
    <x:row r="372" s="23" customFormat="1" ht="15.75" customHeight="1">
      <x:c r="A372" s="28" t="b">
        <x:v>0</x:v>
      </x:c>
      <x:c r="B372" s="21" t="inlineStr">
        <x:is>
          <x:t xml:space="preserve">SWS-096</x:t>
        </x:is>
      </x:c>
      <x:c r="C372" s="14" t="inlineStr">
        <x:is>
          <x:t xml:space="preserve">Skywalker Stories — cross-era / alternate</x:t>
        </x:is>
      </x:c>
      <x:c r="D372" s="24" t="inlineStr">
        <x:is>
          <x:t xml:space="preserve">Tales of the Star Wars Galaxy: Galen Marek goes to Luke Skywalker's Jedi Academy</x:t>
        </x:is>
      </x:c>
      <x:c r="E372" s="25" t="inlineStr">
        <x:is>
          <x:t xml:space="preserve"/>
        </x:is>
      </x:c>
      <x:c r="F372" s="26" t="inlineStr">
        <x:is>
          <x:t xml:space="preserve">Displayed as “2y ago” on October 17, 2026</x:t>
        </x:is>
      </x:c>
      <x:c r="G372" s="24" t="inlineStr">
        <x:is>
          <x:t xml:space="preserve">Fan-made / non-canon</x:t>
        </x:is>
      </x:c>
      <x:c r="H372" s="24" t="inlineStr">
        <x:is>
          <x:t xml:space="preserve">AI fan film</x:t>
        </x:is>
      </x:c>
      <x:c r="I372" s="24" t="inlineStr">
        <x:is>
          <x:t xml:space="preserve">YouTube — Skywalker Stories</x:t>
        </x:is>
      </x:c>
      <x:c r="J372" s="27" t="e">
        <x:f>HYPERLINK("https://www.youtube.com/watch?v=Rafz13QPvL4","Open")</x:f>
        <x:v>HYPERLINK is not implemented. linkLocation=https://www.youtube.com/watch?v=Rafz13QPvL4, friendlyName=Open</x:v>
      </x:c>
      <x:c r="K372" s="24" t="inlineStr">
        <x:is>
          <x:t xml:space="preserve">Skywalker Stories. Cross-era, supernatural, or explicit alternate-timeline story; no single chronological slot. Placement confidence: High.</x:t>
        </x:is>
      </x:c>
    </x:row>
    <x:row r="373" s="23" customFormat="1" ht="15.75" customHeight="1">
      <x:c r="A373" s="28" t="b">
        <x:v>0</x:v>
      </x:c>
      <x:c r="B373" s="21" t="inlineStr">
        <x:is>
          <x:t xml:space="preserve">SWS-079</x:t>
        </x:is>
      </x:c>
      <x:c r="C373" s="14" t="inlineStr">
        <x:is>
          <x:t xml:space="preserve">Skywalker Stories — cross-era / alternate</x:t>
        </x:is>
      </x:c>
      <x:c r="D373" s="24" t="inlineStr">
        <x:is>
          <x:t xml:space="preserve">Tales of the Star Wars Galaxy: Luke Skywalker talks to Darth Malak about Jacen &amp; Anakin &amp; the Jedi</x:t>
        </x:is>
      </x:c>
      <x:c r="E373" s="25" t="inlineStr">
        <x:is>
          <x:t xml:space="preserve"/>
        </x:is>
      </x:c>
      <x:c r="F373" s="26" t="inlineStr">
        <x:is>
          <x:t xml:space="preserve">Displayed as “1y ago” on October 17, 2026</x:t>
        </x:is>
      </x:c>
      <x:c r="G373" s="24" t="inlineStr">
        <x:is>
          <x:t xml:space="preserve">Fan-made / non-canon</x:t>
        </x:is>
      </x:c>
      <x:c r="H373" s="24" t="inlineStr">
        <x:is>
          <x:t xml:space="preserve">AI fan film</x:t>
        </x:is>
      </x:c>
      <x:c r="I373" s="24" t="inlineStr">
        <x:is>
          <x:t xml:space="preserve">YouTube — Skywalker Stories</x:t>
        </x:is>
      </x:c>
      <x:c r="J373" s="27" t="e">
        <x:f>HYPERLINK("https://www.youtube.com/watch?v=DRZs5fHKh5E","Open")</x:f>
        <x:v>HYPERLINK is not implemented. linkLocation=https://www.youtube.com/watch?v=DRZs5fHKh5E, friendlyName=Open</x:v>
      </x:c>
      <x:c r="K373" s="24" t="inlineStr">
        <x:is>
          <x:t xml:space="preserve">Skywalker Stories. Cross-era encounter involving Old Republic-era Darth Malak; no single chronological slot. Placement confidence: High.</x:t>
        </x:is>
      </x:c>
    </x:row>
    <x:row r="374" s="23" customFormat="1" ht="15.75" customHeight="1">
      <x:c r="A374" s="28" t="b">
        <x:v>0</x:v>
      </x:c>
      <x:c r="B374" s="21" t="inlineStr">
        <x:is>
          <x:t xml:space="preserve">SWS-097</x:t>
        </x:is>
      </x:c>
      <x:c r="C374" s="14" t="inlineStr">
        <x:is>
          <x:t xml:space="preserve">Skywalker Stories — cross-era / alternate</x:t>
        </x:is>
      </x:c>
      <x:c r="D374" s="24" t="inlineStr">
        <x:is>
          <x:t xml:space="preserve">Tales of the Star Wars Galaxy: Luke Skywalker talks with Darth Malgus about light and dark side</x:t>
        </x:is>
      </x:c>
      <x:c r="E374" s="25" t="inlineStr">
        <x:is>
          <x:t xml:space="preserve"/>
        </x:is>
      </x:c>
      <x:c r="F374" s="26" t="inlineStr">
        <x:is>
          <x:t xml:space="preserve">Displayed as “2y ago” on October 17, 2026</x:t>
        </x:is>
      </x:c>
      <x:c r="G374" s="24" t="inlineStr">
        <x:is>
          <x:t xml:space="preserve">Fan-made / non-canon</x:t>
        </x:is>
      </x:c>
      <x:c r="H374" s="24" t="inlineStr">
        <x:is>
          <x:t xml:space="preserve">AI fan film</x:t>
        </x:is>
      </x:c>
      <x:c r="I374" s="24" t="inlineStr">
        <x:is>
          <x:t xml:space="preserve">YouTube — Skywalker Stories</x:t>
        </x:is>
      </x:c>
      <x:c r="J374" s="27" t="e">
        <x:f>HYPERLINK("https://www.youtube.com/watch?v=RIQcHby3Zmg","Open")</x:f>
        <x:v>HYPERLINK is not implemented. linkLocation=https://www.youtube.com/watch?v=RIQcHby3Zmg, friendlyName=Open</x:v>
      </x:c>
      <x:c r="K374" s="24" t="inlineStr">
        <x:is>
          <x:t xml:space="preserve">Skywalker Stories. Cross-era, supernatural, or explicit alternate-timeline story; no single chronological slot. Placement confidence: High.</x:t>
        </x:is>
      </x:c>
    </x:row>
    <x:row r="375" s="23" customFormat="1" ht="15.75" customHeight="1">
      <x:c r="A375" s="28" t="b">
        <x:v>0</x:v>
      </x:c>
      <x:c r="B375" s="21" t="inlineStr">
        <x:is>
          <x:t xml:space="preserve">SWS-074</x:t>
        </x:is>
      </x:c>
      <x:c r="C375" s="14" t="inlineStr">
        <x:is>
          <x:t xml:space="preserve">Skywalker Stories — cross-era / alternate</x:t>
        </x:is>
      </x:c>
      <x:c r="D375" s="24" t="inlineStr">
        <x:is>
          <x:t xml:space="preserve">Tales of the Star Wars Galaxy: Revan and Kreia return to put an end to the Jedi and Sith</x:t>
        </x:is>
      </x:c>
      <x:c r="E375" s="25" t="inlineStr">
        <x:is>
          <x:t xml:space="preserve"/>
        </x:is>
      </x:c>
      <x:c r="F375" s="26" t="inlineStr">
        <x:is>
          <x:t xml:space="preserve">Displayed as “1y ago” on October 17, 2026</x:t>
        </x:is>
      </x:c>
      <x:c r="G375" s="24" t="inlineStr">
        <x:is>
          <x:t xml:space="preserve">Fan-made / non-canon</x:t>
        </x:is>
      </x:c>
      <x:c r="H375" s="24" t="inlineStr">
        <x:is>
          <x:t xml:space="preserve">AI fan film</x:t>
        </x:is>
      </x:c>
      <x:c r="I375" s="24" t="inlineStr">
        <x:is>
          <x:t xml:space="preserve">YouTube — Skywalker Stories</x:t>
        </x:is>
      </x:c>
      <x:c r="J375" s="27" t="e">
        <x:f>HYPERLINK("https://www.youtube.com/watch?v=mEbk66ORV4Q","Open")</x:f>
        <x:v>HYPERLINK is not implemented. linkLocation=https://www.youtube.com/watch?v=mEbk66ORV4Q, friendlyName=Open</x:v>
      </x:c>
      <x:c r="K375" s="24" t="inlineStr">
        <x:is>
          <x:t xml:space="preserve">Skywalker Stories. Cross-era, supernatural, or explicit alternate-timeline story; no single chronological slot. Placement confidence: High.</x:t>
        </x:is>
      </x:c>
    </x:row>
    <x:row r="376" s="23" customFormat="1" ht="15.75" customHeight="1">
      <x:c r="A376" s="28" t="b">
        <x:v>0</x:v>
      </x:c>
      <x:c r="B376" s="21" t="inlineStr">
        <x:is>
          <x:t xml:space="preserve">SWS-075</x:t>
        </x:is>
      </x:c>
      <x:c r="C376" s="14" t="inlineStr">
        <x:is>
          <x:t xml:space="preserve">Skywalker Stories — cross-era / alternate</x:t>
        </x:is>
      </x:c>
      <x:c r="D376" s="24" t="inlineStr">
        <x:is>
          <x:t xml:space="preserve">Tales of the Star Wars Galaxy: Revan speaks to Anakin Skywalker</x:t>
        </x:is>
      </x:c>
      <x:c r="E376" s="25" t="inlineStr">
        <x:is>
          <x:t xml:space="preserve"/>
        </x:is>
      </x:c>
      <x:c r="F376" s="26" t="inlineStr">
        <x:is>
          <x:t xml:space="preserve">Displayed as “1y ago” on October 17, 2026</x:t>
        </x:is>
      </x:c>
      <x:c r="G376" s="24" t="inlineStr">
        <x:is>
          <x:t xml:space="preserve">Fan-made / non-canon</x:t>
        </x:is>
      </x:c>
      <x:c r="H376" s="24" t="inlineStr">
        <x:is>
          <x:t xml:space="preserve">AI fan film</x:t>
        </x:is>
      </x:c>
      <x:c r="I376" s="24" t="inlineStr">
        <x:is>
          <x:t xml:space="preserve">YouTube — Skywalker Stories</x:t>
        </x:is>
      </x:c>
      <x:c r="J376" s="27" t="e">
        <x:f>HYPERLINK("https://www.youtube.com/watch?v=nZthNkzavmI","Open")</x:f>
        <x:v>HYPERLINK is not implemented. linkLocation=https://www.youtube.com/watch?v=nZthNkzavmI, friendlyName=Open</x:v>
      </x:c>
      <x:c r="K376" s="24" t="inlineStr">
        <x:is>
          <x:t xml:space="preserve">Skywalker Stories. Cross-era, supernatural, or explicit alternate-timeline story; no single chronological slot. Placement confidence: High.</x:t>
        </x:is>
      </x:c>
    </x:row>
    <x:row r="377" s="23" customFormat="1" ht="15.75" customHeight="1">
      <x:c r="A377" s="28" t="b">
        <x:v>0</x:v>
      </x:c>
      <x:c r="B377" s="21" t="inlineStr">
        <x:is>
          <x:t xml:space="preserve">SWS-076</x:t>
        </x:is>
      </x:c>
      <x:c r="C377" s="14" t="inlineStr">
        <x:is>
          <x:t xml:space="preserve">Skywalker Stories — cross-era / alternate</x:t>
        </x:is>
      </x:c>
      <x:c r="D377" s="24" t="inlineStr">
        <x:is>
          <x:t xml:space="preserve">Tales of the Star Wars Galaxy: Revan speaks to Luke Skywalker</x:t>
        </x:is>
      </x:c>
      <x:c r="E377" s="25" t="inlineStr">
        <x:is>
          <x:t xml:space="preserve"/>
        </x:is>
      </x:c>
      <x:c r="F377" s="26" t="inlineStr">
        <x:is>
          <x:t xml:space="preserve">Displayed as “1y ago” on October 17, 2026</x:t>
        </x:is>
      </x:c>
      <x:c r="G377" s="24" t="inlineStr">
        <x:is>
          <x:t xml:space="preserve">Fan-made / non-canon</x:t>
        </x:is>
      </x:c>
      <x:c r="H377" s="24" t="inlineStr">
        <x:is>
          <x:t xml:space="preserve">AI fan film</x:t>
        </x:is>
      </x:c>
      <x:c r="I377" s="24" t="inlineStr">
        <x:is>
          <x:t xml:space="preserve">YouTube — Skywalker Stories</x:t>
        </x:is>
      </x:c>
      <x:c r="J377" s="27" t="e">
        <x:f>HYPERLINK("https://www.youtube.com/watch?v=l2OOAn-wAoQ","Open")</x:f>
        <x:v>HYPERLINK is not implemented. linkLocation=https://www.youtube.com/watch?v=l2OOAn-wAoQ, friendlyName=Open</x:v>
      </x:c>
      <x:c r="K377" s="24" t="inlineStr">
        <x:is>
          <x:t xml:space="preserve">Skywalker Stories. Cross-era, supernatural, or explicit alternate-timeline story; no single chronological slot. Placement confidence: High.</x:t>
        </x:is>
      </x:c>
    </x:row>
    <x:row r="378" s="23" customFormat="1" ht="15.75" customHeight="1">
      <x:c r="A378" s="28" t="b">
        <x:v>0</x:v>
      </x:c>
      <x:c r="B378" s="21" t="inlineStr">
        <x:is>
          <x:t xml:space="preserve">SWS-081</x:t>
        </x:is>
      </x:c>
      <x:c r="C378" s="14" t="inlineStr">
        <x:is>
          <x:t xml:space="preserve">Skywalker Stories — cross-era / alternate</x:t>
        </x:is>
      </x:c>
      <x:c r="D378" s="24" t="inlineStr">
        <x:is>
          <x:t xml:space="preserve">Tales of the Star Wars Galaxy: What if Luke Skywalker joined Palpatine after ROTJ</x:t>
        </x:is>
      </x:c>
      <x:c r="E378" s="25" t="inlineStr">
        <x:is>
          <x:t xml:space="preserve"/>
        </x:is>
      </x:c>
      <x:c r="F378" s="26" t="inlineStr">
        <x:is>
          <x:t xml:space="preserve">Displayed as “1y ago” on October 17, 2026</x:t>
        </x:is>
      </x:c>
      <x:c r="G378" s="24" t="inlineStr">
        <x:is>
          <x:t xml:space="preserve">Fan-made / non-canon</x:t>
        </x:is>
      </x:c>
      <x:c r="H378" s="24" t="inlineStr">
        <x:is>
          <x:t xml:space="preserve">AI fan film</x:t>
        </x:is>
      </x:c>
      <x:c r="I378" s="24" t="inlineStr">
        <x:is>
          <x:t xml:space="preserve">YouTube — Skywalker Stories</x:t>
        </x:is>
      </x:c>
      <x:c r="J378" s="27" t="e">
        <x:f>HYPERLINK("https://www.youtube.com/watch?v=Il4K_E0_JrE","Open")</x:f>
        <x:v>HYPERLINK is not implemented. linkLocation=https://www.youtube.com/watch?v=Il4K_E0_JrE, friendlyName=Open</x:v>
      </x:c>
      <x:c r="K378" s="24" t="inlineStr">
        <x:is>
          <x:t xml:space="preserve">Skywalker Stories. Cross-era, supernatural, or explicit alternate-timeline story; no single chronological slot. Placement confidence: High.</x:t>
        </x:is>
      </x:c>
    </x:row>
    <x:row r="379" s="23" customFormat="1" ht="15.75" customHeight="1">
      <x:c r="A379" s="28" t="b">
        <x:v>0</x:v>
      </x:c>
      <x:c r="B379" s="21" t="inlineStr">
        <x:is>
          <x:t xml:space="preserve">SWS-089</x:t>
        </x:is>
      </x:c>
      <x:c r="C379" s="14" t="inlineStr">
        <x:is>
          <x:t xml:space="preserve">Skywalker Stories — cross-era / alternate</x:t>
        </x:is>
      </x:c>
      <x:c r="D379" s="24" t="inlineStr">
        <x:is>
          <x:t xml:space="preserve">Tales of the Star Wars Galaxy: Luke Skywalker talks with Qui Gon Jinn about Anakin</x:t>
        </x:is>
      </x:c>
      <x:c r="E379" s="25" t="inlineStr">
        <x:is>
          <x:t xml:space="preserve"/>
        </x:is>
      </x:c>
      <x:c r="F379" s="26" t="inlineStr">
        <x:is>
          <x:t xml:space="preserve">Displayed as “1y ago” on October 17, 2026</x:t>
        </x:is>
      </x:c>
      <x:c r="G379" s="24" t="inlineStr">
        <x:is>
          <x:t xml:space="preserve">Fan-made / non-canon</x:t>
        </x:is>
      </x:c>
      <x:c r="H379" s="24" t="inlineStr">
        <x:is>
          <x:t xml:space="preserve">AI fan film</x:t>
        </x:is>
      </x:c>
      <x:c r="I379" s="24" t="inlineStr">
        <x:is>
          <x:t xml:space="preserve">YouTube — Skywalker Stories</x:t>
        </x:is>
      </x:c>
      <x:c r="J379" s="27" t="e">
        <x:f>HYPERLINK("https://www.youtube.com/watch?v=Y09l09kIdcY","Open")</x:f>
        <x:v>HYPERLINK is not implemented. linkLocation=https://www.youtube.com/watch?v=Y09l09kIdcY, friendlyName=Open</x:v>
      </x:c>
      <x:c r="K379" s="24" t="inlineStr">
        <x:is>
          <x:t xml:space="preserve">Skywalker Stories. Force-ghost conversation; the video's exact present-day anchor is unclear. Placement confidence: Low.</x:t>
        </x:is>
      </x:c>
    </x:row>
    <x:row r="380" s="23" customFormat="1" ht="15.75" customHeight="1">
      <x:c r="A380" s="28" t="b">
        <x:v>0</x:v>
      </x:c>
      <x:c r="B380" s="21" t="inlineStr">
        <x:is>
          <x:t xml:space="preserve">SWS-066</x:t>
        </x:is>
      </x:c>
      <x:c r="C380" s="14" t="inlineStr">
        <x:is>
          <x:t xml:space="preserve">Skywalker Stories — cross-era / alternate</x:t>
        </x:is>
      </x:c>
      <x:c r="D380" s="24" t="inlineStr">
        <x:is>
          <x:t xml:space="preserve">Tales of the Star Wars Galaxy: Qui Gon Jinn and Obi Wan Kenobi commune on Tatooine</x:t>
        </x:is>
      </x:c>
      <x:c r="E380" s="25" t="inlineStr">
        <x:is>
          <x:t xml:space="preserve"/>
        </x:is>
      </x:c>
      <x:c r="F380" s="26" t="inlineStr">
        <x:is>
          <x:t xml:space="preserve">Displayed as “1y ago” on October 17, 2026</x:t>
        </x:is>
      </x:c>
      <x:c r="G380" s="24" t="inlineStr">
        <x:is>
          <x:t xml:space="preserve">Fan-made / non-canon</x:t>
        </x:is>
      </x:c>
      <x:c r="H380" s="24" t="inlineStr">
        <x:is>
          <x:t xml:space="preserve">AI fan film</x:t>
        </x:is>
      </x:c>
      <x:c r="I380" s="24" t="inlineStr">
        <x:is>
          <x:t xml:space="preserve">YouTube — Skywalker Stories</x:t>
        </x:is>
      </x:c>
      <x:c r="J380" s="27" t="e">
        <x:f>HYPERLINK("https://www.youtube.com/watch?v=hHppPkcVXlE","Open")</x:f>
        <x:v>HYPERLINK is not implemented. linkLocation=https://www.youtube.com/watch?v=hHppPkcVXlE, friendlyName=Open</x:v>
      </x:c>
      <x:c r="K380" s="24" t="inlineStr">
        <x:is>
          <x:t xml:space="preserve">Skywalker Stories. Force-ghost conversation; the video's exact present-day anchor is unclear. Placement confidence: Low.</x:t>
        </x:is>
      </x:c>
    </x:row>
    <x:row r="381" s="23" customFormat="1" ht="15.75" customHeight="1">
      <x:c r="A381" s="28" t="b">
        <x:v>0</x:v>
      </x:c>
      <x:c r="B381" s="21" t="inlineStr">
        <x:is>
          <x:t xml:space="preserve">SWS-072</x:t>
        </x:is>
      </x:c>
      <x:c r="C381" s="14" t="inlineStr">
        <x:is>
          <x:t xml:space="preserve">Skywalker Stories — cross-era / alternate</x:t>
        </x:is>
      </x:c>
      <x:c r="D381" s="24" t="inlineStr">
        <x:is>
          <x:t xml:space="preserve">Tales of the Star Wars Galaxy: Yoda and Qui Gon Jinn talk about Luke Skywalker</x:t>
        </x:is>
      </x:c>
      <x:c r="E381" s="25" t="inlineStr">
        <x:is>
          <x:t xml:space="preserve"/>
        </x:is>
      </x:c>
      <x:c r="F381" s="26" t="inlineStr">
        <x:is>
          <x:t xml:space="preserve">Displayed as “1y ago” on October 17, 2026</x:t>
        </x:is>
      </x:c>
      <x:c r="G381" s="24" t="inlineStr">
        <x:is>
          <x:t xml:space="preserve">Fan-made / non-canon</x:t>
        </x:is>
      </x:c>
      <x:c r="H381" s="24" t="inlineStr">
        <x:is>
          <x:t xml:space="preserve">AI fan film</x:t>
        </x:is>
      </x:c>
      <x:c r="I381" s="24" t="inlineStr">
        <x:is>
          <x:t xml:space="preserve">YouTube — Skywalker Stories</x:t>
        </x:is>
      </x:c>
      <x:c r="J381" s="27" t="e">
        <x:f>HYPERLINK("https://www.youtube.com/watch?v=2nNCOVm_ILU","Open")</x:f>
        <x:v>HYPERLINK is not implemented. linkLocation=https://www.youtube.com/watch?v=2nNCOVm_ILU, friendlyName=Open</x:v>
      </x:c>
      <x:c r="K381" s="24" t="inlineStr">
        <x:is>
          <x:t xml:space="preserve">Skywalker Stories. Force-ghost conversation; the video's exact present-day anchor is unclear. Placement confidence: Low.</x:t>
        </x:is>
      </x:c>
    </x:row>
    <x:row r="382" s="23" customFormat="1" ht="15.75" customHeight="1">
      <x:c r="A382" s="28" t="b">
        <x:v>0</x:v>
      </x:c>
      <x:c r="B382" s="21" t="inlineStr">
        <x:is>
          <x:t xml:space="preserve">SWS-073</x:t>
        </x:is>
      </x:c>
      <x:c r="C382" s="14" t="inlineStr">
        <x:is>
          <x:t xml:space="preserve">Skywalker Stories — presentation / no timeline</x:t>
        </x:is>
      </x:c>
      <x:c r="D382" s="24" t="inlineStr">
        <x:is>
          <x:t xml:space="preserve">Fixed Darth Vader's voice in Star Wars Outlaws with James Earl Jones</x:t>
        </x:is>
      </x:c>
      <x:c r="E382" s="25" t="inlineStr">
        <x:is>
          <x:t xml:space="preserve"/>
        </x:is>
      </x:c>
      <x:c r="F382" s="26" t="inlineStr">
        <x:is>
          <x:t xml:space="preserve">Displayed as “1y ago” on October 17, 2026</x:t>
        </x:is>
      </x:c>
      <x:c r="G382" s="24" t="inlineStr">
        <x:is>
          <x:t xml:space="preserve">Fan-made / non-canon</x:t>
        </x:is>
      </x:c>
      <x:c r="H382" s="24" t="inlineStr">
        <x:is>
          <x:t xml:space="preserve">AI fan film</x:t>
        </x:is>
      </x:c>
      <x:c r="I382" s="24" t="inlineStr">
        <x:is>
          <x:t xml:space="preserve">YouTube — Skywalker Stories</x:t>
        </x:is>
      </x:c>
      <x:c r="J382" s="27" t="e">
        <x:f>HYPERLINK("https://www.youtube.com/watch?v=mrC79lZkwR4","Open")</x:f>
        <x:v>HYPERLINK is not implemented. linkLocation=https://www.youtube.com/watch?v=mrC79lZkwR4, friendlyName=Open</x:v>
      </x:c>
      <x:c r="K382" s="24" t="inlineStr">
        <x:is>
          <x:t xml:space="preserve">Skywalker Stories. Presentation edit of Star Wars Outlaws; no separate story placement. Placement confidence: High.</x:t>
        </x:is>
      </x:c>
    </x:row>
    <x:row r="383" s="23" customFormat="1" ht="15.75" customHeight="1"/>
    <x:row r="384" s="23" customFormat="1" ht="15.75" customHeight="1"/>
    <x:row r="385" s="23" customFormat="1" ht="15.75" customHeight="1"/>
    <x:row r="386" s="23" customFormat="1" ht="15.75" customHeight="1"/>
    <x:row r="387" s="23" customFormat="1" ht="15.75" customHeight="1"/>
    <x:row r="388" s="23" customFormat="1" ht="15.75" customHeight="1"/>
    <x:row r="389" s="23" customFormat="1" ht="15.75" customHeight="1"/>
    <x:row r="390" s="23" customFormat="1" ht="15.75" customHeight="1"/>
    <x:row r="391" s="23" customFormat="1" ht="15.75" customHeight="1"/>
    <x:row r="392" s="23" customFormat="1" ht="15.75" customHeight="1"/>
    <x:row r="393" s="23" customFormat="1" ht="15.75" customHeight="1"/>
    <x:row r="394" s="23" customFormat="1" ht="15.75" customHeight="1"/>
    <x:row r="395" s="23" customFormat="1" ht="15.75" customHeight="1"/>
    <x:row r="396" s="23" customFormat="1" ht="15.75" customHeight="1"/>
    <x:row r="397" s="23" customFormat="1" ht="15.75" customHeight="1"/>
    <x:row r="398" s="23" customFormat="1" ht="15.75" customHeight="1"/>
    <x:row r="399" s="23" customFormat="1" ht="15.75" customHeight="1"/>
    <x:row r="400" s="23" customFormat="1" ht="15.75" customHeight="1"/>
    <x:row r="401" s="23" customFormat="1" ht="15.75" customHeight="1"/>
    <x:row r="402" s="23" customFormat="1" ht="15.75" customHeight="1"/>
    <x:row r="403" s="23" customFormat="1" ht="15.75" customHeight="1"/>
    <x:row r="404" s="23" customFormat="1" ht="15.75" customHeight="1"/>
    <x:row r="405" s="23" customFormat="1" ht="15.75" customHeight="1"/>
    <x:row r="406" s="23" customFormat="1" ht="15.75" customHeight="1"/>
    <x:row r="407" s="23" customFormat="1" ht="15.75" customHeight="1"/>
    <x:row r="408" s="23" customFormat="1" ht="15.75" customHeight="1"/>
    <x:row r="409" s="23" customFormat="1" ht="15.75" customHeight="1"/>
    <x:row r="410" s="23" customFormat="1" ht="15.75" customHeight="1"/>
    <x:row r="411" s="23" customFormat="1" ht="15.75" customHeight="1"/>
    <x:row r="412" s="23" customFormat="1" ht="15.75" customHeight="1"/>
    <x:row r="413" s="23" customFormat="1" ht="15.75" customHeight="1"/>
    <x:row r="414" s="23" customFormat="1" ht="15.75" customHeight="1"/>
    <x:row r="415" s="23" customFormat="1" ht="15.75" customHeight="1"/>
    <x:row r="416" s="23" customFormat="1" ht="15.75" customHeight="1"/>
    <x:row r="417" s="23" customFormat="1" ht="15.75" customHeight="1"/>
    <x:row r="418" s="23" customFormat="1" ht="15.75" customHeight="1"/>
    <x:row r="419" s="23" customFormat="1" ht="15.75" customHeight="1"/>
    <x:row r="420" s="23" customFormat="1" ht="15.75" customHeight="1"/>
    <x:row r="421" s="23" customFormat="1" ht="15.75" customHeight="1"/>
    <x:row r="422" s="23" customFormat="1" ht="15.75" customHeight="1"/>
    <x:row r="423" s="23" customFormat="1" ht="15.75" customHeight="1"/>
    <x:row r="424" s="23" customFormat="1" ht="15.75" customHeight="1"/>
    <x:row r="425" s="23" customFormat="1" ht="15.75" customHeight="1"/>
    <x:row r="426" s="23" customFormat="1" ht="15.75" customHeight="1"/>
    <x:row r="427" s="23" customFormat="1" ht="15.75" customHeight="1"/>
    <x:row r="428" s="23" customFormat="1" ht="15.75" customHeight="1"/>
    <x:row r="429" s="23" customFormat="1" ht="15.75" customHeight="1"/>
    <x:row r="430" s="23" customFormat="1" ht="15.75" customHeight="1"/>
    <x:row r="431" s="23" customFormat="1" ht="15.75" customHeight="1"/>
    <x:row r="432" s="23" customFormat="1" ht="15.75" customHeight="1"/>
    <x:row r="433" s="23" customFormat="1" ht="15.75" customHeight="1"/>
    <x:row r="434" s="23" customFormat="1" ht="15.75" customHeight="1"/>
    <x:row r="435" s="23" customFormat="1" ht="15.75" customHeight="1"/>
    <x:row r="436" s="23" customFormat="1" ht="15.75" customHeight="1"/>
    <x:row r="437" s="23" customFormat="1" ht="15.75" customHeight="1"/>
    <x:row r="438" s="23" customFormat="1" ht="15.75" customHeight="1"/>
    <x:row r="439" s="23" customFormat="1" ht="15.75" customHeight="1"/>
    <x:row r="440" s="23" customFormat="1" ht="15.75" customHeight="1"/>
    <x:row r="441" s="23" customFormat="1" ht="15.75" customHeight="1"/>
    <x:row r="442" s="23" customFormat="1" ht="15.75" customHeight="1"/>
    <x:row r="443" s="23" customFormat="1" ht="15.75" customHeight="1"/>
    <x:row r="444" s="23" customFormat="1" ht="15.75" customHeight="1"/>
    <x:row r="445" s="23" customFormat="1" ht="15.75" customHeight="1"/>
    <x:row r="446" s="23" customFormat="1" ht="15.75" customHeight="1"/>
    <x:row r="447" s="23" customFormat="1" ht="15.75" customHeight="1"/>
    <x:row r="448" s="23" customFormat="1" ht="15.75" customHeight="1"/>
    <x:row r="449" s="23" customFormat="1" ht="15.75" customHeight="1"/>
    <x:row r="450" s="23" customFormat="1" ht="15.75" customHeight="1"/>
    <x:row r="451" s="23" customFormat="1" ht="15.75" customHeight="1"/>
    <x:row r="452" s="23" customFormat="1" ht="15.75" customHeight="1"/>
    <x:row r="453" s="23" customFormat="1" ht="15.75" customHeight="1"/>
    <x:row r="454" s="23" customFormat="1" ht="15.75" customHeight="1"/>
    <x:row r="455" s="23" customFormat="1" ht="15.75" customHeight="1"/>
    <x:row r="456" s="23" customFormat="1" ht="15.75" customHeight="1"/>
    <x:row r="457" s="23" customFormat="1" ht="15.75" customHeight="1"/>
    <x:row r="458" s="23" customFormat="1" ht="15.75" customHeight="1"/>
    <x:row r="459" s="23" customFormat="1" ht="15.75" customHeight="1"/>
    <x:row r="460" s="23" customFormat="1" ht="15.75" customHeight="1"/>
    <x:row r="461" s="23" customFormat="1" ht="15.75" customHeight="1"/>
    <x:row r="462" s="23" customFormat="1" ht="15.75" customHeight="1"/>
    <x:row r="463" s="23" customFormat="1" ht="15.75" customHeight="1"/>
    <x:row r="464" s="23" customFormat="1" ht="15.75" customHeight="1"/>
    <x:row r="465" s="23" customFormat="1" ht="15.75" customHeight="1"/>
    <x:row r="466" s="23" customFormat="1" ht="15.75" customHeight="1"/>
    <x:row r="467" s="23" customFormat="1" ht="15.75" customHeight="1"/>
    <x:row r="468" s="23" customFormat="1" ht="15.75" customHeight="1"/>
    <x:row r="469" s="23" customFormat="1" ht="15.75" customHeight="1"/>
    <x:row r="470" s="23" customFormat="1" ht="15.75" customHeight="1"/>
    <x:row r="471" s="23" customFormat="1" ht="15.75" customHeight="1"/>
    <x:row r="472" s="23" customFormat="1" ht="15.75" customHeight="1"/>
    <x:row r="473" s="23" customFormat="1" ht="15.75" customHeight="1"/>
    <x:row r="474" s="23" customFormat="1" ht="15.75" customHeight="1"/>
    <x:row r="475" s="23" customFormat="1" ht="15.75" customHeight="1"/>
    <x:row r="476" s="23" customFormat="1" ht="15.75" customHeight="1"/>
    <x:row r="477" s="23" customFormat="1" ht="15.75" customHeight="1"/>
    <x:row r="478" s="23" customFormat="1" ht="15.75" customHeight="1"/>
    <x:row r="479" s="23" customFormat="1" ht="15.75" customHeight="1"/>
    <x:row r="480" s="23" customFormat="1" ht="15.75" customHeight="1"/>
    <x:row r="481" s="23" customFormat="1" ht="15.75" customHeight="1"/>
    <x:row r="482" s="23" customFormat="1" ht="15.75" customHeight="1"/>
    <x:row r="483" s="23" customFormat="1" ht="15.75" customHeight="1"/>
    <x:row r="484" s="23" customFormat="1" ht="15.75" customHeight="1"/>
    <x:row r="485" s="23" customFormat="1" ht="15.75" customHeight="1"/>
    <x:row r="486" s="23" customFormat="1" ht="15.75" customHeight="1"/>
    <x:row r="487" s="23" customFormat="1" ht="15.75" customHeight="1"/>
    <x:row r="488" s="23" customFormat="1" ht="15.75" customHeight="1"/>
    <x:row r="489" s="23" customFormat="1" ht="15.75" customHeight="1"/>
    <x:row r="490" s="23" customFormat="1" ht="15.75" customHeight="1"/>
    <x:row r="491" s="23" customFormat="1" ht="15.75" customHeight="1"/>
    <x:row r="492" s="23" customFormat="1" ht="15.75" customHeight="1"/>
    <x:row r="493" s="23" customFormat="1" ht="15.75" customHeight="1"/>
    <x:row r="494" s="23" customFormat="1" ht="15.75" customHeight="1"/>
    <x:row r="495" s="23" customFormat="1" ht="15.75" customHeight="1"/>
    <x:row r="496" s="23" customFormat="1" ht="15.75" customHeight="1"/>
    <x:row r="497" s="23" customFormat="1" ht="15.75" customHeight="1"/>
    <x:row r="498" s="23" customFormat="1" ht="15.75" customHeight="1"/>
    <x:row r="499" s="23" customFormat="1" ht="15.75" customHeight="1"/>
    <x:row r="500" s="23" customFormat="1" ht="15.75" customHeight="1"/>
    <x:row r="501" s="23" customFormat="1" ht="15.75" customHeight="1"/>
    <x:row r="502" s="23" customFormat="1" ht="15.75" customHeight="1"/>
    <x:row r="503" s="23" customFormat="1" ht="15.75" customHeight="1"/>
    <x:row r="504" s="23" customFormat="1" ht="15.75" customHeight="1"/>
    <x:row r="505" s="23" customFormat="1" ht="15.75" customHeight="1"/>
    <x:row r="506" s="23" customFormat="1" ht="15.75" customHeight="1"/>
    <x:row r="507" s="23" customFormat="1" ht="15.75" customHeight="1"/>
    <x:row r="508" s="23" customFormat="1" ht="15.75" customHeight="1"/>
    <x:row r="509" s="23" customFormat="1" ht="15.75" customHeight="1"/>
    <x:row r="510" s="23" customFormat="1" ht="15.75" customHeight="1"/>
    <x:row r="511" s="23" customFormat="1" ht="15.75" customHeight="1"/>
    <x:row r="512" s="23" customFormat="1" ht="15.75" customHeight="1"/>
    <x:row r="513" s="23" customFormat="1" ht="15.75" customHeight="1"/>
    <x:row r="514" s="23" customFormat="1" ht="15.75" customHeight="1"/>
    <x:row r="515" s="23" customFormat="1" ht="15.75" customHeight="1"/>
    <x:row r="516" s="23" customFormat="1" ht="15.75" customHeight="1"/>
    <x:row r="517" s="23" customFormat="1" ht="15.75" customHeight="1"/>
    <x:row r="518" s="23" customFormat="1" ht="15.75" customHeight="1"/>
    <x:row r="519" s="23" customFormat="1" ht="15.75" customHeight="1"/>
    <x:row r="520" s="23" customFormat="1" ht="15.75" customHeight="1"/>
    <x:row r="521" s="23" customFormat="1" ht="15.75" customHeight="1"/>
    <x:row r="522" s="23" customFormat="1" ht="15.75" customHeight="1"/>
    <x:row r="523" s="23" customFormat="1" ht="15.75" customHeight="1"/>
    <x:row r="524" s="23" customFormat="1" ht="15.75" customHeight="1"/>
    <x:row r="525" s="23" customFormat="1" ht="15.75" customHeight="1"/>
    <x:row r="526" s="23" customFormat="1" ht="15.75" customHeight="1"/>
    <x:row r="527" s="23" customFormat="1" ht="15.75" customHeight="1"/>
    <x:row r="528" s="23" customFormat="1" ht="15.75" customHeight="1"/>
    <x:row r="529" s="23" customFormat="1" ht="15.75" customHeight="1"/>
    <x:row r="530" s="23" customFormat="1" ht="15.75" customHeight="1"/>
    <x:row r="531" s="23" customFormat="1" ht="15.75" customHeight="1"/>
    <x:row r="532" s="23" customFormat="1" ht="15.75" customHeight="1"/>
    <x:row r="533" s="23" customFormat="1" ht="15.75" customHeight="1"/>
    <x:row r="534" s="23" customFormat="1" ht="15.75" customHeight="1"/>
    <x:row r="535" s="23" customFormat="1" ht="15.75" customHeight="1"/>
    <x:row r="536" s="23" customFormat="1" ht="15.75" customHeight="1"/>
    <x:row r="537" s="23" customFormat="1" ht="15.75" customHeight="1"/>
    <x:row r="538" s="23" customFormat="1" ht="15.75" customHeight="1"/>
    <x:row r="539" s="23" customFormat="1" ht="15.75" customHeight="1"/>
    <x:row r="540" s="23" customFormat="1" ht="15.75" customHeight="1"/>
    <x:row r="541" s="23" customFormat="1" ht="15.75" customHeight="1"/>
    <x:row r="542" s="23" customFormat="1" ht="15.75" customHeight="1"/>
    <x:row r="543" s="23" customFormat="1" ht="15.75" customHeight="1"/>
    <x:row r="544" s="23" customFormat="1" ht="15.75" customHeight="1"/>
    <x:row r="545" s="23" customFormat="1" ht="15.75" customHeight="1"/>
    <x:row r="546" s="23" customFormat="1" ht="15.75" customHeight="1"/>
    <x:row r="547" s="23" customFormat="1" ht="15.75" customHeight="1"/>
    <x:row r="548" s="23" customFormat="1" ht="15.75" customHeight="1"/>
    <x:row r="549" s="23" customFormat="1" ht="15.75" customHeight="1"/>
    <x:row r="550" s="23" customFormat="1" ht="15.75" customHeight="1"/>
    <x:row r="551" s="23" customFormat="1" ht="15.75" customHeight="1"/>
    <x:row r="552" s="23" customFormat="1" ht="15.75" customHeight="1"/>
    <x:row r="553" s="23" customFormat="1" ht="15.75" customHeight="1"/>
    <x:row r="554" s="23" customFormat="1" ht="15.75" customHeight="1"/>
    <x:row r="555" s="23" customFormat="1" ht="15.75" customHeight="1"/>
    <x:row r="556" s="23" customFormat="1" ht="15.75" customHeight="1"/>
    <x:row r="557" s="23" customFormat="1" ht="15.75" customHeight="1"/>
    <x:row r="558" s="23" customFormat="1" ht="15.75" customHeight="1"/>
    <x:row r="559" s="23" customFormat="1" ht="15.75" customHeight="1"/>
    <x:row r="560" s="23" customFormat="1" ht="15.75" customHeight="1"/>
    <x:row r="561" s="23" customFormat="1" ht="15.75" customHeight="1"/>
    <x:row r="562" s="23" customFormat="1" ht="15.75" customHeight="1"/>
    <x:row r="563" s="23" customFormat="1" ht="15.75" customHeight="1"/>
    <x:row r="564" s="23" customFormat="1" ht="15.75" customHeight="1"/>
    <x:row r="565" s="23" customFormat="1" ht="15.75" customHeight="1"/>
    <x:row r="566" s="23" customFormat="1" ht="15.75" customHeight="1"/>
    <x:row r="567" s="23" customFormat="1" ht="15.75" customHeight="1"/>
    <x:row r="568" s="23" customFormat="1" ht="15.75" customHeight="1"/>
    <x:row r="569" s="23" customFormat="1" ht="15.75" customHeight="1"/>
    <x:row r="570" s="23" customFormat="1" ht="15.75" customHeight="1"/>
    <x:row r="571" s="23" customFormat="1" ht="15.75" customHeight="1"/>
    <x:row r="572" s="23" customFormat="1" ht="15.75" customHeight="1"/>
    <x:row r="573" s="23" customFormat="1" ht="15.75" customHeight="1"/>
    <x:row r="574" s="23" customFormat="1" ht="15.75" customHeight="1"/>
    <x:row r="575" s="23" customFormat="1" ht="15.75" customHeight="1"/>
    <x:row r="576" s="23" customFormat="1" ht="15.75" customHeight="1"/>
    <x:row r="577" s="23" customFormat="1" ht="15.75" customHeight="1"/>
    <x:row r="578" s="23" customFormat="1" ht="15.75" customHeight="1"/>
    <x:row r="579" s="23" customFormat="1" ht="15.75" customHeight="1"/>
    <x:row r="580" s="23" customFormat="1" ht="15.75" customHeight="1"/>
    <x:row r="581" s="23" customFormat="1" ht="15.75" customHeight="1"/>
    <x:row r="582" s="23" customFormat="1" ht="15.75" customHeight="1"/>
    <x:row r="583" s="23" customFormat="1" ht="15.75" customHeight="1"/>
    <x:row r="584" s="23" customFormat="1" ht="15.75" customHeight="1"/>
    <x:row r="585" s="23" customFormat="1" ht="15.75" customHeight="1"/>
    <x:row r="586" s="23" customFormat="1" ht="15.75" customHeight="1"/>
    <x:row r="587" s="23" customFormat="1" ht="15.75" customHeight="1"/>
    <x:row r="588" s="23" customFormat="1" ht="15.75" customHeight="1"/>
    <x:row r="589" s="23" customFormat="1" ht="15.75" customHeight="1"/>
    <x:row r="590" s="23" customFormat="1" ht="15.75" customHeight="1"/>
    <x:row r="591" s="23" customFormat="1" ht="15.75" customHeight="1"/>
    <x:row r="592" s="23" customFormat="1" ht="15.75" customHeight="1"/>
    <x:row r="593" s="23" customFormat="1" ht="15.75" customHeight="1"/>
    <x:row r="594" s="23" customFormat="1" ht="15.75" customHeight="1"/>
    <x:row r="595" s="23" customFormat="1" ht="15.75" customHeight="1"/>
    <x:row r="596" s="23" customFormat="1" ht="15.75" customHeight="1"/>
    <x:row r="597" s="23" customFormat="1" ht="15.75" customHeight="1"/>
    <x:row r="598" s="23" customFormat="1" ht="15.75" customHeight="1"/>
    <x:row r="599" s="23" customFormat="1" ht="15.75" customHeight="1"/>
    <x:row r="600" s="23" customFormat="1" ht="15.75" customHeight="1"/>
    <x:row r="601" s="23" customFormat="1" ht="15.75" customHeight="1"/>
    <x:row r="602" s="23" customFormat="1" ht="15.75" customHeight="1"/>
    <x:row r="603" s="23" customFormat="1" ht="15.75" customHeight="1"/>
    <x:row r="604" s="23" customFormat="1" ht="15.75" customHeight="1"/>
    <x:row r="605" s="23" customFormat="1" ht="15.75" customHeight="1"/>
    <x:row r="606" s="23" customFormat="1" ht="15.75" customHeight="1"/>
    <x:row r="607" s="23" customFormat="1" ht="15.75" customHeight="1"/>
    <x:row r="608" s="23" customFormat="1" ht="15.75" customHeight="1"/>
    <x:row r="609" s="23" customFormat="1" ht="15.75" customHeight="1"/>
    <x:row r="610" s="23" customFormat="1" ht="15.75" customHeight="1"/>
    <x:row r="611" s="23" customFormat="1" ht="15.75" customHeight="1"/>
    <x:row r="612" s="23" customFormat="1" ht="15.75" customHeight="1"/>
    <x:row r="613" s="23" customFormat="1" ht="15.75" customHeight="1"/>
    <x:row r="614" s="23" customFormat="1" ht="15.75" customHeight="1"/>
    <x:row r="615" s="23" customFormat="1" ht="15.75" customHeight="1"/>
    <x:row r="616" s="23" customFormat="1" ht="15.75" customHeight="1"/>
    <x:row r="617" s="23" customFormat="1" ht="15.75" customHeight="1"/>
    <x:row r="618" s="23" customFormat="1" ht="15.75" customHeight="1"/>
    <x:row r="619" s="23" customFormat="1" ht="15.75" customHeight="1"/>
    <x:row r="620" s="23" customFormat="1" ht="15.75" customHeight="1"/>
    <x:row r="621" s="23" customFormat="1" ht="15.75" customHeight="1"/>
    <x:row r="622" s="23" customFormat="1" ht="15.75" customHeight="1"/>
    <x:row r="623" s="23" customFormat="1" ht="15.75" customHeight="1"/>
    <x:row r="624" s="23" customFormat="1" ht="15.75" customHeight="1"/>
    <x:row r="625" s="23" customFormat="1" ht="15.75" customHeight="1"/>
    <x:row r="626" s="23" customFormat="1" ht="15.75" customHeight="1"/>
    <x:row r="627" s="23" customFormat="1" ht="15.75" customHeight="1"/>
    <x:row r="628" s="23" customFormat="1" ht="15.75" customHeight="1"/>
    <x:row r="629" s="23" customFormat="1" ht="15.75" customHeight="1"/>
    <x:row r="630" s="23" customFormat="1" ht="15.75" customHeight="1"/>
    <x:row r="631" s="23" customFormat="1" ht="15.75" customHeight="1"/>
    <x:row r="632" s="23" customFormat="1" ht="15.75" customHeight="1"/>
    <x:row r="633" s="23" customFormat="1" ht="15.75" customHeight="1"/>
    <x:row r="634" s="23" customFormat="1" ht="15.75" customHeight="1"/>
    <x:row r="635" s="23" customFormat="1" ht="15.75" customHeight="1"/>
    <x:row r="636" s="23" customFormat="1" ht="15.75" customHeight="1"/>
    <x:row r="637" s="23" customFormat="1" ht="15.75" customHeight="1"/>
    <x:row r="638" s="23" customFormat="1" ht="15.75" customHeight="1"/>
    <x:row r="639" s="23" customFormat="1" ht="15.75" customHeight="1"/>
    <x:row r="640" s="23" customFormat="1" ht="15.75" customHeight="1"/>
    <x:row r="641" s="23" customFormat="1" ht="15.75" customHeight="1"/>
    <x:row r="642" s="23" customFormat="1" ht="15.75" customHeight="1"/>
    <x:row r="643" s="23" customFormat="1" ht="15.75" customHeight="1"/>
    <x:row r="644" s="23" customFormat="1" ht="15.75" customHeight="1"/>
    <x:row r="645" s="23" customFormat="1" ht="15.75" customHeight="1"/>
    <x:row r="646" s="23" customFormat="1" ht="15.75" customHeight="1"/>
    <x:row r="647" s="23" customFormat="1" ht="15.75" customHeight="1"/>
    <x:row r="648" s="23" customFormat="1" ht="15.75" customHeight="1"/>
    <x:row r="649" s="23" customFormat="1" ht="15.75" customHeight="1"/>
    <x:row r="650" s="23" customFormat="1" ht="15.75" customHeight="1"/>
    <x:row r="651" s="23" customFormat="1" ht="15.75" customHeight="1"/>
    <x:row r="652" s="23" customFormat="1" ht="15.75" customHeight="1"/>
    <x:row r="653" s="23" customFormat="1" ht="15.75" customHeight="1"/>
    <x:row r="654" s="23" customFormat="1" ht="15.75" customHeight="1"/>
    <x:row r="655" s="23" customFormat="1" ht="15.75" customHeight="1"/>
    <x:row r="656" s="23" customFormat="1" ht="15.75" customHeight="1"/>
    <x:row r="657" s="23" customFormat="1" ht="15.75" customHeight="1"/>
    <x:row r="658" s="23" customFormat="1" ht="15.75" customHeight="1"/>
    <x:row r="659" s="23" customFormat="1" ht="15.75" customHeight="1"/>
    <x:row r="660" s="23" customFormat="1" ht="15.75" customHeight="1"/>
    <x:row r="661" s="23" customFormat="1" ht="15.75" customHeight="1"/>
    <x:row r="662" s="23" customFormat="1" ht="15.75" customHeight="1"/>
    <x:row r="663" s="23" customFormat="1" ht="15.75" customHeight="1"/>
    <x:row r="664" s="23" customFormat="1" ht="15.75" customHeight="1"/>
    <x:row r="665" s="23" customFormat="1" ht="15.75" customHeight="1"/>
    <x:row r="666" s="23" customFormat="1" ht="15.75" customHeight="1"/>
    <x:row r="667" s="23" customFormat="1" ht="15.75" customHeight="1"/>
    <x:row r="668" s="23" customFormat="1" ht="15.75" customHeight="1"/>
    <x:row r="669" s="23" customFormat="1" ht="15.75" customHeight="1"/>
    <x:row r="670" s="23" customFormat="1" ht="15.75" customHeight="1"/>
    <x:row r="671" s="23" customFormat="1" ht="15.75" customHeight="1"/>
    <x:row r="672" s="23" customFormat="1" ht="15.75" customHeight="1"/>
    <x:row r="673" s="23" customFormat="1" ht="15.75" customHeight="1"/>
    <x:row r="674" s="23" customFormat="1" ht="15.75" customHeight="1"/>
    <x:row r="675" s="23" customFormat="1" ht="15.75" customHeight="1"/>
    <x:row r="676" s="23" customFormat="1" ht="15.75" customHeight="1"/>
    <x:row r="677" s="23" customFormat="1" ht="15.75" customHeight="1"/>
    <x:row r="678" s="23" customFormat="1" ht="15.75" customHeight="1"/>
    <x:row r="679" s="23" customFormat="1" ht="15.75" customHeight="1"/>
    <x:row r="680" s="23" customFormat="1" ht="15.75" customHeight="1"/>
    <x:row r="681" s="23" customFormat="1" ht="15.75" customHeight="1"/>
    <x:row r="682" s="23" customFormat="1" ht="15.75" customHeight="1"/>
    <x:row r="683" s="23" customFormat="1" ht="15.75" customHeight="1"/>
    <x:row r="684" s="23" customFormat="1" ht="15.75" customHeight="1"/>
    <x:row r="685" s="23" customFormat="1" ht="15.75" customHeight="1"/>
    <x:row r="686" s="23" customFormat="1" ht="15.75" customHeight="1"/>
    <x:row r="687" s="23" customFormat="1" ht="15.75" customHeight="1"/>
    <x:row r="688" s="23" customFormat="1" ht="15.75" customHeight="1"/>
    <x:row r="689" s="23" customFormat="1" ht="15.75" customHeight="1"/>
    <x:row r="690" s="23" customFormat="1" ht="15.75" customHeight="1"/>
    <x:row r="691" s="23" customFormat="1" ht="15.75" customHeight="1"/>
    <x:row r="692" s="23" customFormat="1" ht="15.75" customHeight="1"/>
    <x:row r="693" s="23" customFormat="1" ht="15.75" customHeight="1"/>
    <x:row r="694" s="23" customFormat="1" ht="15.75" customHeight="1"/>
    <x:row r="695" s="23" customFormat="1" ht="15.75" customHeight="1"/>
    <x:row r="696" s="23" customFormat="1" ht="15.75" customHeight="1"/>
    <x:row r="697" s="23" customFormat="1" ht="15.75" customHeight="1"/>
    <x:row r="698" s="23" customFormat="1" ht="15.75" customHeight="1"/>
    <x:row r="699" s="23" customFormat="1" ht="15.75" customHeight="1"/>
    <x:row r="700" s="23" customFormat="1" ht="15.75" customHeight="1"/>
    <x:row r="701" s="23" customFormat="1" ht="15.75" customHeight="1"/>
    <x:row r="702" s="23" customFormat="1" ht="15.75" customHeight="1"/>
    <x:row r="703" s="23" customFormat="1" ht="15.75" customHeight="1"/>
    <x:row r="704" s="23" customFormat="1" ht="15.75" customHeight="1"/>
    <x:row r="705" s="23" customFormat="1" ht="15.75" customHeight="1"/>
    <x:row r="706" s="23" customFormat="1" ht="15.75" customHeight="1"/>
    <x:row r="707" s="23" customFormat="1" ht="15.75" customHeight="1"/>
    <x:row r="708" s="23" customFormat="1" ht="15.75" customHeight="1"/>
    <x:row r="709" s="23" customFormat="1" ht="15.75" customHeight="1"/>
    <x:row r="710" s="23" customFormat="1" ht="15.75" customHeight="1"/>
    <x:row r="711" s="23" customFormat="1" ht="15.75" customHeight="1"/>
    <x:row r="712" s="23" customFormat="1" ht="15.75" customHeight="1"/>
    <x:row r="713" s="23" customFormat="1" ht="15.75" customHeight="1"/>
    <x:row r="714" s="23" customFormat="1" ht="15.75" customHeight="1"/>
    <x:row r="715" s="23" customFormat="1" ht="15.75" customHeight="1"/>
    <x:row r="716" s="23" customFormat="1" ht="15.75" customHeight="1"/>
    <x:row r="717" s="23" customFormat="1" ht="15.75" customHeight="1"/>
    <x:row r="718" s="23" customFormat="1" ht="15.75" customHeight="1"/>
    <x:row r="719" s="23" customFormat="1" ht="15.75" customHeight="1"/>
    <x:row r="720" s="23" customFormat="1" ht="15.75" customHeight="1"/>
    <x:row r="721" s="23" customFormat="1" ht="15.75" customHeight="1"/>
    <x:row r="722" s="23" customFormat="1" ht="15.75" customHeight="1"/>
    <x:row r="723" s="23" customFormat="1" ht="15.75" customHeight="1"/>
    <x:row r="724" s="23" customFormat="1" ht="15.75" customHeight="1"/>
    <x:row r="725" s="23" customFormat="1" ht="15.75" customHeight="1"/>
    <x:row r="726" s="23" customFormat="1" ht="15.75" customHeight="1"/>
    <x:row r="727" s="23" customFormat="1" ht="15.75" customHeight="1"/>
    <x:row r="728" s="23" customFormat="1" ht="15.75" customHeight="1"/>
    <x:row r="729" s="23" customFormat="1" ht="15.75" customHeight="1"/>
    <x:row r="730" s="23" customFormat="1" ht="15.75" customHeight="1"/>
    <x:row r="731" s="23" customFormat="1" ht="15.75" customHeight="1"/>
    <x:row r="732" s="23" customFormat="1" ht="15.75" customHeight="1"/>
    <x:row r="733" s="23" customFormat="1" ht="15.75" customHeight="1"/>
    <x:row r="734" s="23" customFormat="1" ht="15.75" customHeight="1"/>
    <x:row r="735" s="23" customFormat="1" ht="15.75" customHeight="1"/>
    <x:row r="736" s="23" customFormat="1" ht="15.75" customHeight="1"/>
    <x:row r="737" s="23" customFormat="1" ht="15.75" customHeight="1"/>
    <x:row r="738" s="23" customFormat="1" ht="15.75" customHeight="1"/>
    <x:row r="739" s="23" customFormat="1" ht="15.75" customHeight="1"/>
    <x:row r="740" s="23" customFormat="1" ht="15.75" customHeight="1"/>
    <x:row r="741" s="23" customFormat="1" ht="15.75" customHeight="1"/>
    <x:row r="742" s="23" customFormat="1" ht="15.75" customHeight="1"/>
    <x:row r="743" s="23" customFormat="1" ht="15.75" customHeight="1"/>
    <x:row r="744" s="23" customFormat="1" ht="15.75" customHeight="1"/>
    <x:row r="745" s="23" customFormat="1" ht="15.75" customHeight="1"/>
    <x:row r="746" s="23" customFormat="1" ht="15.75" customHeight="1"/>
    <x:row r="747" s="23" customFormat="1" ht="15.75" customHeight="1"/>
    <x:row r="748" s="23" customFormat="1" ht="15.75" customHeight="1"/>
    <x:row r="749" s="23" customFormat="1" ht="15.75" customHeight="1"/>
    <x:row r="750" s="23" customFormat="1" ht="15.75" customHeight="1"/>
    <x:row r="751" s="23" customFormat="1" ht="15.75" customHeight="1"/>
    <x:row r="752" s="23" customFormat="1" ht="15.75" customHeight="1"/>
    <x:row r="753" s="23" customFormat="1" ht="15.75" customHeight="1"/>
    <x:row r="754" s="23" customFormat="1" ht="15.75" customHeight="1"/>
    <x:row r="755" s="23" customFormat="1" ht="15.75" customHeight="1"/>
    <x:row r="756" s="23" customFormat="1" ht="15.75" customHeight="1"/>
    <x:row r="757" s="23" customFormat="1" ht="15.75" customHeight="1"/>
    <x:row r="758" s="23" customFormat="1" ht="15.75" customHeight="1"/>
    <x:row r="759" s="23" customFormat="1" ht="15.75" customHeight="1"/>
    <x:row r="760" s="23" customFormat="1" ht="15.75" customHeight="1"/>
    <x:row r="761" s="23" customFormat="1" ht="15.75" customHeight="1"/>
    <x:row r="762" s="23" customFormat="1" ht="15.75" customHeight="1"/>
    <x:row r="763" s="23" customFormat="1" ht="15.75" customHeight="1"/>
    <x:row r="764" s="23" customFormat="1" ht="15.75" customHeight="1"/>
    <x:row r="765" s="23" customFormat="1" ht="15.75" customHeight="1"/>
    <x:row r="766" s="23" customFormat="1" ht="15.75" customHeight="1"/>
    <x:row r="767" s="23" customFormat="1" ht="15.75" customHeight="1"/>
    <x:row r="768" s="23" customFormat="1" ht="15.75" customHeight="1"/>
    <x:row r="769" s="23" customFormat="1" ht="15.75" customHeight="1"/>
    <x:row r="770" s="23" customFormat="1" ht="15.75" customHeight="1"/>
    <x:row r="771" s="23" customFormat="1" ht="15.75" customHeight="1"/>
    <x:row r="772" s="23" customFormat="1" ht="15.75" customHeight="1"/>
    <x:row r="773" s="23" customFormat="1" ht="15.75" customHeight="1"/>
    <x:row r="774" s="23" customFormat="1" ht="15.75" customHeight="1"/>
    <x:row r="775" s="23" customFormat="1" ht="15.75" customHeight="1"/>
    <x:row r="776" s="23" customFormat="1" ht="15.75" customHeight="1"/>
    <x:row r="777" s="23" customFormat="1" ht="15.75" customHeight="1"/>
    <x:row r="778" s="23" customFormat="1" ht="15.75" customHeight="1"/>
    <x:row r="779" s="23" customFormat="1" ht="15.75" customHeight="1"/>
    <x:row r="780" s="23" customFormat="1" ht="15.75" customHeight="1"/>
    <x:row r="781" s="23" customFormat="1" ht="15.75" customHeight="1"/>
    <x:row r="782" s="23" customFormat="1" ht="15.75" customHeight="1"/>
    <x:row r="783" s="23" customFormat="1" ht="15.75" customHeight="1"/>
    <x:row r="784" s="23" customFormat="1" ht="15.75" customHeight="1"/>
    <x:row r="785" s="23" customFormat="1" ht="15.75" customHeight="1"/>
    <x:row r="786" s="23" customFormat="1" ht="15.75" customHeight="1"/>
    <x:row r="787" s="23" customFormat="1" ht="15.75" customHeight="1"/>
    <x:row r="788" s="23" customFormat="1" ht="15.75" customHeight="1"/>
    <x:row r="789" s="23" customFormat="1" ht="15.75" customHeight="1"/>
    <x:row r="790" s="23" customFormat="1" ht="15.75" customHeight="1"/>
    <x:row r="791" s="23" customFormat="1" ht="15.75" customHeight="1"/>
    <x:row r="792" s="23" customFormat="1" ht="15.75" customHeight="1"/>
    <x:row r="793" s="23" customFormat="1" ht="15.75" customHeight="1"/>
    <x:row r="794" s="23" customFormat="1" ht="15.75" customHeight="1"/>
    <x:row r="795" s="23" customFormat="1" ht="15.75" customHeight="1"/>
    <x:row r="796" s="23" customFormat="1" ht="15.75" customHeight="1"/>
    <x:row r="797" s="23" customFormat="1" ht="15.75" customHeight="1"/>
    <x:row r="798" s="23" customFormat="1" ht="15.75" customHeight="1"/>
    <x:row r="799" s="23" customFormat="1" ht="15.75" customHeight="1"/>
    <x:row r="800" s="23" customFormat="1" ht="15.75" customHeight="1"/>
    <x:row r="801" s="23" customFormat="1" ht="15.75" customHeight="1"/>
    <x:row r="802" s="23" customFormat="1" ht="15.75" customHeight="1"/>
    <x:row r="803" s="23" customFormat="1" ht="15.75" customHeight="1"/>
    <x:row r="804" s="23" customFormat="1" ht="15.75" customHeight="1"/>
    <x:row r="805" s="23" customFormat="1" ht="15.75" customHeight="1"/>
    <x:row r="806" s="23" customFormat="1" ht="15.75" customHeight="1"/>
    <x:row r="807" s="23" customFormat="1" ht="15.75" customHeight="1"/>
    <x:row r="808" s="23" customFormat="1" ht="15.75" customHeight="1"/>
    <x:row r="809" s="23" customFormat="1" ht="15.75" customHeight="1"/>
    <x:row r="810" s="23" customFormat="1" ht="15.75" customHeight="1"/>
    <x:row r="811" s="23" customFormat="1" ht="15.75" customHeight="1"/>
    <x:row r="812" s="23" customFormat="1" ht="15.75" customHeight="1"/>
    <x:row r="813" s="23" customFormat="1" ht="15.75" customHeight="1"/>
    <x:row r="814" s="23" customFormat="1" ht="15.75" customHeight="1"/>
    <x:row r="815" s="23" customFormat="1" ht="15.75" customHeight="1"/>
    <x:row r="816" s="23" customFormat="1" ht="15.75" customHeight="1"/>
    <x:row r="817" s="23" customFormat="1" ht="15.75" customHeight="1"/>
    <x:row r="818" s="23" customFormat="1" ht="15.75" customHeight="1"/>
    <x:row r="819" s="23" customFormat="1" ht="15.75" customHeight="1"/>
    <x:row r="820" s="23" customFormat="1" ht="15.75" customHeight="1"/>
    <x:row r="821" s="23" customFormat="1" ht="15.75" customHeight="1"/>
    <x:row r="822" s="23" customFormat="1" ht="15.75" customHeight="1"/>
    <x:row r="823" s="23" customFormat="1" ht="15.75" customHeight="1"/>
    <x:row r="824" s="23" customFormat="1" ht="15.75" customHeight="1"/>
    <x:row r="825" s="23" customFormat="1" ht="15.75" customHeight="1"/>
    <x:row r="826" s="23" customFormat="1" ht="15.75" customHeight="1"/>
    <x:row r="827" s="23" customFormat="1" ht="15.75" customHeight="1"/>
    <x:row r="828" s="23" customFormat="1" ht="15.75" customHeight="1"/>
    <x:row r="829" s="23" customFormat="1" ht="15.75" customHeight="1"/>
    <x:row r="830" s="23" customFormat="1" ht="15.75" customHeight="1"/>
    <x:row r="831" s="23" customFormat="1" ht="15.75" customHeight="1"/>
    <x:row r="832" s="23" customFormat="1" ht="15.75" customHeight="1"/>
    <x:row r="833" s="23" customFormat="1" ht="15.75" customHeight="1"/>
    <x:row r="834" s="23" customFormat="1" ht="15.75" customHeight="1"/>
    <x:row r="835" s="23" customFormat="1" ht="15.75" customHeight="1"/>
    <x:row r="836" s="23" customFormat="1" ht="15.75" customHeight="1"/>
    <x:row r="837" s="23" customFormat="1" ht="15.75" customHeight="1"/>
    <x:row r="838" s="23" customFormat="1" ht="15.75" customHeight="1"/>
    <x:row r="839" s="23" customFormat="1" ht="15.75" customHeight="1"/>
    <x:row r="840" s="23" customFormat="1" ht="15.75" customHeight="1"/>
    <x:row r="841" s="23" customFormat="1" ht="15.75" customHeight="1"/>
    <x:row r="842" s="23" customFormat="1" ht="15.75" customHeight="1"/>
    <x:row r="843" s="23" customFormat="1" ht="15.75" customHeight="1"/>
    <x:row r="844" s="23" customFormat="1" ht="15.75" customHeight="1"/>
    <x:row r="845" s="23" customFormat="1" ht="15.75" customHeight="1"/>
    <x:row r="846" s="23" customFormat="1" ht="15.75" customHeight="1"/>
    <x:row r="847" s="23" customFormat="1" ht="15.75" customHeight="1"/>
    <x:row r="848" s="23" customFormat="1" ht="15.75" customHeight="1"/>
    <x:row r="849" s="23" customFormat="1" ht="15.75" customHeight="1"/>
    <x:row r="850" s="23" customFormat="1" ht="15.75" customHeight="1"/>
    <x:row r="851" s="23" customFormat="1" ht="15.75" customHeight="1"/>
    <x:row r="852" s="23" customFormat="1" ht="15.75" customHeight="1"/>
    <x:row r="853" s="23" customFormat="1" ht="15.75" customHeight="1"/>
    <x:row r="854" s="23" customFormat="1" ht="15.75" customHeight="1"/>
    <x:row r="855" s="23" customFormat="1" ht="15.75" customHeight="1"/>
    <x:row r="856" s="23" customFormat="1" ht="15.75" customHeight="1"/>
    <x:row r="857" s="23" customFormat="1" ht="15.75" customHeight="1"/>
    <x:row r="858" s="23" customFormat="1" ht="15.75" customHeight="1"/>
    <x:row r="859" s="23" customFormat="1" ht="15.75" customHeight="1"/>
    <x:row r="860" s="23" customFormat="1" ht="15.75" customHeight="1"/>
    <x:row r="861" s="23" customFormat="1" ht="15.75" customHeight="1"/>
    <x:row r="862" s="23" customFormat="1" ht="15.75" customHeight="1"/>
    <x:row r="863" s="23" customFormat="1" ht="15.75" customHeight="1"/>
    <x:row r="864" s="23" customFormat="1" ht="15.75" customHeight="1"/>
    <x:row r="865" s="23" customFormat="1" ht="15.75" customHeight="1"/>
    <x:row r="866" s="23" customFormat="1" ht="15.75" customHeight="1"/>
    <x:row r="867" s="23" customFormat="1" ht="15.75" customHeight="1"/>
    <x:row r="868" s="23" customFormat="1" ht="15.75" customHeight="1"/>
    <x:row r="869" s="23" customFormat="1" ht="15.75" customHeight="1"/>
    <x:row r="870" s="23" customFormat="1" ht="15.75" customHeight="1"/>
    <x:row r="871" s="23" customFormat="1" ht="15.75" customHeight="1"/>
    <x:row r="872" s="23" customFormat="1" ht="15.75" customHeight="1"/>
    <x:row r="873" s="23" customFormat="1" ht="15.75" customHeight="1"/>
    <x:row r="874" s="23" customFormat="1" ht="15.75" customHeight="1"/>
    <x:row r="875" s="23" customFormat="1" ht="15.75" customHeight="1"/>
    <x:row r="876" s="23" customFormat="1" ht="15.75" customHeight="1"/>
    <x:row r="877" s="23" customFormat="1" ht="15.75" customHeight="1"/>
    <x:row r="878" s="23" customFormat="1" ht="15.75" customHeight="1"/>
    <x:row r="879" s="23" customFormat="1" ht="15.75" customHeight="1"/>
    <x:row r="880" s="23" customFormat="1" ht="15.75" customHeight="1"/>
    <x:row r="881" s="23" customFormat="1" ht="15.75" customHeight="1"/>
    <x:row r="882" s="23" customFormat="1" ht="15.75" customHeight="1"/>
    <x:row r="883" s="23" customFormat="1" ht="15.75" customHeight="1"/>
    <x:row r="884" s="23" customFormat="1" ht="15.75" customHeight="1"/>
    <x:row r="885" s="23" customFormat="1" ht="15.75" customHeight="1"/>
    <x:row r="886" s="23" customFormat="1" ht="15.75" customHeight="1"/>
    <x:row r="887" s="23" customFormat="1" ht="15.75" customHeight="1"/>
    <x:row r="888" s="23" customFormat="1" ht="15.75" customHeight="1"/>
    <x:row r="889" s="23" customFormat="1" ht="15.75" customHeight="1"/>
    <x:row r="890" s="23" customFormat="1" ht="15.75" customHeight="1"/>
    <x:row r="891" s="23" customFormat="1" ht="15.75" customHeight="1"/>
    <x:row r="892" s="23" customFormat="1" ht="15.75" customHeight="1"/>
    <x:row r="893" s="23" customFormat="1" ht="15.75" customHeight="1"/>
    <x:row r="894" s="23" customFormat="1" ht="15.75" customHeight="1"/>
    <x:row r="895" s="23" customFormat="1" ht="15.75" customHeight="1"/>
    <x:row r="896" s="23" customFormat="1" ht="15.75" customHeight="1"/>
    <x:row r="897" s="23" customFormat="1" ht="15.75" customHeight="1"/>
    <x:row r="898" s="23" customFormat="1" ht="15.75" customHeight="1"/>
    <x:row r="899" s="23" customFormat="1" ht="15.75" customHeight="1"/>
    <x:row r="900" s="23" customFormat="1" ht="15.75" customHeight="1"/>
    <x:row r="901" s="23" customFormat="1" ht="15.75" customHeight="1"/>
    <x:row r="902" s="23" customFormat="1" ht="15.75" customHeight="1"/>
    <x:row r="903" s="23" customFormat="1" ht="15.75" customHeight="1"/>
    <x:row r="904" s="23" customFormat="1" ht="15.75" customHeight="1"/>
    <x:row r="905" s="23" customFormat="1" ht="15.75" customHeight="1"/>
    <x:row r="906" s="23" customFormat="1" ht="15.75" customHeight="1"/>
    <x:row r="907" s="23" customFormat="1" ht="15.75" customHeight="1"/>
    <x:row r="908" s="23" customFormat="1" ht="15.75" customHeight="1"/>
    <x:row r="909" s="23" customFormat="1" ht="15.75" customHeight="1"/>
    <x:row r="910" s="23" customFormat="1" ht="15.75" customHeight="1"/>
    <x:row r="911" s="23" customFormat="1" ht="15.75" customHeight="1"/>
    <x:row r="912" s="23" customFormat="1" ht="15.75" customHeight="1"/>
    <x:row r="913" s="23" customFormat="1" ht="15.75" customHeight="1"/>
    <x:row r="914" s="23" customFormat="1" ht="15.75" customHeight="1"/>
    <x:row r="915" s="23" customFormat="1" ht="15.75" customHeight="1"/>
    <x:row r="916" s="23" customFormat="1" ht="15.75" customHeight="1"/>
    <x:row r="917" s="23" customFormat="1" ht="15.75" customHeight="1"/>
    <x:row r="918" s="23" customFormat="1" ht="15.75" customHeight="1"/>
    <x:row r="919" s="23" customFormat="1" ht="15.75" customHeight="1"/>
    <x:row r="920" s="23" customFormat="1" ht="15.75" customHeight="1"/>
    <x:row r="921" s="23" customFormat="1" ht="15.75" customHeight="1"/>
    <x:row r="922" s="23" customFormat="1" ht="15.75" customHeight="1"/>
    <x:row r="923" s="23" customFormat="1" ht="15.75" customHeight="1"/>
    <x:row r="924" s="23" customFormat="1" ht="15.75" customHeight="1"/>
    <x:row r="925" s="23" customFormat="1" ht="15.75" customHeight="1"/>
    <x:row r="926" s="23" customFormat="1" ht="15.75" customHeight="1"/>
    <x:row r="927" s="23" customFormat="1" ht="15.75" customHeight="1"/>
    <x:row r="928" s="23" customFormat="1" ht="15.75" customHeight="1"/>
    <x:row r="929" s="23" customFormat="1" ht="15.75" customHeight="1"/>
    <x:row r="930" s="23" customFormat="1" ht="15.75" customHeight="1"/>
    <x:row r="931" s="23" customFormat="1" ht="15.75" customHeight="1"/>
    <x:row r="932" s="23" customFormat="1" ht="15.75" customHeight="1"/>
    <x:row r="933" s="23" customFormat="1" ht="15.75" customHeight="1"/>
    <x:row r="934" s="23" customFormat="1" ht="15.75" customHeight="1"/>
    <x:row r="935" s="23" customFormat="1" ht="15.75" customHeight="1"/>
    <x:row r="936" s="23" customFormat="1" ht="15.75" customHeight="1"/>
    <x:row r="937" s="23" customFormat="1" ht="15.75" customHeight="1"/>
    <x:row r="938" s="23" customFormat="1" ht="15.75" customHeight="1"/>
    <x:row r="939" s="23" customFormat="1" ht="15.75" customHeight="1"/>
    <x:row r="940" s="23" customFormat="1" ht="15.75" customHeight="1"/>
    <x:row r="941" s="23" customFormat="1" ht="15.75" customHeight="1"/>
    <x:row r="942" s="23" customFormat="1" ht="15.75" customHeight="1"/>
    <x:row r="943" s="23" customFormat="1" ht="15.75" customHeight="1"/>
    <x:row r="944" s="23" customFormat="1" ht="15.75" customHeight="1"/>
    <x:row r="945" s="23" customFormat="1" ht="15.75" customHeight="1"/>
    <x:row r="946" s="23" customFormat="1" ht="15.75" customHeight="1"/>
    <x:row r="947" s="23" customFormat="1" ht="15.75" customHeight="1"/>
    <x:row r="948" s="23" customFormat="1" ht="15.75" customHeight="1"/>
    <x:row r="949" s="23" customFormat="1" ht="15.75" customHeight="1"/>
    <x:row r="950" s="23" customFormat="1" ht="15.75" customHeight="1"/>
    <x:row r="951" s="23" customFormat="1" ht="15.75" customHeight="1"/>
    <x:row r="952" s="23" customFormat="1" ht="15.75" customHeight="1"/>
    <x:row r="953" s="23" customFormat="1" ht="15.75" customHeight="1"/>
    <x:row r="954" s="23" customFormat="1" ht="15.75" customHeight="1"/>
    <x:row r="955" s="23" customFormat="1" ht="15.75" customHeight="1"/>
    <x:row r="956" s="23" customFormat="1" ht="15.75" customHeight="1"/>
    <x:row r="957" s="23" customFormat="1" ht="15.75" customHeight="1"/>
    <x:row r="958" s="23" customFormat="1" ht="15.75" customHeight="1"/>
    <x:row r="959" s="23" customFormat="1" ht="15.75" customHeight="1"/>
    <x:row r="960" s="23" customFormat="1" ht="15.75" customHeight="1"/>
    <x:row r="961" s="23" customFormat="1" ht="15.75" customHeight="1"/>
    <x:row r="962" s="23" customFormat="1" ht="15.75" customHeight="1"/>
    <x:row r="963" s="23" customFormat="1" ht="15.75" customHeight="1"/>
    <x:row r="964" s="23" customFormat="1" ht="15.75" customHeight="1"/>
    <x:row r="965" s="23" customFormat="1" ht="15.75" customHeight="1"/>
    <x:row r="966" s="23" customFormat="1" ht="15.75" customHeight="1"/>
    <x:row r="967" s="23" customFormat="1" ht="15.75" customHeight="1"/>
    <x:row r="968" s="23" customFormat="1" ht="15.75" customHeight="1"/>
    <x:row r="969" s="23" customFormat="1" ht="15.75" customHeight="1"/>
    <x:row r="970" s="23" customFormat="1" ht="15.75" customHeight="1"/>
    <x:row r="971" s="23" customFormat="1" ht="15.75" customHeight="1"/>
    <x:row r="972" s="23" customFormat="1" ht="15.75" customHeight="1"/>
    <x:row r="973" s="23" customFormat="1" ht="15.75" customHeight="1"/>
    <x:row r="974" s="23" customFormat="1" ht="15.75" customHeight="1"/>
    <x:row r="975" s="23" customFormat="1" ht="15.75" customHeight="1"/>
    <x:row r="976" s="23" customFormat="1" ht="15.75" customHeight="1"/>
    <x:row r="977" s="23" customFormat="1" ht="15.75" customHeight="1"/>
    <x:row r="978" s="23" customFormat="1" ht="15.75" customHeight="1"/>
    <x:row r="979" s="23" customFormat="1" ht="15.75" customHeight="1"/>
    <x:row r="980" s="23" customFormat="1" ht="15.75" customHeight="1"/>
    <x:row r="981" s="23" customFormat="1" ht="15.75" customHeight="1"/>
    <x:row r="982" s="23" customFormat="1" ht="15.75" customHeight="1"/>
    <x:row r="983" s="23" customFormat="1" ht="15.75" customHeight="1"/>
    <x:row r="984" s="23" customFormat="1" ht="15.75" customHeight="1"/>
    <x:row r="985" s="23" customFormat="1" ht="15.75" customHeight="1"/>
    <x:row r="986" s="23" customFormat="1" ht="15.75" customHeight="1"/>
    <x:row r="987" s="23" customFormat="1" ht="15.75" customHeight="1"/>
    <x:row r="988" s="23" customFormat="1" ht="15.75" customHeight="1"/>
    <x:row r="989" s="23" customFormat="1" ht="15.75" customHeight="1"/>
    <x:row r="990" s="23" customFormat="1" ht="15.75" customHeight="1"/>
    <x:row r="991" s="23" customFormat="1" ht="15.75" customHeight="1"/>
    <x:row r="992" s="23" customFormat="1" ht="15.75" customHeight="1"/>
    <x:row r="993" s="23" customFormat="1" ht="15.75" customHeight="1"/>
    <x:row r="994" s="23" customFormat="1" ht="15.75" customHeight="1"/>
    <x:row r="995" s="23" customFormat="1" ht="15.75" customHeight="1"/>
    <x:row r="996" s="23" customFormat="1" ht="15.75" customHeight="1"/>
    <x:row r="997" s="23" customFormat="1" ht="15.75" customHeight="1"/>
    <x:row r="998" s="23" customFormat="1" ht="15.75" customHeight="1"/>
    <x:row r="999" s="23" customFormat="1" ht="15.75" customHeight="1"/>
    <x:row r="1000" s="23" customFormat="1" ht="15.75" customHeight="1"/>
  </x:sheetData>
  <x:conditionalFormatting sqref="A7:K382">
    <x:cfRule type="expression" dxfId="0" priority="1" stopIfTrue="1">
      <x:formula>$A7=TRUE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F2937"/>
  </x:sheetPr>
  <x:sheetViews>
    <x:sheetView showGridLines="0" workbookViewId="0">
      <x:pane xSplit="2" ySplit="6" topLeftCell="C7" activePane="bottomRight" state="frozen"/>
    </x:sheetView>
  </x:sheetViews>
  <x:sheetFormatPr baseColWidth="8" defaultColWidth="12.630000114440918" defaultRowHeight="15"/>
  <x:cols>
    <x:col min="1" max="1" width="8" style="23" customWidth="1"/>
    <x:col min="2" max="2" width="16" style="23" customWidth="1"/>
    <x:col min="3" max="3" width="34" style="23" customWidth="1"/>
    <x:col min="4" max="4" width="22" style="23" customWidth="1"/>
    <x:col min="5" max="5" width="30" style="23" customWidth="1"/>
    <x:col min="6" max="6" width="18" style="23" customWidth="1"/>
    <x:col min="7" max="7" width="24" style="23" customWidth="1"/>
    <x:col min="8" max="26" width="8.630000114440918" style="23" customWidth="1"/>
  </x:cols>
  <x:sheetData>
    <x:row r="1">
      <x:c r="A1" s="4" t="n"/>
      <x:c r="B1" s="4" t="n"/>
      <x:c r="C1" s="4" t="n"/>
      <x:c r="D1" s="4" t="n"/>
      <x:c r="E1" s="4" t="n"/>
      <x:c r="F1" s="4" t="n"/>
      <x:c r="G1" s="4" t="n"/>
    </x:row>
    <x:row r="2">
      <x:c r="A2" s="2" t="inlineStr">
        <x:is>
          <x:t xml:space="preserve">Forces of Destiny Checklist</x:t>
        </x:is>
      </x:c>
      <x:c r="B2" s="4" t="n"/>
      <x:c r="C2" s="4" t="n"/>
      <x:c r="D2" s="4" t="n"/>
      <x:c r="E2" s="4" t="n"/>
      <x:c r="F2" s="4" t="n"/>
      <x:c r="G2" s="4" t="n"/>
    </x:row>
    <x:row r="3">
      <x:c r="A3" s="5" t="inlineStr">
        <x:is>
          <x:t xml:space="preserve">All 32 canon shorts placed by story era; release order is not chronological</x:t>
        </x:is>
      </x:c>
      <x:c r="B3" s="4" t="n"/>
      <x:c r="C3" s="4" t="n"/>
      <x:c r="D3" s="4" t="n"/>
      <x:c r="E3" s="4" t="n"/>
      <x:c r="F3" s="4" t="n"/>
      <x:c r="G3" s="4" t="n"/>
    </x:row>
    <x:row r="4">
      <x:c r="A4" s="7" t="inlineStr">
        <x:is>
          <x:t xml:space="preserve">Completed</x:t>
        </x:is>
      </x:c>
      <x:c r="B4" s="7" t="n">
        <x:f>COUNTIF(A7:A38,TRUE)</x:f>
        <x:v>0</x:v>
      </x:c>
      <x:c r="C4" s="7" t="inlineStr">
        <x:is>
          <x:t xml:space="preserve">Total</x:t>
        </x:is>
      </x:c>
      <x:c r="D4" s="7" t="n">
        <x:f>COUNTA(C7:C38)</x:f>
        <x:v>32</x:v>
      </x:c>
      <x:c r="E4" s="7" t="inlineStr">
        <x:is>
          <x:t xml:space="preserve">Progress</x:t>
        </x:is>
      </x:c>
      <x:c r="F4" s="8" t="n">
        <x:f>IF(D4=0,0,B4/D4)</x:f>
        <x:v>0</x:v>
      </x:c>
      <x:c r="G4" s="4" t="n"/>
    </x:row>
    <x:row r="5">
      <x:c r="A5" s="4" t="n"/>
      <x:c r="B5" s="4" t="n"/>
      <x:c r="C5" s="4" t="n"/>
      <x:c r="D5" s="4" t="n"/>
      <x:c r="E5" s="4" t="n"/>
      <x:c r="F5" s="4" t="n"/>
      <x:c r="G5" s="4" t="n"/>
    </x:row>
    <x:row r="6">
      <x:c r="A6" s="12" t="inlineStr">
        <x:is>
          <x:t xml:space="preserve">Done</x:t>
        </x:is>
      </x:c>
      <x:c r="B6" s="12" t="inlineStr">
        <x:is>
          <x:t xml:space="preserve">Chronological #</x:t>
        </x:is>
      </x:c>
      <x:c r="C6" s="12" t="inlineStr">
        <x:is>
          <x:t xml:space="preserve">Short</x:t>
        </x:is>
      </x:c>
      <x:c r="D6" s="12" t="inlineStr">
        <x:is>
          <x:t xml:space="preserve">Era</x:t>
        </x:is>
      </x:c>
      <x:c r="E6" s="12" t="inlineStr">
        <x:is>
          <x:t xml:space="preserve">Story placement</x:t>
        </x:is>
      </x:c>
      <x:c r="F6" s="12" t="inlineStr">
        <x:is>
          <x:t xml:space="preserve">Original release</x:t>
        </x:is>
      </x:c>
      <x:c r="G6" s="12" t="inlineStr">
        <x:is>
          <x:t xml:space="preserve">Watch on</x:t>
        </x:is>
      </x:c>
    </x:row>
    <x:row r="7" s="23" customFormat="1" ht="30" customHeight="1">
      <x:c r="A7" s="21" t="b">
        <x:v>0</x:v>
      </x:c>
      <x:c r="B7" s="21" t="n">
        <x:v>1</x:v>
      </x:c>
      <x:c r="C7" s="14" t="inlineStr">
        <x:is>
          <x:t xml:space="preserve">Monster Misunderstanding</x:t>
        </x:is>
      </x:c>
      <x:c r="D7" s="14" t="inlineStr">
        <x:is>
          <x:t xml:space="preserve">Fall of the Jedi</x:t>
        </x:is>
      </x:c>
      <x:c r="E7" s="14" t="inlineStr">
        <x:is>
          <x:t xml:space="preserve">After The Phantom Menace</x:t>
        </x:is>
      </x:c>
      <x:c r="F7" s="14" t="inlineStr">
        <x:is>
          <x:t xml:space="preserve">May 4, 2018</x:t>
        </x:is>
      </x:c>
      <x:c r="G7" s="14" t="inlineStr">
        <x:is>
          <x:t xml:space="preserve">Disney+ / official YouTube</x:t>
        </x:is>
      </x:c>
    </x:row>
    <x:row r="8" s="23" customFormat="1" ht="30" customHeight="1">
      <x:c r="A8" s="21" t="b">
        <x:v>0</x:v>
      </x:c>
      <x:c r="B8" s="21" t="n">
        <x:v>2</x:v>
      </x:c>
      <x:c r="C8" s="14" t="inlineStr">
        <x:is>
          <x:t xml:space="preserve">The Padawan Path</x:t>
        </x:is>
      </x:c>
      <x:c r="D8" s="14" t="inlineStr">
        <x:is>
          <x:t xml:space="preserve">Fall of the Jedi</x:t>
        </x:is>
      </x:c>
      <x:c r="E8" s="14" t="inlineStr">
        <x:is>
          <x:t xml:space="preserve">During The Clone Wars</x:t>
        </x:is>
      </x:c>
      <x:c r="F8" s="14" t="inlineStr">
        <x:is>
          <x:t xml:space="preserve">July 6, 2017</x:t>
        </x:is>
      </x:c>
      <x:c r="G8" s="14" t="inlineStr">
        <x:is>
          <x:t xml:space="preserve">Disney+ / official YouTube</x:t>
        </x:is>
      </x:c>
    </x:row>
    <x:row r="9" s="23" customFormat="1" ht="30" customHeight="1">
      <x:c r="A9" s="21" t="b">
        <x:v>0</x:v>
      </x:c>
      <x:c r="B9" s="21" t="n">
        <x:v>3</x:v>
      </x:c>
      <x:c r="C9" s="14" t="inlineStr">
        <x:is>
          <x:t xml:space="preserve">The Imposter Inside</x:t>
        </x:is>
      </x:c>
      <x:c r="D9" s="14" t="inlineStr">
        <x:is>
          <x:t xml:space="preserve">Fall of the Jedi</x:t>
        </x:is>
      </x:c>
      <x:c r="E9" s="14" t="inlineStr">
        <x:is>
          <x:t xml:space="preserve">During The Clone Wars</x:t>
        </x:is>
      </x:c>
      <x:c r="F9" s="14" t="inlineStr">
        <x:is>
          <x:t xml:space="preserve">July 8, 2017</x:t>
        </x:is>
      </x:c>
      <x:c r="G9" s="14" t="inlineStr">
        <x:is>
          <x:t xml:space="preserve">Disney+ / official YouTube</x:t>
        </x:is>
      </x:c>
    </x:row>
    <x:row r="10" s="23" customFormat="1" ht="30" customHeight="1">
      <x:c r="A10" s="21" t="b">
        <x:v>0</x:v>
      </x:c>
      <x:c r="B10" s="21" t="n">
        <x:v>4</x:v>
      </x:c>
      <x:c r="C10" s="14" t="inlineStr">
        <x:is>
          <x:t xml:space="preserve">Teach You, I Will</x:t>
        </x:is>
      </x:c>
      <x:c r="D10" s="14" t="inlineStr">
        <x:is>
          <x:t xml:space="preserve">Fall of the Jedi</x:t>
        </x:is>
      </x:c>
      <x:c r="E10" s="14" t="inlineStr">
        <x:is>
          <x:t xml:space="preserve">During The Clone Wars</x:t>
        </x:is>
      </x:c>
      <x:c r="F10" s="14" t="inlineStr">
        <x:is>
          <x:t xml:space="preserve">October 3, 2017</x:t>
        </x:is>
      </x:c>
      <x:c r="G10" s="14" t="inlineStr">
        <x:is>
          <x:t xml:space="preserve">Disney+ / official YouTube</x:t>
        </x:is>
      </x:c>
    </x:row>
    <x:row r="11" s="23" customFormat="1" ht="30" customHeight="1">
      <x:c r="A11" s="21" t="b">
        <x:v>0</x:v>
      </x:c>
      <x:c r="B11" s="21" t="n">
        <x:v>5</x:v>
      </x:c>
      <x:c r="C11" s="14" t="inlineStr">
        <x:is>
          <x:t xml:space="preserve">The Starfighter Stunt</x:t>
        </x:is>
      </x:c>
      <x:c r="D11" s="14" t="inlineStr">
        <x:is>
          <x:t xml:space="preserve">Fall of the Jedi</x:t>
        </x:is>
      </x:c>
      <x:c r="E11" s="14" t="inlineStr">
        <x:is>
          <x:t xml:space="preserve">During The Clone Wars</x:t>
        </x:is>
      </x:c>
      <x:c r="F11" s="14" t="inlineStr">
        <x:is>
          <x:t xml:space="preserve">October 4, 2017</x:t>
        </x:is>
      </x:c>
      <x:c r="G11" s="14" t="inlineStr">
        <x:is>
          <x:t xml:space="preserve">Disney+ / official YouTube</x:t>
        </x:is>
      </x:c>
    </x:row>
    <x:row r="12" s="23" customFormat="1" ht="30" customHeight="1">
      <x:c r="A12" s="21" t="b">
        <x:v>0</x:v>
      </x:c>
      <x:c r="B12" s="21" t="n">
        <x:v>6</x:v>
      </x:c>
      <x:c r="C12" s="14" t="inlineStr">
        <x:is>
          <x:t xml:space="preserve">Unexpected Company</x:t>
        </x:is>
      </x:c>
      <x:c r="D12" s="14" t="inlineStr">
        <x:is>
          <x:t xml:space="preserve">Fall of the Jedi</x:t>
        </x:is>
      </x:c>
      <x:c r="E12" s="14" t="inlineStr">
        <x:is>
          <x:t xml:space="preserve">During The Clone Wars</x:t>
        </x:is>
      </x:c>
      <x:c r="F12" s="14" t="inlineStr">
        <x:is>
          <x:t xml:space="preserve">March 19, 2018</x:t>
        </x:is>
      </x:c>
      <x:c r="G12" s="14" t="inlineStr">
        <x:is>
          <x:t xml:space="preserve">Disney+ / official YouTube</x:t>
        </x:is>
      </x:c>
    </x:row>
    <x:row r="13" s="23" customFormat="1" ht="30" customHeight="1">
      <x:c r="A13" s="21" t="b">
        <x:v>0</x:v>
      </x:c>
      <x:c r="B13" s="21" t="n">
        <x:v>7</x:v>
      </x:c>
      <x:c r="C13" s="14" t="inlineStr">
        <x:is>
          <x:t xml:space="preserve">Triplecross</x:t>
        </x:is>
      </x:c>
      <x:c r="D13" s="14" t="inlineStr">
        <x:is>
          <x:t xml:space="preserve">Imperial era</x:t>
        </x:is>
      </x:c>
      <x:c r="E13" s="14" t="inlineStr">
        <x:is>
          <x:t xml:space="preserve">Around Solo</x:t>
        </x:is>
      </x:c>
      <x:c r="F13" s="14" t="inlineStr">
        <x:is>
          <x:t xml:space="preserve">May 25, 2018</x:t>
        </x:is>
      </x:c>
      <x:c r="G13" s="14" t="inlineStr">
        <x:is>
          <x:t xml:space="preserve">Disney+ / official YouTube</x:t>
        </x:is>
      </x:c>
    </x:row>
    <x:row r="14" s="23" customFormat="1" ht="30" customHeight="1">
      <x:c r="A14" s="21" t="b">
        <x:v>0</x:v>
      </x:c>
      <x:c r="B14" s="21" t="n">
        <x:v>8</x:v>
      </x:c>
      <x:c r="C14" s="14" t="inlineStr">
        <x:is>
          <x:t xml:space="preserve">Hasty Departure</x:t>
        </x:is>
      </x:c>
      <x:c r="D14" s="14" t="inlineStr">
        <x:is>
          <x:t xml:space="preserve">Imperial era</x:t>
        </x:is>
      </x:c>
      <x:c r="E14" s="14" t="inlineStr">
        <x:is>
          <x:t xml:space="preserve">Rebels era</x:t>
        </x:is>
      </x:c>
      <x:c r="F14" s="14" t="inlineStr">
        <x:is>
          <x:t xml:space="preserve">March 19, 2018</x:t>
        </x:is>
      </x:c>
      <x:c r="G14" s="14" t="inlineStr">
        <x:is>
          <x:t xml:space="preserve">Disney+ / official YouTube</x:t>
        </x:is>
      </x:c>
    </x:row>
    <x:row r="15" s="23" customFormat="1" ht="30" customHeight="1">
      <x:c r="A15" s="21" t="b">
        <x:v>0</x:v>
      </x:c>
      <x:c r="B15" s="21" t="n">
        <x:v>9</x:v>
      </x:c>
      <x:c r="C15" s="14" t="inlineStr">
        <x:is>
          <x:t xml:space="preserve">Bounty of Trouble</x:t>
        </x:is>
      </x:c>
      <x:c r="D15" s="14" t="inlineStr">
        <x:is>
          <x:t xml:space="preserve">Imperial era</x:t>
        </x:is>
      </x:c>
      <x:c r="E15" s="14" t="inlineStr">
        <x:is>
          <x:t xml:space="preserve">Rebels era</x:t>
        </x:is>
      </x:c>
      <x:c r="F15" s="14" t="inlineStr">
        <x:is>
          <x:t xml:space="preserve">July 9, 2017</x:t>
        </x:is>
      </x:c>
      <x:c r="G15" s="14" t="inlineStr">
        <x:is>
          <x:t xml:space="preserve">Disney+ / official YouTube</x:t>
        </x:is>
      </x:c>
    </x:row>
    <x:row r="16" s="23" customFormat="1" ht="30" customHeight="1">
      <x:c r="A16" s="21" t="b">
        <x:v>0</x:v>
      </x:c>
      <x:c r="B16" s="21" t="n">
        <x:v>10</x:v>
      </x:c>
      <x:c r="C16" s="14" t="inlineStr">
        <x:is>
          <x:t xml:space="preserve">Newest Recruit</x:t>
        </x:is>
      </x:c>
      <x:c r="D16" s="14" t="inlineStr">
        <x:is>
          <x:t xml:space="preserve">Imperial era</x:t>
        </x:is>
      </x:c>
      <x:c r="E16" s="14" t="inlineStr">
        <x:is>
          <x:t xml:space="preserve">Rebels era</x:t>
        </x:is>
      </x:c>
      <x:c r="F16" s="14" t="inlineStr">
        <x:is>
          <x:t xml:space="preserve">October 1, 2017</x:t>
        </x:is>
      </x:c>
      <x:c r="G16" s="14" t="inlineStr">
        <x:is>
          <x:t xml:space="preserve">Disney+ / official YouTube</x:t>
        </x:is>
      </x:c>
    </x:row>
    <x:row r="17" s="23" customFormat="1" ht="30" customHeight="1">
      <x:c r="A17" s="21" t="b">
        <x:v>0</x:v>
      </x:c>
      <x:c r="B17" s="21" t="n">
        <x:v>11</x:v>
      </x:c>
      <x:c r="C17" s="14" t="inlineStr">
        <x:is>
          <x:t xml:space="preserve">Crash Course</x:t>
        </x:is>
      </x:c>
      <x:c r="D17" s="14" t="inlineStr">
        <x:is>
          <x:t xml:space="preserve">Imperial era</x:t>
        </x:is>
      </x:c>
      <x:c r="E17" s="14" t="inlineStr">
        <x:is>
          <x:t xml:space="preserve">Rebels era</x:t>
        </x:is>
      </x:c>
      <x:c r="F17" s="14" t="inlineStr">
        <x:is>
          <x:t xml:space="preserve">November 1, 2017</x:t>
        </x:is>
      </x:c>
      <x:c r="G17" s="14" t="inlineStr">
        <x:is>
          <x:t xml:space="preserve">Disney+ / official YouTube</x:t>
        </x:is>
      </x:c>
    </x:row>
    <x:row r="18" s="23" customFormat="1" ht="30" customHeight="1">
      <x:c r="A18" s="21" t="b">
        <x:v>0</x:v>
      </x:c>
      <x:c r="B18" s="21" t="n">
        <x:v>12</x:v>
      </x:c>
      <x:c r="C18" s="14" t="inlineStr">
        <x:is>
          <x:t xml:space="preserve">A Disarming Lesson</x:t>
        </x:is>
      </x:c>
      <x:c r="D18" s="14" t="inlineStr">
        <x:is>
          <x:t xml:space="preserve">Imperial era</x:t>
        </x:is>
      </x:c>
      <x:c r="E18" s="14" t="inlineStr">
        <x:is>
          <x:t xml:space="preserve">Rebels era</x:t>
        </x:is>
      </x:c>
      <x:c r="F18" s="14" t="inlineStr">
        <x:is>
          <x:t xml:space="preserve">May 4, 2018</x:t>
        </x:is>
      </x:c>
      <x:c r="G18" s="14" t="inlineStr">
        <x:is>
          <x:t xml:space="preserve">Disney+ / official YouTube</x:t>
        </x:is>
      </x:c>
    </x:row>
    <x:row r="19" s="23" customFormat="1" ht="30" customHeight="1">
      <x:c r="A19" s="21" t="b">
        <x:v>0</x:v>
      </x:c>
      <x:c r="B19" s="21" t="n">
        <x:v>13</x:v>
      </x:c>
      <x:c r="C19" s="14" t="inlineStr">
        <x:is>
          <x:t xml:space="preserve">Art History</x:t>
        </x:is>
      </x:c>
      <x:c r="D19" s="14" t="inlineStr">
        <x:is>
          <x:t xml:space="preserve">Imperial era</x:t>
        </x:is>
      </x:c>
      <x:c r="E19" s="14" t="inlineStr">
        <x:is>
          <x:t xml:space="preserve">Late Rebels era</x:t>
        </x:is>
      </x:c>
      <x:c r="F19" s="14" t="inlineStr">
        <x:is>
          <x:t xml:space="preserve">May 4, 2018</x:t>
        </x:is>
      </x:c>
      <x:c r="G19" s="14" t="inlineStr">
        <x:is>
          <x:t xml:space="preserve">Disney+ / official YouTube</x:t>
        </x:is>
      </x:c>
    </x:row>
    <x:row r="20" s="23" customFormat="1" ht="30" customHeight="1">
      <x:c r="A20" s="21" t="b">
        <x:v>0</x:v>
      </x:c>
      <x:c r="B20" s="21" t="n">
        <x:v>14</x:v>
      </x:c>
      <x:c r="C20" s="14" t="inlineStr">
        <x:is>
          <x:t xml:space="preserve">Accidental Allies</x:t>
        </x:is>
      </x:c>
      <x:c r="D20" s="14" t="inlineStr">
        <x:is>
          <x:t xml:space="preserve">Imperial era</x:t>
        </x:is>
      </x:c>
      <x:c r="E20" s="14" t="inlineStr">
        <x:is>
          <x:t xml:space="preserve">Before Rogue One</x:t>
        </x:is>
      </x:c>
      <x:c r="F20" s="14" t="inlineStr">
        <x:is>
          <x:t xml:space="preserve">October 29, 2017</x:t>
        </x:is>
      </x:c>
      <x:c r="G20" s="14" t="inlineStr">
        <x:is>
          <x:t xml:space="preserve">Disney+ / official YouTube</x:t>
        </x:is>
      </x:c>
    </x:row>
    <x:row r="21" s="23" customFormat="1" ht="30" customHeight="1">
      <x:c r="A21" s="21" t="b">
        <x:v>0</x:v>
      </x:c>
      <x:c r="B21" s="21" t="n">
        <x:v>15</x:v>
      </x:c>
      <x:c r="C21" s="14" t="inlineStr">
        <x:is>
          <x:t xml:space="preserve">The Stranger</x:t>
        </x:is>
      </x:c>
      <x:c r="D21" s="14" t="inlineStr">
        <x:is>
          <x:t xml:space="preserve">Imperial era</x:t>
        </x:is>
      </x:c>
      <x:c r="E21" s="14" t="inlineStr">
        <x:is>
          <x:t xml:space="preserve">Before Rogue One</x:t>
        </x:is>
      </x:c>
      <x:c r="F21" s="14" t="inlineStr">
        <x:is>
          <x:t xml:space="preserve">July 9, 2017</x:t>
        </x:is>
      </x:c>
      <x:c r="G21" s="14" t="inlineStr">
        <x:is>
          <x:t xml:space="preserve">Disney+ / official YouTube</x:t>
        </x:is>
      </x:c>
    </x:row>
    <x:row r="22" s="23" customFormat="1" ht="30" customHeight="1">
      <x:c r="A22" s="21" t="b">
        <x:v>0</x:v>
      </x:c>
      <x:c r="B22" s="21" t="n">
        <x:v>16</x:v>
      </x:c>
      <x:c r="C22" s="14" t="inlineStr">
        <x:is>
          <x:t xml:space="preserve">Jyn's Trade</x:t>
        </x:is>
      </x:c>
      <x:c r="D22" s="14" t="inlineStr">
        <x:is>
          <x:t xml:space="preserve">Imperial era</x:t>
        </x:is>
      </x:c>
      <x:c r="E22" s="14" t="inlineStr">
        <x:is>
          <x:t xml:space="preserve">Before Rogue One</x:t>
        </x:is>
      </x:c>
      <x:c r="F22" s="14" t="inlineStr">
        <x:is>
          <x:t xml:space="preserve">March 19, 2018</x:t>
        </x:is>
      </x:c>
      <x:c r="G22" s="14" t="inlineStr">
        <x:is>
          <x:t xml:space="preserve">Disney+ / official YouTube</x:t>
        </x:is>
      </x:c>
    </x:row>
    <x:row r="23" s="23" customFormat="1" ht="30" customHeight="1">
      <x:c r="A23" s="21" t="b">
        <x:v>0</x:v>
      </x:c>
      <x:c r="B23" s="21" t="n">
        <x:v>17</x:v>
      </x:c>
      <x:c r="C23" s="14" t="inlineStr">
        <x:is>
          <x:t xml:space="preserve">Beasts of Echo Base</x:t>
        </x:is>
      </x:c>
      <x:c r="D23" s="14" t="inlineStr">
        <x:is>
          <x:t xml:space="preserve">Galactic Civil War</x:t>
        </x:is>
      </x:c>
      <x:c r="E23" s="14" t="inlineStr">
        <x:is>
          <x:t xml:space="preserve">Before The Empire Strikes Back</x:t>
        </x:is>
      </x:c>
      <x:c r="F23" s="14" t="inlineStr">
        <x:is>
          <x:t xml:space="preserve">July 7, 2017</x:t>
        </x:is>
      </x:c>
      <x:c r="G23" s="14" t="inlineStr">
        <x:is>
          <x:t xml:space="preserve">Disney+ / official YouTube</x:t>
        </x:is>
      </x:c>
    </x:row>
    <x:row r="24" s="23" customFormat="1" ht="30" customHeight="1">
      <x:c r="A24" s="21" t="b">
        <x:v>0</x:v>
      </x:c>
      <x:c r="B24" s="21" t="n">
        <x:v>18</x:v>
      </x:c>
      <x:c r="C24" s="14" t="inlineStr">
        <x:is>
          <x:t xml:space="preserve">The Path Ahead</x:t>
        </x:is>
      </x:c>
      <x:c r="D24" s="14" t="inlineStr">
        <x:is>
          <x:t xml:space="preserve">Galactic Civil War</x:t>
        </x:is>
      </x:c>
      <x:c r="E24" s="14" t="inlineStr">
        <x:is>
          <x:t xml:space="preserve">During The Empire Strikes Back</x:t>
        </x:is>
      </x:c>
      <x:c r="F24" s="14" t="inlineStr">
        <x:is>
          <x:t xml:space="preserve">March 19, 2018</x:t>
        </x:is>
      </x:c>
      <x:c r="G24" s="14" t="inlineStr">
        <x:is>
          <x:t xml:space="preserve">Disney+ / official YouTube</x:t>
        </x:is>
      </x:c>
    </x:row>
    <x:row r="25" s="23" customFormat="1" ht="30" customHeight="1">
      <x:c r="A25" s="21" t="b">
        <x:v>0</x:v>
      </x:c>
      <x:c r="B25" s="21" t="n">
        <x:v>19</x:v>
      </x:c>
      <x:c r="C25" s="14" t="inlineStr">
        <x:is>
          <x:t xml:space="preserve">Bounty Hunted</x:t>
        </x:is>
      </x:c>
      <x:c r="D25" s="14" t="inlineStr">
        <x:is>
          <x:t xml:space="preserve">Galactic Civil War</x:t>
        </x:is>
      </x:c>
      <x:c r="E25" s="14" t="inlineStr">
        <x:is>
          <x:t xml:space="preserve">Before Return of the Jedi</x:t>
        </x:is>
      </x:c>
      <x:c r="F25" s="14" t="inlineStr">
        <x:is>
          <x:t xml:space="preserve">March 19, 2018</x:t>
        </x:is>
      </x:c>
      <x:c r="G25" s="14" t="inlineStr">
        <x:is>
          <x:t xml:space="preserve">Disney+ / official YouTube</x:t>
        </x:is>
      </x:c>
    </x:row>
    <x:row r="26" s="23" customFormat="1" ht="30" customHeight="1">
      <x:c r="A26" s="21" t="b">
        <x:v>0</x:v>
      </x:c>
      <x:c r="B26" s="21" t="n">
        <x:v>20</x:v>
      </x:c>
      <x:c r="C26" s="14" t="inlineStr">
        <x:is>
          <x:t xml:space="preserve">Ewok Escape</x:t>
        </x:is>
      </x:c>
      <x:c r="D26" s="14" t="inlineStr">
        <x:is>
          <x:t xml:space="preserve">Galactic Civil War</x:t>
        </x:is>
      </x:c>
      <x:c r="E26" s="14" t="inlineStr">
        <x:is>
          <x:t xml:space="preserve">During Return of the Jedi</x:t>
        </x:is>
      </x:c>
      <x:c r="F26" s="14" t="inlineStr">
        <x:is>
          <x:t xml:space="preserve">July 5, 2017</x:t>
        </x:is>
      </x:c>
      <x:c r="G26" s="14" t="inlineStr">
        <x:is>
          <x:t xml:space="preserve">Disney+ / official YouTube</x:t>
        </x:is>
      </x:c>
    </x:row>
    <x:row r="27" s="23" customFormat="1" ht="30" customHeight="1">
      <x:c r="A27" s="21" t="b">
        <x:v>0</x:v>
      </x:c>
      <x:c r="B27" s="21" t="n">
        <x:v>21</x:v>
      </x:c>
      <x:c r="C27" s="14" t="inlineStr">
        <x:is>
          <x:t xml:space="preserve">Chopper and Friends</x:t>
        </x:is>
      </x:c>
      <x:c r="D27" s="14" t="inlineStr">
        <x:is>
          <x:t xml:space="preserve">Galactic Civil War</x:t>
        </x:is>
      </x:c>
      <x:c r="E27" s="14" t="inlineStr">
        <x:is>
          <x:t xml:space="preserve">Endor era</x:t>
        </x:is>
      </x:c>
      <x:c r="F27" s="14" t="inlineStr">
        <x:is>
          <x:t xml:space="preserve">May 4, 2018</x:t>
        </x:is>
      </x:c>
      <x:c r="G27" s="14" t="inlineStr">
        <x:is>
          <x:t xml:space="preserve">Disney+ / official YouTube</x:t>
        </x:is>
      </x:c>
    </x:row>
    <x:row r="28" s="23" customFormat="1" ht="30" customHeight="1">
      <x:c r="A28" s="21" t="b">
        <x:v>0</x:v>
      </x:c>
      <x:c r="B28" s="21" t="n">
        <x:v>22</x:v>
      </x:c>
      <x:c r="C28" s="14" t="inlineStr">
        <x:is>
          <x:t xml:space="preserve">Traps and Tribulations</x:t>
        </x:is>
      </x:c>
      <x:c r="D28" s="14" t="inlineStr">
        <x:is>
          <x:t xml:space="preserve">Galactic Civil War</x:t>
        </x:is>
      </x:c>
      <x:c r="E28" s="14" t="inlineStr">
        <x:is>
          <x:t xml:space="preserve">Endor era</x:t>
        </x:is>
      </x:c>
      <x:c r="F28" s="14" t="inlineStr">
        <x:is>
          <x:t xml:space="preserve">May 4, 2018</x:t>
        </x:is>
      </x:c>
      <x:c r="G28" s="14" t="inlineStr">
        <x:is>
          <x:t xml:space="preserve">Disney+ / official YouTube</x:t>
        </x:is>
      </x:c>
    </x:row>
    <x:row r="29" s="23" customFormat="1" ht="30" customHeight="1">
      <x:c r="A29" s="21" t="b">
        <x:v>0</x:v>
      </x:c>
      <x:c r="B29" s="21" t="n">
        <x:v>23</x:v>
      </x:c>
      <x:c r="C29" s="14" t="inlineStr">
        <x:is>
          <x:t xml:space="preserve">An Imperial Feast</x:t>
        </x:is>
      </x:c>
      <x:c r="D29" s="14" t="inlineStr">
        <x:is>
          <x:t xml:space="preserve">Galactic Civil War</x:t>
        </x:is>
      </x:c>
      <x:c r="E29" s="14" t="inlineStr">
        <x:is>
          <x:t xml:space="preserve">After Return of the Jedi</x:t>
        </x:is>
      </x:c>
      <x:c r="F29" s="14" t="inlineStr">
        <x:is>
          <x:t xml:space="preserve">October 30, 2017</x:t>
        </x:is>
      </x:c>
      <x:c r="G29" s="14" t="inlineStr">
        <x:is>
          <x:t xml:space="preserve">Disney+ / official YouTube</x:t>
        </x:is>
      </x:c>
    </x:row>
    <x:row r="30" s="23" customFormat="1" ht="30" customHeight="1">
      <x:c r="A30" s="21" t="b">
        <x:v>0</x:v>
      </x:c>
      <x:c r="B30" s="21" t="n">
        <x:v>24</x:v>
      </x:c>
      <x:c r="C30" s="14" t="inlineStr">
        <x:is>
          <x:t xml:space="preserve">The Happabore Hazard</x:t>
        </x:is>
      </x:c>
      <x:c r="D30" s="14" t="inlineStr">
        <x:is>
          <x:t xml:space="preserve">Sequel era</x:t>
        </x:is>
      </x:c>
      <x:c r="E30" s="14" t="inlineStr">
        <x:is>
          <x:t xml:space="preserve">Before The Force Awakens</x:t>
        </x:is>
      </x:c>
      <x:c r="F30" s="14" t="inlineStr">
        <x:is>
          <x:t xml:space="preserve">October 31, 2017</x:t>
        </x:is>
      </x:c>
      <x:c r="G30" s="14" t="inlineStr">
        <x:is>
          <x:t xml:space="preserve">Disney+ / official YouTube</x:t>
        </x:is>
      </x:c>
    </x:row>
    <x:row r="31" s="23" customFormat="1" ht="30" customHeight="1">
      <x:c r="A31" s="21" t="b">
        <x:v>0</x:v>
      </x:c>
      <x:c r="B31" s="21" t="n">
        <x:v>25</x:v>
      </x:c>
      <x:c r="C31" s="14" t="inlineStr">
        <x:is>
          <x:t xml:space="preserve">Run Rey Run</x:t>
        </x:is>
      </x:c>
      <x:c r="D31" s="14" t="inlineStr">
        <x:is>
          <x:t xml:space="preserve">Sequel era</x:t>
        </x:is>
      </x:c>
      <x:c r="E31" s="14" t="inlineStr">
        <x:is>
          <x:t xml:space="preserve">Before The Force Awakens</x:t>
        </x:is>
      </x:c>
      <x:c r="F31" s="14" t="inlineStr">
        <x:is>
          <x:t xml:space="preserve">March 19, 2018</x:t>
        </x:is>
      </x:c>
      <x:c r="G31" s="14" t="inlineStr">
        <x:is>
          <x:t xml:space="preserve">Disney+ / official YouTube</x:t>
        </x:is>
      </x:c>
    </x:row>
    <x:row r="32" s="23" customFormat="1" ht="30" customHeight="1">
      <x:c r="A32" s="21" t="b">
        <x:v>0</x:v>
      </x:c>
      <x:c r="B32" s="21" t="n">
        <x:v>26</x:v>
      </x:c>
      <x:c r="C32" s="14" t="inlineStr">
        <x:is>
          <x:t xml:space="preserve">Sands of Jakku</x:t>
        </x:is>
      </x:c>
      <x:c r="D32" s="14" t="inlineStr">
        <x:is>
          <x:t xml:space="preserve">Sequel era</x:t>
        </x:is>
      </x:c>
      <x:c r="E32" s="14" t="inlineStr">
        <x:is>
          <x:t xml:space="preserve">During The Force Awakens</x:t>
        </x:is>
      </x:c>
      <x:c r="F32" s="14" t="inlineStr">
        <x:is>
          <x:t xml:space="preserve">July 3, 2017</x:t>
        </x:is>
      </x:c>
      <x:c r="G32" s="14" t="inlineStr">
        <x:is>
          <x:t xml:space="preserve">Disney+ / official YouTube</x:t>
        </x:is>
      </x:c>
    </x:row>
    <x:row r="33" s="23" customFormat="1" ht="30" customHeight="1">
      <x:c r="A33" s="21" t="b">
        <x:v>0</x:v>
      </x:c>
      <x:c r="B33" s="21" t="n">
        <x:v>27</x:v>
      </x:c>
      <x:c r="C33" s="14" t="inlineStr">
        <x:is>
          <x:t xml:space="preserve">BB-8 Bandits</x:t>
        </x:is>
      </x:c>
      <x:c r="D33" s="14" t="inlineStr">
        <x:is>
          <x:t xml:space="preserve">Sequel era</x:t>
        </x:is>
      </x:c>
      <x:c r="E33" s="14" t="inlineStr">
        <x:is>
          <x:t xml:space="preserve">During The Force Awakens</x:t>
        </x:is>
      </x:c>
      <x:c r="F33" s="14" t="inlineStr">
        <x:is>
          <x:t xml:space="preserve">July 4, 2017</x:t>
        </x:is>
      </x:c>
      <x:c r="G33" s="14" t="inlineStr">
        <x:is>
          <x:t xml:space="preserve">Disney+ / official YouTube</x:t>
        </x:is>
      </x:c>
    </x:row>
    <x:row r="34" s="23" customFormat="1" ht="30" customHeight="1">
      <x:c r="A34" s="21" t="b">
        <x:v>0</x:v>
      </x:c>
      <x:c r="B34" s="21" t="n">
        <x:v>28</x:v>
      </x:c>
      <x:c r="C34" s="14" t="inlineStr">
        <x:is>
          <x:t xml:space="preserve">Tracker Trouble</x:t>
        </x:is>
      </x:c>
      <x:c r="D34" s="14" t="inlineStr">
        <x:is>
          <x:t xml:space="preserve">Sequel era</x:t>
        </x:is>
      </x:c>
      <x:c r="E34" s="14" t="inlineStr">
        <x:is>
          <x:t xml:space="preserve">During The Force Awakens</x:t>
        </x:is>
      </x:c>
      <x:c r="F34" s="14" t="inlineStr">
        <x:is>
          <x:t xml:space="preserve">October 2, 2017</x:t>
        </x:is>
      </x:c>
      <x:c r="G34" s="14" t="inlineStr">
        <x:is>
          <x:t xml:space="preserve">Disney+ / official YouTube</x:t>
        </x:is>
      </x:c>
    </x:row>
    <x:row r="35" s="23" customFormat="1" ht="30" customHeight="1">
      <x:c r="A35" s="21" t="b">
        <x:v>0</x:v>
      </x:c>
      <x:c r="B35" s="21" t="n">
        <x:v>29</x:v>
      </x:c>
      <x:c r="C35" s="14" t="inlineStr">
        <x:is>
          <x:t xml:space="preserve">Perilous Pursuit</x:t>
        </x:is>
      </x:c>
      <x:c r="D35" s="14" t="inlineStr">
        <x:is>
          <x:t xml:space="preserve">Sequel era</x:t>
        </x:is>
      </x:c>
      <x:c r="E35" s="14" t="inlineStr">
        <x:is>
          <x:t xml:space="preserve">During The Force Awakens</x:t>
        </x:is>
      </x:c>
      <x:c r="F35" s="14" t="inlineStr">
        <x:is>
          <x:t xml:space="preserve">May 4, 2018</x:t>
        </x:is>
      </x:c>
      <x:c r="G35" s="14" t="inlineStr">
        <x:is>
          <x:t xml:space="preserve">Disney+ / official YouTube</x:t>
        </x:is>
      </x:c>
    </x:row>
    <x:row r="36" s="23" customFormat="1" ht="30" customHeight="1">
      <x:c r="A36" s="21" t="b">
        <x:v>0</x:v>
      </x:c>
      <x:c r="B36" s="21" t="n">
        <x:v>30</x:v>
      </x:c>
      <x:c r="C36" s="14" t="inlineStr">
        <x:is>
          <x:t xml:space="preserve">Shuttle Shock</x:t>
        </x:is>
      </x:c>
      <x:c r="D36" s="14" t="inlineStr">
        <x:is>
          <x:t xml:space="preserve">Sequel era</x:t>
        </x:is>
      </x:c>
      <x:c r="E36" s="14" t="inlineStr">
        <x:is>
          <x:t xml:space="preserve">During The Last Jedi</x:t>
        </x:is>
      </x:c>
      <x:c r="F36" s="14" t="inlineStr">
        <x:is>
          <x:t xml:space="preserve">March 19, 2018</x:t>
        </x:is>
      </x:c>
      <x:c r="G36" s="14" t="inlineStr">
        <x:is>
          <x:t xml:space="preserve">Disney+ / official YouTube</x:t>
        </x:is>
      </x:c>
    </x:row>
    <x:row r="37" s="23" customFormat="1" ht="30" customHeight="1">
      <x:c r="A37" s="21" t="b">
        <x:v>0</x:v>
      </x:c>
      <x:c r="B37" s="21" t="n">
        <x:v>31</x:v>
      </x:c>
      <x:c r="C37" s="14" t="inlineStr">
        <x:is>
          <x:t xml:space="preserve">Porg Problems</x:t>
        </x:is>
      </x:c>
      <x:c r="D37" s="14" t="inlineStr">
        <x:is>
          <x:t xml:space="preserve">Sequel era</x:t>
        </x:is>
      </x:c>
      <x:c r="E37" s="14" t="inlineStr">
        <x:is>
          <x:t xml:space="preserve">During The Last Jedi</x:t>
        </x:is>
      </x:c>
      <x:c r="F37" s="14" t="inlineStr">
        <x:is>
          <x:t xml:space="preserve">March 19, 2018</x:t>
        </x:is>
      </x:c>
      <x:c r="G37" s="14" t="inlineStr">
        <x:is>
          <x:t xml:space="preserve">Disney+ / official YouTube</x:t>
        </x:is>
      </x:c>
    </x:row>
    <x:row r="38" s="23" customFormat="1" ht="30" customHeight="1">
      <x:c r="A38" s="21" t="b">
        <x:v>0</x:v>
      </x:c>
      <x:c r="B38" s="21" t="n">
        <x:v>32</x:v>
      </x:c>
      <x:c r="C38" s="14" t="inlineStr">
        <x:is>
          <x:t xml:space="preserve">Porgs!</x:t>
        </x:is>
      </x:c>
      <x:c r="D38" s="14" t="inlineStr">
        <x:is>
          <x:t xml:space="preserve">Sequel era</x:t>
        </x:is>
      </x:c>
      <x:c r="E38" s="14" t="inlineStr">
        <x:is>
          <x:t xml:space="preserve">During The Last Jedi</x:t>
        </x:is>
      </x:c>
      <x:c r="F38" s="14" t="inlineStr">
        <x:is>
          <x:t xml:space="preserve">May 4, 2018</x:t>
        </x:is>
      </x:c>
      <x:c r="G38" s="14" t="inlineStr">
        <x:is>
          <x:t xml:space="preserve">Disney+ / official YouTube</x:t>
        </x:is>
      </x:c>
    </x:row>
    <x:row r="39" s="23" customFormat="1" ht="15.75" customHeight="1"/>
    <x:row r="40" s="23" customFormat="1" ht="15.75" customHeight="1"/>
    <x:row r="41" s="23" customFormat="1" ht="15.75" customHeight="1"/>
    <x:row r="42" s="23" customFormat="1" ht="15.75" customHeight="1"/>
    <x:row r="43" s="23" customFormat="1" ht="15.75" customHeight="1"/>
    <x:row r="44" s="23" customFormat="1" ht="15.75" customHeight="1"/>
    <x:row r="45" s="23" customFormat="1" ht="15.75" customHeight="1"/>
    <x:row r="46" s="23" customFormat="1" ht="15.75" customHeight="1"/>
    <x:row r="47" s="23" customFormat="1" ht="15.75" customHeight="1"/>
    <x:row r="48" s="23" customFormat="1" ht="15.75" customHeight="1"/>
    <x:row r="49" s="23" customFormat="1" ht="15.75" customHeight="1"/>
    <x:row r="50" s="23" customFormat="1" ht="15.75" customHeight="1"/>
    <x:row r="51" s="23" customFormat="1" ht="15.75" customHeight="1"/>
    <x:row r="52" s="23" customFormat="1" ht="15.75" customHeight="1"/>
    <x:row r="53" s="23" customFormat="1" ht="15.75" customHeight="1"/>
    <x:row r="54" s="23" customFormat="1" ht="15.75" customHeight="1"/>
    <x:row r="55" s="23" customFormat="1" ht="15.75" customHeight="1"/>
    <x:row r="56" s="23" customFormat="1" ht="15.75" customHeight="1"/>
    <x:row r="57" s="23" customFormat="1" ht="15.75" customHeight="1"/>
    <x:row r="58" s="23" customFormat="1" ht="15.75" customHeight="1"/>
    <x:row r="59" s="23" customFormat="1" ht="15.75" customHeight="1"/>
    <x:row r="60" s="23" customFormat="1" ht="15.75" customHeight="1"/>
    <x:row r="61" s="23" customFormat="1" ht="15.75" customHeight="1"/>
    <x:row r="62" s="23" customFormat="1" ht="15.75" customHeight="1"/>
    <x:row r="63" s="23" customFormat="1" ht="15.75" customHeight="1"/>
    <x:row r="64" s="23" customFormat="1" ht="15.75" customHeight="1"/>
    <x:row r="65" s="23" customFormat="1" ht="15.75" customHeight="1"/>
    <x:row r="66" s="23" customFormat="1" ht="15.75" customHeight="1"/>
    <x:row r="67" s="23" customFormat="1" ht="15.75" customHeight="1"/>
    <x:row r="68" s="23" customFormat="1" ht="15.75" customHeight="1"/>
    <x:row r="69" s="23" customFormat="1" ht="15.75" customHeight="1"/>
    <x:row r="70" s="23" customFormat="1" ht="15.75" customHeight="1"/>
    <x:row r="71" s="23" customFormat="1" ht="15.75" customHeight="1"/>
    <x:row r="72" s="23" customFormat="1" ht="15.75" customHeight="1"/>
    <x:row r="73" s="23" customFormat="1" ht="15.75" customHeight="1"/>
    <x:row r="74" s="23" customFormat="1" ht="15.75" customHeight="1"/>
    <x:row r="75" s="23" customFormat="1" ht="15.75" customHeight="1"/>
    <x:row r="76" s="23" customFormat="1" ht="15.75" customHeight="1"/>
    <x:row r="77" s="23" customFormat="1" ht="15.75" customHeight="1"/>
    <x:row r="78" s="23" customFormat="1" ht="15.75" customHeight="1"/>
    <x:row r="79" s="23" customFormat="1" ht="15.75" customHeight="1"/>
    <x:row r="80" s="23" customFormat="1" ht="15.75" customHeight="1"/>
    <x:row r="81" s="23" customFormat="1" ht="15.75" customHeight="1"/>
    <x:row r="82" s="23" customFormat="1" ht="15.75" customHeight="1"/>
    <x:row r="83" s="23" customFormat="1" ht="15.75" customHeight="1"/>
    <x:row r="84" s="23" customFormat="1" ht="15.75" customHeight="1"/>
    <x:row r="85" s="23" customFormat="1" ht="15.75" customHeight="1"/>
    <x:row r="86" s="23" customFormat="1" ht="15.75" customHeight="1"/>
    <x:row r="87" s="23" customFormat="1" ht="15.75" customHeight="1"/>
    <x:row r="88" s="23" customFormat="1" ht="15.75" customHeight="1"/>
    <x:row r="89" s="23" customFormat="1" ht="15.75" customHeight="1"/>
    <x:row r="90" s="23" customFormat="1" ht="15.75" customHeight="1"/>
    <x:row r="91" s="23" customFormat="1" ht="15.75" customHeight="1"/>
    <x:row r="92" s="23" customFormat="1" ht="15.75" customHeight="1"/>
    <x:row r="93" s="23" customFormat="1" ht="15.75" customHeight="1"/>
    <x:row r="94" s="23" customFormat="1" ht="15.75" customHeight="1"/>
    <x:row r="95" s="23" customFormat="1" ht="15.75" customHeight="1"/>
    <x:row r="96" s="23" customFormat="1" ht="15.75" customHeight="1"/>
    <x:row r="97" s="23" customFormat="1" ht="15.75" customHeight="1"/>
    <x:row r="98" s="23" customFormat="1" ht="15.75" customHeight="1"/>
    <x:row r="99" s="23" customFormat="1" ht="15.75" customHeight="1"/>
    <x:row r="100" s="23" customFormat="1" ht="15.75" customHeight="1"/>
    <x:row r="101" s="23" customFormat="1" ht="15.75" customHeight="1"/>
    <x:row r="102" s="23" customFormat="1" ht="15.75" customHeight="1"/>
    <x:row r="103" s="23" customFormat="1" ht="15.75" customHeight="1"/>
    <x:row r="104" s="23" customFormat="1" ht="15.75" customHeight="1"/>
    <x:row r="105" s="23" customFormat="1" ht="15.75" customHeight="1"/>
    <x:row r="106" s="23" customFormat="1" ht="15.75" customHeight="1"/>
    <x:row r="107" s="23" customFormat="1" ht="15.75" customHeight="1"/>
    <x:row r="108" s="23" customFormat="1" ht="15.75" customHeight="1"/>
    <x:row r="109" s="23" customFormat="1" ht="15.75" customHeight="1"/>
    <x:row r="110" s="23" customFormat="1" ht="15.75" customHeight="1"/>
    <x:row r="111" s="23" customFormat="1" ht="15.75" customHeight="1"/>
    <x:row r="112" s="23" customFormat="1" ht="15.75" customHeight="1"/>
    <x:row r="113" s="23" customFormat="1" ht="15.75" customHeight="1"/>
    <x:row r="114" s="23" customFormat="1" ht="15.75" customHeight="1"/>
    <x:row r="115" s="23" customFormat="1" ht="15.75" customHeight="1"/>
    <x:row r="116" s="23" customFormat="1" ht="15.75" customHeight="1"/>
    <x:row r="117" s="23" customFormat="1" ht="15.75" customHeight="1"/>
    <x:row r="118" s="23" customFormat="1" ht="15.75" customHeight="1"/>
    <x:row r="119" s="23" customFormat="1" ht="15.75" customHeight="1"/>
    <x:row r="120" s="23" customFormat="1" ht="15.75" customHeight="1"/>
    <x:row r="121" s="23" customFormat="1" ht="15.75" customHeight="1"/>
    <x:row r="122" s="23" customFormat="1" ht="15.75" customHeight="1"/>
    <x:row r="123" s="23" customFormat="1" ht="15.75" customHeight="1"/>
    <x:row r="124" s="23" customFormat="1" ht="15.75" customHeight="1"/>
    <x:row r="125" s="23" customFormat="1" ht="15.75" customHeight="1"/>
    <x:row r="126" s="23" customFormat="1" ht="15.75" customHeight="1"/>
    <x:row r="127" s="23" customFormat="1" ht="15.75" customHeight="1"/>
    <x:row r="128" s="23" customFormat="1" ht="15.75" customHeight="1"/>
    <x:row r="129" s="23" customFormat="1" ht="15.75" customHeight="1"/>
    <x:row r="130" s="23" customFormat="1" ht="15.75" customHeight="1"/>
    <x:row r="131" s="23" customFormat="1" ht="15.75" customHeight="1"/>
    <x:row r="132" s="23" customFormat="1" ht="15.75" customHeight="1"/>
    <x:row r="133" s="23" customFormat="1" ht="15.75" customHeight="1"/>
    <x:row r="134" s="23" customFormat="1" ht="15.75" customHeight="1"/>
    <x:row r="135" s="23" customFormat="1" ht="15.75" customHeight="1"/>
    <x:row r="136" s="23" customFormat="1" ht="15.75" customHeight="1"/>
    <x:row r="137" s="23" customFormat="1" ht="15.75" customHeight="1"/>
    <x:row r="138" s="23" customFormat="1" ht="15.75" customHeight="1"/>
    <x:row r="139" s="23" customFormat="1" ht="15.75" customHeight="1"/>
    <x:row r="140" s="23" customFormat="1" ht="15.75" customHeight="1"/>
    <x:row r="141" s="23" customFormat="1" ht="15.75" customHeight="1"/>
    <x:row r="142" s="23" customFormat="1" ht="15.75" customHeight="1"/>
    <x:row r="143" s="23" customFormat="1" ht="15.75" customHeight="1"/>
    <x:row r="144" s="23" customFormat="1" ht="15.75" customHeight="1"/>
    <x:row r="145" s="23" customFormat="1" ht="15.75" customHeight="1"/>
    <x:row r="146" s="23" customFormat="1" ht="15.75" customHeight="1"/>
    <x:row r="147" s="23" customFormat="1" ht="15.75" customHeight="1"/>
    <x:row r="148" s="23" customFormat="1" ht="15.75" customHeight="1"/>
    <x:row r="149" s="23" customFormat="1" ht="15.75" customHeight="1"/>
    <x:row r="150" s="23" customFormat="1" ht="15.75" customHeight="1"/>
    <x:row r="151" s="23" customFormat="1" ht="15.75" customHeight="1"/>
    <x:row r="152" s="23" customFormat="1" ht="15.75" customHeight="1"/>
    <x:row r="153" s="23" customFormat="1" ht="15.75" customHeight="1"/>
    <x:row r="154" s="23" customFormat="1" ht="15.75" customHeight="1"/>
    <x:row r="155" s="23" customFormat="1" ht="15.75" customHeight="1"/>
    <x:row r="156" s="23" customFormat="1" ht="15.75" customHeight="1"/>
    <x:row r="157" s="23" customFormat="1" ht="15.75" customHeight="1"/>
    <x:row r="158" s="23" customFormat="1" ht="15.75" customHeight="1"/>
    <x:row r="159" s="23" customFormat="1" ht="15.75" customHeight="1"/>
    <x:row r="160" s="23" customFormat="1" ht="15.75" customHeight="1"/>
    <x:row r="161" s="23" customFormat="1" ht="15.75" customHeight="1"/>
    <x:row r="162" s="23" customFormat="1" ht="15.75" customHeight="1"/>
    <x:row r="163" s="23" customFormat="1" ht="15.75" customHeight="1"/>
    <x:row r="164" s="23" customFormat="1" ht="15.75" customHeight="1"/>
    <x:row r="165" s="23" customFormat="1" ht="15.75" customHeight="1"/>
    <x:row r="166" s="23" customFormat="1" ht="15.75" customHeight="1"/>
    <x:row r="167" s="23" customFormat="1" ht="15.75" customHeight="1"/>
    <x:row r="168" s="23" customFormat="1" ht="15.75" customHeight="1"/>
    <x:row r="169" s="23" customFormat="1" ht="15.75" customHeight="1"/>
    <x:row r="170" s="23" customFormat="1" ht="15.75" customHeight="1"/>
    <x:row r="171" s="23" customFormat="1" ht="15.75" customHeight="1"/>
    <x:row r="172" s="23" customFormat="1" ht="15.75" customHeight="1"/>
    <x:row r="173" s="23" customFormat="1" ht="15.75" customHeight="1"/>
    <x:row r="174" s="23" customFormat="1" ht="15.75" customHeight="1"/>
    <x:row r="175" s="23" customFormat="1" ht="15.75" customHeight="1"/>
    <x:row r="176" s="23" customFormat="1" ht="15.75" customHeight="1"/>
    <x:row r="177" s="23" customFormat="1" ht="15.75" customHeight="1"/>
    <x:row r="178" s="23" customFormat="1" ht="15.75" customHeight="1"/>
    <x:row r="179" s="23" customFormat="1" ht="15.75" customHeight="1"/>
    <x:row r="180" s="23" customFormat="1" ht="15.75" customHeight="1"/>
    <x:row r="181" s="23" customFormat="1" ht="15.75" customHeight="1"/>
    <x:row r="182" s="23" customFormat="1" ht="15.75" customHeight="1"/>
    <x:row r="183" s="23" customFormat="1" ht="15.75" customHeight="1"/>
    <x:row r="184" s="23" customFormat="1" ht="15.75" customHeight="1"/>
    <x:row r="185" s="23" customFormat="1" ht="15.75" customHeight="1"/>
    <x:row r="186" s="23" customFormat="1" ht="15.75" customHeight="1"/>
    <x:row r="187" s="23" customFormat="1" ht="15.75" customHeight="1"/>
    <x:row r="188" s="23" customFormat="1" ht="15.75" customHeight="1"/>
    <x:row r="189" s="23" customFormat="1" ht="15.75" customHeight="1"/>
    <x:row r="190" s="23" customFormat="1" ht="15.75" customHeight="1"/>
    <x:row r="191" s="23" customFormat="1" ht="15.75" customHeight="1"/>
    <x:row r="192" s="23" customFormat="1" ht="15.75" customHeight="1"/>
    <x:row r="193" s="23" customFormat="1" ht="15.75" customHeight="1"/>
    <x:row r="194" s="23" customFormat="1" ht="15.75" customHeight="1"/>
    <x:row r="195" s="23" customFormat="1" ht="15.75" customHeight="1"/>
    <x:row r="196" s="23" customFormat="1" ht="15.75" customHeight="1"/>
    <x:row r="197" s="23" customFormat="1" ht="15.75" customHeight="1"/>
    <x:row r="198" s="23" customFormat="1" ht="15.75" customHeight="1"/>
    <x:row r="199" s="23" customFormat="1" ht="15.75" customHeight="1"/>
    <x:row r="200" s="23" customFormat="1" ht="15.75" customHeight="1"/>
    <x:row r="201" s="23" customFormat="1" ht="15.75" customHeight="1"/>
    <x:row r="202" s="23" customFormat="1" ht="15.75" customHeight="1"/>
    <x:row r="203" s="23" customFormat="1" ht="15.75" customHeight="1"/>
    <x:row r="204" s="23" customFormat="1" ht="15.75" customHeight="1"/>
    <x:row r="205" s="23" customFormat="1" ht="15.75" customHeight="1"/>
    <x:row r="206" s="23" customFormat="1" ht="15.75" customHeight="1"/>
    <x:row r="207" s="23" customFormat="1" ht="15.75" customHeight="1"/>
    <x:row r="208" s="23" customFormat="1" ht="15.75" customHeight="1"/>
    <x:row r="209" s="23" customFormat="1" ht="15.75" customHeight="1"/>
    <x:row r="210" s="23" customFormat="1" ht="15.75" customHeight="1"/>
    <x:row r="211" s="23" customFormat="1" ht="15.75" customHeight="1"/>
    <x:row r="212" s="23" customFormat="1" ht="15.75" customHeight="1"/>
    <x:row r="213" s="23" customFormat="1" ht="15.75" customHeight="1"/>
    <x:row r="214" s="23" customFormat="1" ht="15.75" customHeight="1"/>
    <x:row r="215" s="23" customFormat="1" ht="15.75" customHeight="1"/>
    <x:row r="216" s="23" customFormat="1" ht="15.75" customHeight="1"/>
    <x:row r="217" s="23" customFormat="1" ht="15.75" customHeight="1"/>
    <x:row r="218" s="23" customFormat="1" ht="15.75" customHeight="1"/>
    <x:row r="219" s="23" customFormat="1" ht="15.75" customHeight="1"/>
    <x:row r="220" s="23" customFormat="1" ht="15.75" customHeight="1"/>
    <x:row r="221" s="23" customFormat="1" ht="15.75" customHeight="1"/>
    <x:row r="222" s="23" customFormat="1" ht="15.75" customHeight="1"/>
    <x:row r="223" s="23" customFormat="1" ht="15.75" customHeight="1"/>
    <x:row r="224" s="23" customFormat="1" ht="15.75" customHeight="1"/>
    <x:row r="225" s="23" customFormat="1" ht="15.75" customHeight="1"/>
    <x:row r="226" s="23" customFormat="1" ht="15.75" customHeight="1"/>
    <x:row r="227" s="23" customFormat="1" ht="15.75" customHeight="1"/>
    <x:row r="228" s="23" customFormat="1" ht="15.75" customHeight="1"/>
    <x:row r="229" s="23" customFormat="1" ht="15.75" customHeight="1"/>
    <x:row r="230" s="23" customFormat="1" ht="15.75" customHeight="1"/>
    <x:row r="231" s="23" customFormat="1" ht="15.75" customHeight="1"/>
    <x:row r="232" s="23" customFormat="1" ht="15.75" customHeight="1"/>
    <x:row r="233" s="23" customFormat="1" ht="15.75" customHeight="1"/>
    <x:row r="234" s="23" customFormat="1" ht="15.75" customHeight="1"/>
    <x:row r="235" s="23" customFormat="1" ht="15.75" customHeight="1"/>
    <x:row r="236" s="23" customFormat="1" ht="15.75" customHeight="1"/>
    <x:row r="237" s="23" customFormat="1" ht="15.75" customHeight="1"/>
    <x:row r="238" s="23" customFormat="1" ht="15.75" customHeight="1"/>
    <x:row r="239" s="23" customFormat="1" ht="15.75" customHeight="1"/>
    <x:row r="240" s="23" customFormat="1" ht="15.75" customHeight="1"/>
    <x:row r="241" s="23" customFormat="1" ht="15.75" customHeight="1"/>
    <x:row r="242" s="23" customFormat="1" ht="15.75" customHeight="1"/>
    <x:row r="243" s="23" customFormat="1" ht="15.75" customHeight="1"/>
    <x:row r="244" s="23" customFormat="1" ht="15.75" customHeight="1"/>
    <x:row r="245" s="23" customFormat="1" ht="15.75" customHeight="1"/>
    <x:row r="246" s="23" customFormat="1" ht="15.75" customHeight="1"/>
    <x:row r="247" s="23" customFormat="1" ht="15.75" customHeight="1"/>
    <x:row r="248" s="23" customFormat="1" ht="15.75" customHeight="1"/>
    <x:row r="249" s="23" customFormat="1" ht="15.75" customHeight="1"/>
    <x:row r="250" s="23" customFormat="1" ht="15.75" customHeight="1"/>
    <x:row r="251" s="23" customFormat="1" ht="15.75" customHeight="1"/>
    <x:row r="252" s="23" customFormat="1" ht="15.75" customHeight="1"/>
    <x:row r="253" s="23" customFormat="1" ht="15.75" customHeight="1"/>
    <x:row r="254" s="23" customFormat="1" ht="15.75" customHeight="1"/>
    <x:row r="255" s="23" customFormat="1" ht="15.75" customHeight="1"/>
    <x:row r="256" s="23" customFormat="1" ht="15.75" customHeight="1"/>
    <x:row r="257" s="23" customFormat="1" ht="15.75" customHeight="1"/>
    <x:row r="258" s="23" customFormat="1" ht="15.75" customHeight="1"/>
    <x:row r="259" s="23" customFormat="1" ht="15.75" customHeight="1"/>
    <x:row r="260" s="23" customFormat="1" ht="15.75" customHeight="1"/>
    <x:row r="261" s="23" customFormat="1" ht="15.75" customHeight="1"/>
    <x:row r="262" s="23" customFormat="1" ht="15.75" customHeight="1"/>
    <x:row r="263" s="23" customFormat="1" ht="15.75" customHeight="1"/>
    <x:row r="264" s="23" customFormat="1" ht="15.75" customHeight="1"/>
    <x:row r="265" s="23" customFormat="1" ht="15.75" customHeight="1"/>
    <x:row r="266" s="23" customFormat="1" ht="15.75" customHeight="1"/>
    <x:row r="267" s="23" customFormat="1" ht="15.75" customHeight="1"/>
    <x:row r="268" s="23" customFormat="1" ht="15.75" customHeight="1"/>
    <x:row r="269" s="23" customFormat="1" ht="15.75" customHeight="1"/>
    <x:row r="270" s="23" customFormat="1" ht="15.75" customHeight="1"/>
    <x:row r="271" s="23" customFormat="1" ht="15.75" customHeight="1"/>
    <x:row r="272" s="23" customFormat="1" ht="15.75" customHeight="1"/>
    <x:row r="273" s="23" customFormat="1" ht="15.75" customHeight="1"/>
    <x:row r="274" s="23" customFormat="1" ht="15.75" customHeight="1"/>
    <x:row r="275" s="23" customFormat="1" ht="15.75" customHeight="1"/>
    <x:row r="276" s="23" customFormat="1" ht="15.75" customHeight="1"/>
    <x:row r="277" s="23" customFormat="1" ht="15.75" customHeight="1"/>
    <x:row r="278" s="23" customFormat="1" ht="15.75" customHeight="1"/>
    <x:row r="279" s="23" customFormat="1" ht="15.75" customHeight="1"/>
    <x:row r="280" s="23" customFormat="1" ht="15.75" customHeight="1"/>
    <x:row r="281" s="23" customFormat="1" ht="15.75" customHeight="1"/>
    <x:row r="282" s="23" customFormat="1" ht="15.75" customHeight="1"/>
    <x:row r="283" s="23" customFormat="1" ht="15.75" customHeight="1"/>
    <x:row r="284" s="23" customFormat="1" ht="15.75" customHeight="1"/>
    <x:row r="285" s="23" customFormat="1" ht="15.75" customHeight="1"/>
    <x:row r="286" s="23" customFormat="1" ht="15.75" customHeight="1"/>
    <x:row r="287" s="23" customFormat="1" ht="15.75" customHeight="1"/>
    <x:row r="288" s="23" customFormat="1" ht="15.75" customHeight="1"/>
    <x:row r="289" s="23" customFormat="1" ht="15.75" customHeight="1"/>
    <x:row r="290" s="23" customFormat="1" ht="15.75" customHeight="1"/>
    <x:row r="291" s="23" customFormat="1" ht="15.75" customHeight="1"/>
    <x:row r="292" s="23" customFormat="1" ht="15.75" customHeight="1"/>
    <x:row r="293" s="23" customFormat="1" ht="15.75" customHeight="1"/>
    <x:row r="294" s="23" customFormat="1" ht="15.75" customHeight="1"/>
    <x:row r="295" s="23" customFormat="1" ht="15.75" customHeight="1"/>
    <x:row r="296" s="23" customFormat="1" ht="15.75" customHeight="1"/>
    <x:row r="297" s="23" customFormat="1" ht="15.75" customHeight="1"/>
    <x:row r="298" s="23" customFormat="1" ht="15.75" customHeight="1"/>
    <x:row r="299" s="23" customFormat="1" ht="15.75" customHeight="1"/>
    <x:row r="300" s="23" customFormat="1" ht="15.75" customHeight="1"/>
    <x:row r="301" s="23" customFormat="1" ht="15.75" customHeight="1"/>
    <x:row r="302" s="23" customFormat="1" ht="15.75" customHeight="1"/>
    <x:row r="303" s="23" customFormat="1" ht="15.75" customHeight="1"/>
    <x:row r="304" s="23" customFormat="1" ht="15.75" customHeight="1"/>
    <x:row r="305" s="23" customFormat="1" ht="15.75" customHeight="1"/>
    <x:row r="306" s="23" customFormat="1" ht="15.75" customHeight="1"/>
    <x:row r="307" s="23" customFormat="1" ht="15.75" customHeight="1"/>
    <x:row r="308" s="23" customFormat="1" ht="15.75" customHeight="1"/>
    <x:row r="309" s="23" customFormat="1" ht="15.75" customHeight="1"/>
    <x:row r="310" s="23" customFormat="1" ht="15.75" customHeight="1"/>
    <x:row r="311" s="23" customFormat="1" ht="15.75" customHeight="1"/>
    <x:row r="312" s="23" customFormat="1" ht="15.75" customHeight="1"/>
    <x:row r="313" s="23" customFormat="1" ht="15.75" customHeight="1"/>
    <x:row r="314" s="23" customFormat="1" ht="15.75" customHeight="1"/>
    <x:row r="315" s="23" customFormat="1" ht="15.75" customHeight="1"/>
    <x:row r="316" s="23" customFormat="1" ht="15.75" customHeight="1"/>
    <x:row r="317" s="23" customFormat="1" ht="15.75" customHeight="1"/>
    <x:row r="318" s="23" customFormat="1" ht="15.75" customHeight="1"/>
    <x:row r="319" s="23" customFormat="1" ht="15.75" customHeight="1"/>
    <x:row r="320" s="23" customFormat="1" ht="15.75" customHeight="1"/>
    <x:row r="321" s="23" customFormat="1" ht="15.75" customHeight="1"/>
    <x:row r="322" s="23" customFormat="1" ht="15.75" customHeight="1"/>
    <x:row r="323" s="23" customFormat="1" ht="15.75" customHeight="1"/>
    <x:row r="324" s="23" customFormat="1" ht="15.75" customHeight="1"/>
    <x:row r="325" s="23" customFormat="1" ht="15.75" customHeight="1"/>
    <x:row r="326" s="23" customFormat="1" ht="15.75" customHeight="1"/>
    <x:row r="327" s="23" customFormat="1" ht="15.75" customHeight="1"/>
    <x:row r="328" s="23" customFormat="1" ht="15.75" customHeight="1"/>
    <x:row r="329" s="23" customFormat="1" ht="15.75" customHeight="1"/>
    <x:row r="330" s="23" customFormat="1" ht="15.75" customHeight="1"/>
    <x:row r="331" s="23" customFormat="1" ht="15.75" customHeight="1"/>
    <x:row r="332" s="23" customFormat="1" ht="15.75" customHeight="1"/>
    <x:row r="333" s="23" customFormat="1" ht="15.75" customHeight="1"/>
    <x:row r="334" s="23" customFormat="1" ht="15.75" customHeight="1"/>
    <x:row r="335" s="23" customFormat="1" ht="15.75" customHeight="1"/>
    <x:row r="336" s="23" customFormat="1" ht="15.75" customHeight="1"/>
    <x:row r="337" s="23" customFormat="1" ht="15.75" customHeight="1"/>
    <x:row r="338" s="23" customFormat="1" ht="15.75" customHeight="1"/>
    <x:row r="339" s="23" customFormat="1" ht="15.75" customHeight="1"/>
    <x:row r="340" s="23" customFormat="1" ht="15.75" customHeight="1"/>
    <x:row r="341" s="23" customFormat="1" ht="15.75" customHeight="1"/>
    <x:row r="342" s="23" customFormat="1" ht="15.75" customHeight="1"/>
    <x:row r="343" s="23" customFormat="1" ht="15.75" customHeight="1"/>
    <x:row r="344" s="23" customFormat="1" ht="15.75" customHeight="1"/>
    <x:row r="345" s="23" customFormat="1" ht="15.75" customHeight="1"/>
    <x:row r="346" s="23" customFormat="1" ht="15.75" customHeight="1"/>
    <x:row r="347" s="23" customFormat="1" ht="15.75" customHeight="1"/>
    <x:row r="348" s="23" customFormat="1" ht="15.75" customHeight="1"/>
    <x:row r="349" s="23" customFormat="1" ht="15.75" customHeight="1"/>
    <x:row r="350" s="23" customFormat="1" ht="15.75" customHeight="1"/>
    <x:row r="351" s="23" customFormat="1" ht="15.75" customHeight="1"/>
    <x:row r="352" s="23" customFormat="1" ht="15.75" customHeight="1"/>
    <x:row r="353" s="23" customFormat="1" ht="15.75" customHeight="1"/>
    <x:row r="354" s="23" customFormat="1" ht="15.75" customHeight="1"/>
    <x:row r="355" s="23" customFormat="1" ht="15.75" customHeight="1"/>
    <x:row r="356" s="23" customFormat="1" ht="15.75" customHeight="1"/>
    <x:row r="357" s="23" customFormat="1" ht="15.75" customHeight="1"/>
    <x:row r="358" s="23" customFormat="1" ht="15.75" customHeight="1"/>
    <x:row r="359" s="23" customFormat="1" ht="15.75" customHeight="1"/>
    <x:row r="360" s="23" customFormat="1" ht="15.75" customHeight="1"/>
    <x:row r="361" s="23" customFormat="1" ht="15.75" customHeight="1"/>
    <x:row r="362" s="23" customFormat="1" ht="15.75" customHeight="1"/>
    <x:row r="363" s="23" customFormat="1" ht="15.75" customHeight="1"/>
    <x:row r="364" s="23" customFormat="1" ht="15.75" customHeight="1"/>
    <x:row r="365" s="23" customFormat="1" ht="15.75" customHeight="1"/>
    <x:row r="366" s="23" customFormat="1" ht="15.75" customHeight="1"/>
    <x:row r="367" s="23" customFormat="1" ht="15.75" customHeight="1"/>
    <x:row r="368" s="23" customFormat="1" ht="15.75" customHeight="1"/>
    <x:row r="369" s="23" customFormat="1" ht="15.75" customHeight="1"/>
    <x:row r="370" s="23" customFormat="1" ht="15.75" customHeight="1"/>
    <x:row r="371" s="23" customFormat="1" ht="15.75" customHeight="1"/>
    <x:row r="372" s="23" customFormat="1" ht="15.75" customHeight="1"/>
    <x:row r="373" s="23" customFormat="1" ht="15.75" customHeight="1"/>
    <x:row r="374" s="23" customFormat="1" ht="15.75" customHeight="1"/>
    <x:row r="375" s="23" customFormat="1" ht="15.75" customHeight="1"/>
    <x:row r="376" s="23" customFormat="1" ht="15.75" customHeight="1"/>
    <x:row r="377" s="23" customFormat="1" ht="15.75" customHeight="1"/>
    <x:row r="378" s="23" customFormat="1" ht="15.75" customHeight="1"/>
    <x:row r="379" s="23" customFormat="1" ht="15.75" customHeight="1"/>
    <x:row r="380" s="23" customFormat="1" ht="15.75" customHeight="1"/>
    <x:row r="381" s="23" customFormat="1" ht="15.75" customHeight="1"/>
    <x:row r="382" s="23" customFormat="1" ht="15.75" customHeight="1"/>
    <x:row r="383" s="23" customFormat="1" ht="15.75" customHeight="1"/>
    <x:row r="384" s="23" customFormat="1" ht="15.75" customHeight="1"/>
    <x:row r="385" s="23" customFormat="1" ht="15.75" customHeight="1"/>
    <x:row r="386" s="23" customFormat="1" ht="15.75" customHeight="1"/>
    <x:row r="387" s="23" customFormat="1" ht="15.75" customHeight="1"/>
    <x:row r="388" s="23" customFormat="1" ht="15.75" customHeight="1"/>
    <x:row r="389" s="23" customFormat="1" ht="15.75" customHeight="1"/>
    <x:row r="390" s="23" customFormat="1" ht="15.75" customHeight="1"/>
    <x:row r="391" s="23" customFormat="1" ht="15.75" customHeight="1"/>
    <x:row r="392" s="23" customFormat="1" ht="15.75" customHeight="1"/>
    <x:row r="393" s="23" customFormat="1" ht="15.75" customHeight="1"/>
    <x:row r="394" s="23" customFormat="1" ht="15.75" customHeight="1"/>
    <x:row r="395" s="23" customFormat="1" ht="15.75" customHeight="1"/>
    <x:row r="396" s="23" customFormat="1" ht="15.75" customHeight="1"/>
    <x:row r="397" s="23" customFormat="1" ht="15.75" customHeight="1"/>
    <x:row r="398" s="23" customFormat="1" ht="15.75" customHeight="1"/>
    <x:row r="399" s="23" customFormat="1" ht="15.75" customHeight="1"/>
    <x:row r="400" s="23" customFormat="1" ht="15.75" customHeight="1"/>
    <x:row r="401" s="23" customFormat="1" ht="15.75" customHeight="1"/>
    <x:row r="402" s="23" customFormat="1" ht="15.75" customHeight="1"/>
    <x:row r="403" s="23" customFormat="1" ht="15.75" customHeight="1"/>
    <x:row r="404" s="23" customFormat="1" ht="15.75" customHeight="1"/>
    <x:row r="405" s="23" customFormat="1" ht="15.75" customHeight="1"/>
    <x:row r="406" s="23" customFormat="1" ht="15.75" customHeight="1"/>
    <x:row r="407" s="23" customFormat="1" ht="15.75" customHeight="1"/>
    <x:row r="408" s="23" customFormat="1" ht="15.75" customHeight="1"/>
    <x:row r="409" s="23" customFormat="1" ht="15.75" customHeight="1"/>
    <x:row r="410" s="23" customFormat="1" ht="15.75" customHeight="1"/>
    <x:row r="411" s="23" customFormat="1" ht="15.75" customHeight="1"/>
    <x:row r="412" s="23" customFormat="1" ht="15.75" customHeight="1"/>
    <x:row r="413" s="23" customFormat="1" ht="15.75" customHeight="1"/>
    <x:row r="414" s="23" customFormat="1" ht="15.75" customHeight="1"/>
    <x:row r="415" s="23" customFormat="1" ht="15.75" customHeight="1"/>
    <x:row r="416" s="23" customFormat="1" ht="15.75" customHeight="1"/>
    <x:row r="417" s="23" customFormat="1" ht="15.75" customHeight="1"/>
    <x:row r="418" s="23" customFormat="1" ht="15.75" customHeight="1"/>
    <x:row r="419" s="23" customFormat="1" ht="15.75" customHeight="1"/>
    <x:row r="420" s="23" customFormat="1" ht="15.75" customHeight="1"/>
    <x:row r="421" s="23" customFormat="1" ht="15.75" customHeight="1"/>
    <x:row r="422" s="23" customFormat="1" ht="15.75" customHeight="1"/>
    <x:row r="423" s="23" customFormat="1" ht="15.75" customHeight="1"/>
    <x:row r="424" s="23" customFormat="1" ht="15.75" customHeight="1"/>
    <x:row r="425" s="23" customFormat="1" ht="15.75" customHeight="1"/>
    <x:row r="426" s="23" customFormat="1" ht="15.75" customHeight="1"/>
    <x:row r="427" s="23" customFormat="1" ht="15.75" customHeight="1"/>
    <x:row r="428" s="23" customFormat="1" ht="15.75" customHeight="1"/>
    <x:row r="429" s="23" customFormat="1" ht="15.75" customHeight="1"/>
    <x:row r="430" s="23" customFormat="1" ht="15.75" customHeight="1"/>
    <x:row r="431" s="23" customFormat="1" ht="15.75" customHeight="1"/>
    <x:row r="432" s="23" customFormat="1" ht="15.75" customHeight="1"/>
    <x:row r="433" s="23" customFormat="1" ht="15.75" customHeight="1"/>
    <x:row r="434" s="23" customFormat="1" ht="15.75" customHeight="1"/>
    <x:row r="435" s="23" customFormat="1" ht="15.75" customHeight="1"/>
    <x:row r="436" s="23" customFormat="1" ht="15.75" customHeight="1"/>
    <x:row r="437" s="23" customFormat="1" ht="15.75" customHeight="1"/>
    <x:row r="438" s="23" customFormat="1" ht="15.75" customHeight="1"/>
    <x:row r="439" s="23" customFormat="1" ht="15.75" customHeight="1"/>
    <x:row r="440" s="23" customFormat="1" ht="15.75" customHeight="1"/>
    <x:row r="441" s="23" customFormat="1" ht="15.75" customHeight="1"/>
    <x:row r="442" s="23" customFormat="1" ht="15.75" customHeight="1"/>
    <x:row r="443" s="23" customFormat="1" ht="15.75" customHeight="1"/>
    <x:row r="444" s="23" customFormat="1" ht="15.75" customHeight="1"/>
    <x:row r="445" s="23" customFormat="1" ht="15.75" customHeight="1"/>
    <x:row r="446" s="23" customFormat="1" ht="15.75" customHeight="1"/>
    <x:row r="447" s="23" customFormat="1" ht="15.75" customHeight="1"/>
    <x:row r="448" s="23" customFormat="1" ht="15.75" customHeight="1"/>
    <x:row r="449" s="23" customFormat="1" ht="15.75" customHeight="1"/>
    <x:row r="450" s="23" customFormat="1" ht="15.75" customHeight="1"/>
    <x:row r="451" s="23" customFormat="1" ht="15.75" customHeight="1"/>
    <x:row r="452" s="23" customFormat="1" ht="15.75" customHeight="1"/>
    <x:row r="453" s="23" customFormat="1" ht="15.75" customHeight="1"/>
    <x:row r="454" s="23" customFormat="1" ht="15.75" customHeight="1"/>
    <x:row r="455" s="23" customFormat="1" ht="15.75" customHeight="1"/>
    <x:row r="456" s="23" customFormat="1" ht="15.75" customHeight="1"/>
    <x:row r="457" s="23" customFormat="1" ht="15.75" customHeight="1"/>
    <x:row r="458" s="23" customFormat="1" ht="15.75" customHeight="1"/>
    <x:row r="459" s="23" customFormat="1" ht="15.75" customHeight="1"/>
    <x:row r="460" s="23" customFormat="1" ht="15.75" customHeight="1"/>
    <x:row r="461" s="23" customFormat="1" ht="15.75" customHeight="1"/>
    <x:row r="462" s="23" customFormat="1" ht="15.75" customHeight="1"/>
    <x:row r="463" s="23" customFormat="1" ht="15.75" customHeight="1"/>
    <x:row r="464" s="23" customFormat="1" ht="15.75" customHeight="1"/>
    <x:row r="465" s="23" customFormat="1" ht="15.75" customHeight="1"/>
    <x:row r="466" s="23" customFormat="1" ht="15.75" customHeight="1"/>
    <x:row r="467" s="23" customFormat="1" ht="15.75" customHeight="1"/>
    <x:row r="468" s="23" customFormat="1" ht="15.75" customHeight="1"/>
    <x:row r="469" s="23" customFormat="1" ht="15.75" customHeight="1"/>
    <x:row r="470" s="23" customFormat="1" ht="15.75" customHeight="1"/>
    <x:row r="471" s="23" customFormat="1" ht="15.75" customHeight="1"/>
    <x:row r="472" s="23" customFormat="1" ht="15.75" customHeight="1"/>
    <x:row r="473" s="23" customFormat="1" ht="15.75" customHeight="1"/>
    <x:row r="474" s="23" customFormat="1" ht="15.75" customHeight="1"/>
    <x:row r="475" s="23" customFormat="1" ht="15.75" customHeight="1"/>
    <x:row r="476" s="23" customFormat="1" ht="15.75" customHeight="1"/>
    <x:row r="477" s="23" customFormat="1" ht="15.75" customHeight="1"/>
    <x:row r="478" s="23" customFormat="1" ht="15.75" customHeight="1"/>
    <x:row r="479" s="23" customFormat="1" ht="15.75" customHeight="1"/>
    <x:row r="480" s="23" customFormat="1" ht="15.75" customHeight="1"/>
    <x:row r="481" s="23" customFormat="1" ht="15.75" customHeight="1"/>
    <x:row r="482" s="23" customFormat="1" ht="15.75" customHeight="1"/>
    <x:row r="483" s="23" customFormat="1" ht="15.75" customHeight="1"/>
    <x:row r="484" s="23" customFormat="1" ht="15.75" customHeight="1"/>
    <x:row r="485" s="23" customFormat="1" ht="15.75" customHeight="1"/>
    <x:row r="486" s="23" customFormat="1" ht="15.75" customHeight="1"/>
    <x:row r="487" s="23" customFormat="1" ht="15.75" customHeight="1"/>
    <x:row r="488" s="23" customFormat="1" ht="15.75" customHeight="1"/>
    <x:row r="489" s="23" customFormat="1" ht="15.75" customHeight="1"/>
    <x:row r="490" s="23" customFormat="1" ht="15.75" customHeight="1"/>
    <x:row r="491" s="23" customFormat="1" ht="15.75" customHeight="1"/>
    <x:row r="492" s="23" customFormat="1" ht="15.75" customHeight="1"/>
    <x:row r="493" s="23" customFormat="1" ht="15.75" customHeight="1"/>
    <x:row r="494" s="23" customFormat="1" ht="15.75" customHeight="1"/>
    <x:row r="495" s="23" customFormat="1" ht="15.75" customHeight="1"/>
    <x:row r="496" s="23" customFormat="1" ht="15.75" customHeight="1"/>
    <x:row r="497" s="23" customFormat="1" ht="15.75" customHeight="1"/>
    <x:row r="498" s="23" customFormat="1" ht="15.75" customHeight="1"/>
    <x:row r="499" s="23" customFormat="1" ht="15.75" customHeight="1"/>
    <x:row r="500" s="23" customFormat="1" ht="15.75" customHeight="1"/>
    <x:row r="501" s="23" customFormat="1" ht="15.75" customHeight="1"/>
    <x:row r="502" s="23" customFormat="1" ht="15.75" customHeight="1"/>
    <x:row r="503" s="23" customFormat="1" ht="15.75" customHeight="1"/>
    <x:row r="504" s="23" customFormat="1" ht="15.75" customHeight="1"/>
    <x:row r="505" s="23" customFormat="1" ht="15.75" customHeight="1"/>
    <x:row r="506" s="23" customFormat="1" ht="15.75" customHeight="1"/>
    <x:row r="507" s="23" customFormat="1" ht="15.75" customHeight="1"/>
    <x:row r="508" s="23" customFormat="1" ht="15.75" customHeight="1"/>
    <x:row r="509" s="23" customFormat="1" ht="15.75" customHeight="1"/>
    <x:row r="510" s="23" customFormat="1" ht="15.75" customHeight="1"/>
    <x:row r="511" s="23" customFormat="1" ht="15.75" customHeight="1"/>
    <x:row r="512" s="23" customFormat="1" ht="15.75" customHeight="1"/>
    <x:row r="513" s="23" customFormat="1" ht="15.75" customHeight="1"/>
    <x:row r="514" s="23" customFormat="1" ht="15.75" customHeight="1"/>
    <x:row r="515" s="23" customFormat="1" ht="15.75" customHeight="1"/>
    <x:row r="516" s="23" customFormat="1" ht="15.75" customHeight="1"/>
    <x:row r="517" s="23" customFormat="1" ht="15.75" customHeight="1"/>
    <x:row r="518" s="23" customFormat="1" ht="15.75" customHeight="1"/>
    <x:row r="519" s="23" customFormat="1" ht="15.75" customHeight="1"/>
    <x:row r="520" s="23" customFormat="1" ht="15.75" customHeight="1"/>
    <x:row r="521" s="23" customFormat="1" ht="15.75" customHeight="1"/>
    <x:row r="522" s="23" customFormat="1" ht="15.75" customHeight="1"/>
    <x:row r="523" s="23" customFormat="1" ht="15.75" customHeight="1"/>
    <x:row r="524" s="23" customFormat="1" ht="15.75" customHeight="1"/>
    <x:row r="525" s="23" customFormat="1" ht="15.75" customHeight="1"/>
    <x:row r="526" s="23" customFormat="1" ht="15.75" customHeight="1"/>
    <x:row r="527" s="23" customFormat="1" ht="15.75" customHeight="1"/>
    <x:row r="528" s="23" customFormat="1" ht="15.75" customHeight="1"/>
    <x:row r="529" s="23" customFormat="1" ht="15.75" customHeight="1"/>
    <x:row r="530" s="23" customFormat="1" ht="15.75" customHeight="1"/>
    <x:row r="531" s="23" customFormat="1" ht="15.75" customHeight="1"/>
    <x:row r="532" s="23" customFormat="1" ht="15.75" customHeight="1"/>
    <x:row r="533" s="23" customFormat="1" ht="15.75" customHeight="1"/>
    <x:row r="534" s="23" customFormat="1" ht="15.75" customHeight="1"/>
    <x:row r="535" s="23" customFormat="1" ht="15.75" customHeight="1"/>
    <x:row r="536" s="23" customFormat="1" ht="15.75" customHeight="1"/>
    <x:row r="537" s="23" customFormat="1" ht="15.75" customHeight="1"/>
    <x:row r="538" s="23" customFormat="1" ht="15.75" customHeight="1"/>
    <x:row r="539" s="23" customFormat="1" ht="15.75" customHeight="1"/>
    <x:row r="540" s="23" customFormat="1" ht="15.75" customHeight="1"/>
    <x:row r="541" s="23" customFormat="1" ht="15.75" customHeight="1"/>
    <x:row r="542" s="23" customFormat="1" ht="15.75" customHeight="1"/>
    <x:row r="543" s="23" customFormat="1" ht="15.75" customHeight="1"/>
    <x:row r="544" s="23" customFormat="1" ht="15.75" customHeight="1"/>
    <x:row r="545" s="23" customFormat="1" ht="15.75" customHeight="1"/>
    <x:row r="546" s="23" customFormat="1" ht="15.75" customHeight="1"/>
    <x:row r="547" s="23" customFormat="1" ht="15.75" customHeight="1"/>
    <x:row r="548" s="23" customFormat="1" ht="15.75" customHeight="1"/>
    <x:row r="549" s="23" customFormat="1" ht="15.75" customHeight="1"/>
    <x:row r="550" s="23" customFormat="1" ht="15.75" customHeight="1"/>
    <x:row r="551" s="23" customFormat="1" ht="15.75" customHeight="1"/>
    <x:row r="552" s="23" customFormat="1" ht="15.75" customHeight="1"/>
    <x:row r="553" s="23" customFormat="1" ht="15.75" customHeight="1"/>
    <x:row r="554" s="23" customFormat="1" ht="15.75" customHeight="1"/>
    <x:row r="555" s="23" customFormat="1" ht="15.75" customHeight="1"/>
    <x:row r="556" s="23" customFormat="1" ht="15.75" customHeight="1"/>
    <x:row r="557" s="23" customFormat="1" ht="15.75" customHeight="1"/>
    <x:row r="558" s="23" customFormat="1" ht="15.75" customHeight="1"/>
    <x:row r="559" s="23" customFormat="1" ht="15.75" customHeight="1"/>
    <x:row r="560" s="23" customFormat="1" ht="15.75" customHeight="1"/>
    <x:row r="561" s="23" customFormat="1" ht="15.75" customHeight="1"/>
    <x:row r="562" s="23" customFormat="1" ht="15.75" customHeight="1"/>
    <x:row r="563" s="23" customFormat="1" ht="15.75" customHeight="1"/>
    <x:row r="564" s="23" customFormat="1" ht="15.75" customHeight="1"/>
    <x:row r="565" s="23" customFormat="1" ht="15.75" customHeight="1"/>
    <x:row r="566" s="23" customFormat="1" ht="15.75" customHeight="1"/>
    <x:row r="567" s="23" customFormat="1" ht="15.75" customHeight="1"/>
    <x:row r="568" s="23" customFormat="1" ht="15.75" customHeight="1"/>
    <x:row r="569" s="23" customFormat="1" ht="15.75" customHeight="1"/>
    <x:row r="570" s="23" customFormat="1" ht="15.75" customHeight="1"/>
    <x:row r="571" s="23" customFormat="1" ht="15.75" customHeight="1"/>
    <x:row r="572" s="23" customFormat="1" ht="15.75" customHeight="1"/>
    <x:row r="573" s="23" customFormat="1" ht="15.75" customHeight="1"/>
    <x:row r="574" s="23" customFormat="1" ht="15.75" customHeight="1"/>
    <x:row r="575" s="23" customFormat="1" ht="15.75" customHeight="1"/>
    <x:row r="576" s="23" customFormat="1" ht="15.75" customHeight="1"/>
    <x:row r="577" s="23" customFormat="1" ht="15.75" customHeight="1"/>
    <x:row r="578" s="23" customFormat="1" ht="15.75" customHeight="1"/>
    <x:row r="579" s="23" customFormat="1" ht="15.75" customHeight="1"/>
    <x:row r="580" s="23" customFormat="1" ht="15.75" customHeight="1"/>
    <x:row r="581" s="23" customFormat="1" ht="15.75" customHeight="1"/>
    <x:row r="582" s="23" customFormat="1" ht="15.75" customHeight="1"/>
    <x:row r="583" s="23" customFormat="1" ht="15.75" customHeight="1"/>
    <x:row r="584" s="23" customFormat="1" ht="15.75" customHeight="1"/>
    <x:row r="585" s="23" customFormat="1" ht="15.75" customHeight="1"/>
    <x:row r="586" s="23" customFormat="1" ht="15.75" customHeight="1"/>
    <x:row r="587" s="23" customFormat="1" ht="15.75" customHeight="1"/>
    <x:row r="588" s="23" customFormat="1" ht="15.75" customHeight="1"/>
    <x:row r="589" s="23" customFormat="1" ht="15.75" customHeight="1"/>
    <x:row r="590" s="23" customFormat="1" ht="15.75" customHeight="1"/>
    <x:row r="591" s="23" customFormat="1" ht="15.75" customHeight="1"/>
    <x:row r="592" s="23" customFormat="1" ht="15.75" customHeight="1"/>
    <x:row r="593" s="23" customFormat="1" ht="15.75" customHeight="1"/>
    <x:row r="594" s="23" customFormat="1" ht="15.75" customHeight="1"/>
    <x:row r="595" s="23" customFormat="1" ht="15.75" customHeight="1"/>
    <x:row r="596" s="23" customFormat="1" ht="15.75" customHeight="1"/>
    <x:row r="597" s="23" customFormat="1" ht="15.75" customHeight="1"/>
    <x:row r="598" s="23" customFormat="1" ht="15.75" customHeight="1"/>
    <x:row r="599" s="23" customFormat="1" ht="15.75" customHeight="1"/>
    <x:row r="600" s="23" customFormat="1" ht="15.75" customHeight="1"/>
    <x:row r="601" s="23" customFormat="1" ht="15.75" customHeight="1"/>
    <x:row r="602" s="23" customFormat="1" ht="15.75" customHeight="1"/>
    <x:row r="603" s="23" customFormat="1" ht="15.75" customHeight="1"/>
    <x:row r="604" s="23" customFormat="1" ht="15.75" customHeight="1"/>
    <x:row r="605" s="23" customFormat="1" ht="15.75" customHeight="1"/>
    <x:row r="606" s="23" customFormat="1" ht="15.75" customHeight="1"/>
    <x:row r="607" s="23" customFormat="1" ht="15.75" customHeight="1"/>
    <x:row r="608" s="23" customFormat="1" ht="15.75" customHeight="1"/>
    <x:row r="609" s="23" customFormat="1" ht="15.75" customHeight="1"/>
    <x:row r="610" s="23" customFormat="1" ht="15.75" customHeight="1"/>
    <x:row r="611" s="23" customFormat="1" ht="15.75" customHeight="1"/>
    <x:row r="612" s="23" customFormat="1" ht="15.75" customHeight="1"/>
    <x:row r="613" s="23" customFormat="1" ht="15.75" customHeight="1"/>
    <x:row r="614" s="23" customFormat="1" ht="15.75" customHeight="1"/>
    <x:row r="615" s="23" customFormat="1" ht="15.75" customHeight="1"/>
    <x:row r="616" s="23" customFormat="1" ht="15.75" customHeight="1"/>
    <x:row r="617" s="23" customFormat="1" ht="15.75" customHeight="1"/>
    <x:row r="618" s="23" customFormat="1" ht="15.75" customHeight="1"/>
    <x:row r="619" s="23" customFormat="1" ht="15.75" customHeight="1"/>
    <x:row r="620" s="23" customFormat="1" ht="15.75" customHeight="1"/>
    <x:row r="621" s="23" customFormat="1" ht="15.75" customHeight="1"/>
    <x:row r="622" s="23" customFormat="1" ht="15.75" customHeight="1"/>
    <x:row r="623" s="23" customFormat="1" ht="15.75" customHeight="1"/>
    <x:row r="624" s="23" customFormat="1" ht="15.75" customHeight="1"/>
    <x:row r="625" s="23" customFormat="1" ht="15.75" customHeight="1"/>
    <x:row r="626" s="23" customFormat="1" ht="15.75" customHeight="1"/>
    <x:row r="627" s="23" customFormat="1" ht="15.75" customHeight="1"/>
    <x:row r="628" s="23" customFormat="1" ht="15.75" customHeight="1"/>
    <x:row r="629" s="23" customFormat="1" ht="15.75" customHeight="1"/>
    <x:row r="630" s="23" customFormat="1" ht="15.75" customHeight="1"/>
    <x:row r="631" s="23" customFormat="1" ht="15.75" customHeight="1"/>
    <x:row r="632" s="23" customFormat="1" ht="15.75" customHeight="1"/>
    <x:row r="633" s="23" customFormat="1" ht="15.75" customHeight="1"/>
    <x:row r="634" s="23" customFormat="1" ht="15.75" customHeight="1"/>
    <x:row r="635" s="23" customFormat="1" ht="15.75" customHeight="1"/>
    <x:row r="636" s="23" customFormat="1" ht="15.75" customHeight="1"/>
    <x:row r="637" s="23" customFormat="1" ht="15.75" customHeight="1"/>
    <x:row r="638" s="23" customFormat="1" ht="15.75" customHeight="1"/>
    <x:row r="639" s="23" customFormat="1" ht="15.75" customHeight="1"/>
    <x:row r="640" s="23" customFormat="1" ht="15.75" customHeight="1"/>
    <x:row r="641" s="23" customFormat="1" ht="15.75" customHeight="1"/>
    <x:row r="642" s="23" customFormat="1" ht="15.75" customHeight="1"/>
    <x:row r="643" s="23" customFormat="1" ht="15.75" customHeight="1"/>
    <x:row r="644" s="23" customFormat="1" ht="15.75" customHeight="1"/>
    <x:row r="645" s="23" customFormat="1" ht="15.75" customHeight="1"/>
    <x:row r="646" s="23" customFormat="1" ht="15.75" customHeight="1"/>
    <x:row r="647" s="23" customFormat="1" ht="15.75" customHeight="1"/>
    <x:row r="648" s="23" customFormat="1" ht="15.75" customHeight="1"/>
    <x:row r="649" s="23" customFormat="1" ht="15.75" customHeight="1"/>
    <x:row r="650" s="23" customFormat="1" ht="15.75" customHeight="1"/>
    <x:row r="651" s="23" customFormat="1" ht="15.75" customHeight="1"/>
    <x:row r="652" s="23" customFormat="1" ht="15.75" customHeight="1"/>
    <x:row r="653" s="23" customFormat="1" ht="15.75" customHeight="1"/>
    <x:row r="654" s="23" customFormat="1" ht="15.75" customHeight="1"/>
    <x:row r="655" s="23" customFormat="1" ht="15.75" customHeight="1"/>
    <x:row r="656" s="23" customFormat="1" ht="15.75" customHeight="1"/>
    <x:row r="657" s="23" customFormat="1" ht="15.75" customHeight="1"/>
    <x:row r="658" s="23" customFormat="1" ht="15.75" customHeight="1"/>
    <x:row r="659" s="23" customFormat="1" ht="15.75" customHeight="1"/>
    <x:row r="660" s="23" customFormat="1" ht="15.75" customHeight="1"/>
    <x:row r="661" s="23" customFormat="1" ht="15.75" customHeight="1"/>
    <x:row r="662" s="23" customFormat="1" ht="15.75" customHeight="1"/>
    <x:row r="663" s="23" customFormat="1" ht="15.75" customHeight="1"/>
    <x:row r="664" s="23" customFormat="1" ht="15.75" customHeight="1"/>
    <x:row r="665" s="23" customFormat="1" ht="15.75" customHeight="1"/>
    <x:row r="666" s="23" customFormat="1" ht="15.75" customHeight="1"/>
    <x:row r="667" s="23" customFormat="1" ht="15.75" customHeight="1"/>
    <x:row r="668" s="23" customFormat="1" ht="15.75" customHeight="1"/>
    <x:row r="669" s="23" customFormat="1" ht="15.75" customHeight="1"/>
    <x:row r="670" s="23" customFormat="1" ht="15.75" customHeight="1"/>
    <x:row r="671" s="23" customFormat="1" ht="15.75" customHeight="1"/>
    <x:row r="672" s="23" customFormat="1" ht="15.75" customHeight="1"/>
    <x:row r="673" s="23" customFormat="1" ht="15.75" customHeight="1"/>
    <x:row r="674" s="23" customFormat="1" ht="15.75" customHeight="1"/>
    <x:row r="675" s="23" customFormat="1" ht="15.75" customHeight="1"/>
    <x:row r="676" s="23" customFormat="1" ht="15.75" customHeight="1"/>
    <x:row r="677" s="23" customFormat="1" ht="15.75" customHeight="1"/>
    <x:row r="678" s="23" customFormat="1" ht="15.75" customHeight="1"/>
    <x:row r="679" s="23" customFormat="1" ht="15.75" customHeight="1"/>
    <x:row r="680" s="23" customFormat="1" ht="15.75" customHeight="1"/>
    <x:row r="681" s="23" customFormat="1" ht="15.75" customHeight="1"/>
    <x:row r="682" s="23" customFormat="1" ht="15.75" customHeight="1"/>
    <x:row r="683" s="23" customFormat="1" ht="15.75" customHeight="1"/>
    <x:row r="684" s="23" customFormat="1" ht="15.75" customHeight="1"/>
    <x:row r="685" s="23" customFormat="1" ht="15.75" customHeight="1"/>
    <x:row r="686" s="23" customFormat="1" ht="15.75" customHeight="1"/>
    <x:row r="687" s="23" customFormat="1" ht="15.75" customHeight="1"/>
    <x:row r="688" s="23" customFormat="1" ht="15.75" customHeight="1"/>
    <x:row r="689" s="23" customFormat="1" ht="15.75" customHeight="1"/>
    <x:row r="690" s="23" customFormat="1" ht="15.75" customHeight="1"/>
    <x:row r="691" s="23" customFormat="1" ht="15.75" customHeight="1"/>
    <x:row r="692" s="23" customFormat="1" ht="15.75" customHeight="1"/>
    <x:row r="693" s="23" customFormat="1" ht="15.75" customHeight="1"/>
    <x:row r="694" s="23" customFormat="1" ht="15.75" customHeight="1"/>
    <x:row r="695" s="23" customFormat="1" ht="15.75" customHeight="1"/>
    <x:row r="696" s="23" customFormat="1" ht="15.75" customHeight="1"/>
    <x:row r="697" s="23" customFormat="1" ht="15.75" customHeight="1"/>
    <x:row r="698" s="23" customFormat="1" ht="15.75" customHeight="1"/>
    <x:row r="699" s="23" customFormat="1" ht="15.75" customHeight="1"/>
    <x:row r="700" s="23" customFormat="1" ht="15.75" customHeight="1"/>
    <x:row r="701" s="23" customFormat="1" ht="15.75" customHeight="1"/>
    <x:row r="702" s="23" customFormat="1" ht="15.75" customHeight="1"/>
    <x:row r="703" s="23" customFormat="1" ht="15.75" customHeight="1"/>
    <x:row r="704" s="23" customFormat="1" ht="15.75" customHeight="1"/>
    <x:row r="705" s="23" customFormat="1" ht="15.75" customHeight="1"/>
    <x:row r="706" s="23" customFormat="1" ht="15.75" customHeight="1"/>
    <x:row r="707" s="23" customFormat="1" ht="15.75" customHeight="1"/>
    <x:row r="708" s="23" customFormat="1" ht="15.75" customHeight="1"/>
    <x:row r="709" s="23" customFormat="1" ht="15.75" customHeight="1"/>
    <x:row r="710" s="23" customFormat="1" ht="15.75" customHeight="1"/>
    <x:row r="711" s="23" customFormat="1" ht="15.75" customHeight="1"/>
    <x:row r="712" s="23" customFormat="1" ht="15.75" customHeight="1"/>
    <x:row r="713" s="23" customFormat="1" ht="15.75" customHeight="1"/>
    <x:row r="714" s="23" customFormat="1" ht="15.75" customHeight="1"/>
    <x:row r="715" s="23" customFormat="1" ht="15.75" customHeight="1"/>
    <x:row r="716" s="23" customFormat="1" ht="15.75" customHeight="1"/>
    <x:row r="717" s="23" customFormat="1" ht="15.75" customHeight="1"/>
    <x:row r="718" s="23" customFormat="1" ht="15.75" customHeight="1"/>
    <x:row r="719" s="23" customFormat="1" ht="15.75" customHeight="1"/>
    <x:row r="720" s="23" customFormat="1" ht="15.75" customHeight="1"/>
    <x:row r="721" s="23" customFormat="1" ht="15.75" customHeight="1"/>
    <x:row r="722" s="23" customFormat="1" ht="15.75" customHeight="1"/>
    <x:row r="723" s="23" customFormat="1" ht="15.75" customHeight="1"/>
    <x:row r="724" s="23" customFormat="1" ht="15.75" customHeight="1"/>
    <x:row r="725" s="23" customFormat="1" ht="15.75" customHeight="1"/>
    <x:row r="726" s="23" customFormat="1" ht="15.75" customHeight="1"/>
    <x:row r="727" s="23" customFormat="1" ht="15.75" customHeight="1"/>
    <x:row r="728" s="23" customFormat="1" ht="15.75" customHeight="1"/>
    <x:row r="729" s="23" customFormat="1" ht="15.75" customHeight="1"/>
    <x:row r="730" s="23" customFormat="1" ht="15.75" customHeight="1"/>
    <x:row r="731" s="23" customFormat="1" ht="15.75" customHeight="1"/>
    <x:row r="732" s="23" customFormat="1" ht="15.75" customHeight="1"/>
    <x:row r="733" s="23" customFormat="1" ht="15.75" customHeight="1"/>
    <x:row r="734" s="23" customFormat="1" ht="15.75" customHeight="1"/>
    <x:row r="735" s="23" customFormat="1" ht="15.75" customHeight="1"/>
    <x:row r="736" s="23" customFormat="1" ht="15.75" customHeight="1"/>
    <x:row r="737" s="23" customFormat="1" ht="15.75" customHeight="1"/>
    <x:row r="738" s="23" customFormat="1" ht="15.75" customHeight="1"/>
    <x:row r="739" s="23" customFormat="1" ht="15.75" customHeight="1"/>
    <x:row r="740" s="23" customFormat="1" ht="15.75" customHeight="1"/>
    <x:row r="741" s="23" customFormat="1" ht="15.75" customHeight="1"/>
    <x:row r="742" s="23" customFormat="1" ht="15.75" customHeight="1"/>
    <x:row r="743" s="23" customFormat="1" ht="15.75" customHeight="1"/>
    <x:row r="744" s="23" customFormat="1" ht="15.75" customHeight="1"/>
    <x:row r="745" s="23" customFormat="1" ht="15.75" customHeight="1"/>
    <x:row r="746" s="23" customFormat="1" ht="15.75" customHeight="1"/>
    <x:row r="747" s="23" customFormat="1" ht="15.75" customHeight="1"/>
    <x:row r="748" s="23" customFormat="1" ht="15.75" customHeight="1"/>
    <x:row r="749" s="23" customFormat="1" ht="15.75" customHeight="1"/>
    <x:row r="750" s="23" customFormat="1" ht="15.75" customHeight="1"/>
    <x:row r="751" s="23" customFormat="1" ht="15.75" customHeight="1"/>
    <x:row r="752" s="23" customFormat="1" ht="15.75" customHeight="1"/>
    <x:row r="753" s="23" customFormat="1" ht="15.75" customHeight="1"/>
    <x:row r="754" s="23" customFormat="1" ht="15.75" customHeight="1"/>
    <x:row r="755" s="23" customFormat="1" ht="15.75" customHeight="1"/>
    <x:row r="756" s="23" customFormat="1" ht="15.75" customHeight="1"/>
    <x:row r="757" s="23" customFormat="1" ht="15.75" customHeight="1"/>
    <x:row r="758" s="23" customFormat="1" ht="15.75" customHeight="1"/>
    <x:row r="759" s="23" customFormat="1" ht="15.75" customHeight="1"/>
    <x:row r="760" s="23" customFormat="1" ht="15.75" customHeight="1"/>
    <x:row r="761" s="23" customFormat="1" ht="15.75" customHeight="1"/>
    <x:row r="762" s="23" customFormat="1" ht="15.75" customHeight="1"/>
    <x:row r="763" s="23" customFormat="1" ht="15.75" customHeight="1"/>
    <x:row r="764" s="23" customFormat="1" ht="15.75" customHeight="1"/>
    <x:row r="765" s="23" customFormat="1" ht="15.75" customHeight="1"/>
    <x:row r="766" s="23" customFormat="1" ht="15.75" customHeight="1"/>
    <x:row r="767" s="23" customFormat="1" ht="15.75" customHeight="1"/>
    <x:row r="768" s="23" customFormat="1" ht="15.75" customHeight="1"/>
    <x:row r="769" s="23" customFormat="1" ht="15.75" customHeight="1"/>
    <x:row r="770" s="23" customFormat="1" ht="15.75" customHeight="1"/>
    <x:row r="771" s="23" customFormat="1" ht="15.75" customHeight="1"/>
    <x:row r="772" s="23" customFormat="1" ht="15.75" customHeight="1"/>
    <x:row r="773" s="23" customFormat="1" ht="15.75" customHeight="1"/>
    <x:row r="774" s="23" customFormat="1" ht="15.75" customHeight="1"/>
    <x:row r="775" s="23" customFormat="1" ht="15.75" customHeight="1"/>
    <x:row r="776" s="23" customFormat="1" ht="15.75" customHeight="1"/>
    <x:row r="777" s="23" customFormat="1" ht="15.75" customHeight="1"/>
    <x:row r="778" s="23" customFormat="1" ht="15.75" customHeight="1"/>
    <x:row r="779" s="23" customFormat="1" ht="15.75" customHeight="1"/>
    <x:row r="780" s="23" customFormat="1" ht="15.75" customHeight="1"/>
    <x:row r="781" s="23" customFormat="1" ht="15.75" customHeight="1"/>
    <x:row r="782" s="23" customFormat="1" ht="15.75" customHeight="1"/>
    <x:row r="783" s="23" customFormat="1" ht="15.75" customHeight="1"/>
    <x:row r="784" s="23" customFormat="1" ht="15.75" customHeight="1"/>
    <x:row r="785" s="23" customFormat="1" ht="15.75" customHeight="1"/>
    <x:row r="786" s="23" customFormat="1" ht="15.75" customHeight="1"/>
    <x:row r="787" s="23" customFormat="1" ht="15.75" customHeight="1"/>
    <x:row r="788" s="23" customFormat="1" ht="15.75" customHeight="1"/>
    <x:row r="789" s="23" customFormat="1" ht="15.75" customHeight="1"/>
    <x:row r="790" s="23" customFormat="1" ht="15.75" customHeight="1"/>
    <x:row r="791" s="23" customFormat="1" ht="15.75" customHeight="1"/>
    <x:row r="792" s="23" customFormat="1" ht="15.75" customHeight="1"/>
    <x:row r="793" s="23" customFormat="1" ht="15.75" customHeight="1"/>
    <x:row r="794" s="23" customFormat="1" ht="15.75" customHeight="1"/>
    <x:row r="795" s="23" customFormat="1" ht="15.75" customHeight="1"/>
    <x:row r="796" s="23" customFormat="1" ht="15.75" customHeight="1"/>
    <x:row r="797" s="23" customFormat="1" ht="15.75" customHeight="1"/>
    <x:row r="798" s="23" customFormat="1" ht="15.75" customHeight="1"/>
    <x:row r="799" s="23" customFormat="1" ht="15.75" customHeight="1"/>
    <x:row r="800" s="23" customFormat="1" ht="15.75" customHeight="1"/>
    <x:row r="801" s="23" customFormat="1" ht="15.75" customHeight="1"/>
    <x:row r="802" s="23" customFormat="1" ht="15.75" customHeight="1"/>
    <x:row r="803" s="23" customFormat="1" ht="15.75" customHeight="1"/>
    <x:row r="804" s="23" customFormat="1" ht="15.75" customHeight="1"/>
    <x:row r="805" s="23" customFormat="1" ht="15.75" customHeight="1"/>
    <x:row r="806" s="23" customFormat="1" ht="15.75" customHeight="1"/>
    <x:row r="807" s="23" customFormat="1" ht="15.75" customHeight="1"/>
    <x:row r="808" s="23" customFormat="1" ht="15.75" customHeight="1"/>
    <x:row r="809" s="23" customFormat="1" ht="15.75" customHeight="1"/>
    <x:row r="810" s="23" customFormat="1" ht="15.75" customHeight="1"/>
    <x:row r="811" s="23" customFormat="1" ht="15.75" customHeight="1"/>
    <x:row r="812" s="23" customFormat="1" ht="15.75" customHeight="1"/>
    <x:row r="813" s="23" customFormat="1" ht="15.75" customHeight="1"/>
    <x:row r="814" s="23" customFormat="1" ht="15.75" customHeight="1"/>
    <x:row r="815" s="23" customFormat="1" ht="15.75" customHeight="1"/>
    <x:row r="816" s="23" customFormat="1" ht="15.75" customHeight="1"/>
    <x:row r="817" s="23" customFormat="1" ht="15.75" customHeight="1"/>
    <x:row r="818" s="23" customFormat="1" ht="15.75" customHeight="1"/>
    <x:row r="819" s="23" customFormat="1" ht="15.75" customHeight="1"/>
    <x:row r="820" s="23" customFormat="1" ht="15.75" customHeight="1"/>
    <x:row r="821" s="23" customFormat="1" ht="15.75" customHeight="1"/>
    <x:row r="822" s="23" customFormat="1" ht="15.75" customHeight="1"/>
    <x:row r="823" s="23" customFormat="1" ht="15.75" customHeight="1"/>
    <x:row r="824" s="23" customFormat="1" ht="15.75" customHeight="1"/>
    <x:row r="825" s="23" customFormat="1" ht="15.75" customHeight="1"/>
    <x:row r="826" s="23" customFormat="1" ht="15.75" customHeight="1"/>
    <x:row r="827" s="23" customFormat="1" ht="15.75" customHeight="1"/>
    <x:row r="828" s="23" customFormat="1" ht="15.75" customHeight="1"/>
    <x:row r="829" s="23" customFormat="1" ht="15.75" customHeight="1"/>
    <x:row r="830" s="23" customFormat="1" ht="15.75" customHeight="1"/>
    <x:row r="831" s="23" customFormat="1" ht="15.75" customHeight="1"/>
    <x:row r="832" s="23" customFormat="1" ht="15.75" customHeight="1"/>
    <x:row r="833" s="23" customFormat="1" ht="15.75" customHeight="1"/>
    <x:row r="834" s="23" customFormat="1" ht="15.75" customHeight="1"/>
    <x:row r="835" s="23" customFormat="1" ht="15.75" customHeight="1"/>
    <x:row r="836" s="23" customFormat="1" ht="15.75" customHeight="1"/>
    <x:row r="837" s="23" customFormat="1" ht="15.75" customHeight="1"/>
    <x:row r="838" s="23" customFormat="1" ht="15.75" customHeight="1"/>
    <x:row r="839" s="23" customFormat="1" ht="15.75" customHeight="1"/>
    <x:row r="840" s="23" customFormat="1" ht="15.75" customHeight="1"/>
    <x:row r="841" s="23" customFormat="1" ht="15.75" customHeight="1"/>
    <x:row r="842" s="23" customFormat="1" ht="15.75" customHeight="1"/>
    <x:row r="843" s="23" customFormat="1" ht="15.75" customHeight="1"/>
    <x:row r="844" s="23" customFormat="1" ht="15.75" customHeight="1"/>
    <x:row r="845" s="23" customFormat="1" ht="15.75" customHeight="1"/>
    <x:row r="846" s="23" customFormat="1" ht="15.75" customHeight="1"/>
    <x:row r="847" s="23" customFormat="1" ht="15.75" customHeight="1"/>
    <x:row r="848" s="23" customFormat="1" ht="15.75" customHeight="1"/>
    <x:row r="849" s="23" customFormat="1" ht="15.75" customHeight="1"/>
    <x:row r="850" s="23" customFormat="1" ht="15.75" customHeight="1"/>
    <x:row r="851" s="23" customFormat="1" ht="15.75" customHeight="1"/>
    <x:row r="852" s="23" customFormat="1" ht="15.75" customHeight="1"/>
    <x:row r="853" s="23" customFormat="1" ht="15.75" customHeight="1"/>
    <x:row r="854" s="23" customFormat="1" ht="15.75" customHeight="1"/>
    <x:row r="855" s="23" customFormat="1" ht="15.75" customHeight="1"/>
    <x:row r="856" s="23" customFormat="1" ht="15.75" customHeight="1"/>
    <x:row r="857" s="23" customFormat="1" ht="15.75" customHeight="1"/>
    <x:row r="858" s="23" customFormat="1" ht="15.75" customHeight="1"/>
    <x:row r="859" s="23" customFormat="1" ht="15.75" customHeight="1"/>
    <x:row r="860" s="23" customFormat="1" ht="15.75" customHeight="1"/>
    <x:row r="861" s="23" customFormat="1" ht="15.75" customHeight="1"/>
    <x:row r="862" s="23" customFormat="1" ht="15.75" customHeight="1"/>
    <x:row r="863" s="23" customFormat="1" ht="15.75" customHeight="1"/>
    <x:row r="864" s="23" customFormat="1" ht="15.75" customHeight="1"/>
    <x:row r="865" s="23" customFormat="1" ht="15.75" customHeight="1"/>
    <x:row r="866" s="23" customFormat="1" ht="15.75" customHeight="1"/>
    <x:row r="867" s="23" customFormat="1" ht="15.75" customHeight="1"/>
    <x:row r="868" s="23" customFormat="1" ht="15.75" customHeight="1"/>
    <x:row r="869" s="23" customFormat="1" ht="15.75" customHeight="1"/>
    <x:row r="870" s="23" customFormat="1" ht="15.75" customHeight="1"/>
    <x:row r="871" s="23" customFormat="1" ht="15.75" customHeight="1"/>
    <x:row r="872" s="23" customFormat="1" ht="15.75" customHeight="1"/>
    <x:row r="873" s="23" customFormat="1" ht="15.75" customHeight="1"/>
    <x:row r="874" s="23" customFormat="1" ht="15.75" customHeight="1"/>
    <x:row r="875" s="23" customFormat="1" ht="15.75" customHeight="1"/>
    <x:row r="876" s="23" customFormat="1" ht="15.75" customHeight="1"/>
    <x:row r="877" s="23" customFormat="1" ht="15.75" customHeight="1"/>
    <x:row r="878" s="23" customFormat="1" ht="15.75" customHeight="1"/>
    <x:row r="879" s="23" customFormat="1" ht="15.75" customHeight="1"/>
    <x:row r="880" s="23" customFormat="1" ht="15.75" customHeight="1"/>
    <x:row r="881" s="23" customFormat="1" ht="15.75" customHeight="1"/>
    <x:row r="882" s="23" customFormat="1" ht="15.75" customHeight="1"/>
    <x:row r="883" s="23" customFormat="1" ht="15.75" customHeight="1"/>
    <x:row r="884" s="23" customFormat="1" ht="15.75" customHeight="1"/>
    <x:row r="885" s="23" customFormat="1" ht="15.75" customHeight="1"/>
    <x:row r="886" s="23" customFormat="1" ht="15.75" customHeight="1"/>
    <x:row r="887" s="23" customFormat="1" ht="15.75" customHeight="1"/>
    <x:row r="888" s="23" customFormat="1" ht="15.75" customHeight="1"/>
    <x:row r="889" s="23" customFormat="1" ht="15.75" customHeight="1"/>
    <x:row r="890" s="23" customFormat="1" ht="15.75" customHeight="1"/>
    <x:row r="891" s="23" customFormat="1" ht="15.75" customHeight="1"/>
    <x:row r="892" s="23" customFormat="1" ht="15.75" customHeight="1"/>
    <x:row r="893" s="23" customFormat="1" ht="15.75" customHeight="1"/>
    <x:row r="894" s="23" customFormat="1" ht="15.75" customHeight="1"/>
    <x:row r="895" s="23" customFormat="1" ht="15.75" customHeight="1"/>
    <x:row r="896" s="23" customFormat="1" ht="15.75" customHeight="1"/>
    <x:row r="897" s="23" customFormat="1" ht="15.75" customHeight="1"/>
    <x:row r="898" s="23" customFormat="1" ht="15.75" customHeight="1"/>
    <x:row r="899" s="23" customFormat="1" ht="15.75" customHeight="1"/>
    <x:row r="900" s="23" customFormat="1" ht="15.75" customHeight="1"/>
    <x:row r="901" s="23" customFormat="1" ht="15.75" customHeight="1"/>
    <x:row r="902" s="23" customFormat="1" ht="15.75" customHeight="1"/>
    <x:row r="903" s="23" customFormat="1" ht="15.75" customHeight="1"/>
    <x:row r="904" s="23" customFormat="1" ht="15.75" customHeight="1"/>
    <x:row r="905" s="23" customFormat="1" ht="15.75" customHeight="1"/>
    <x:row r="906" s="23" customFormat="1" ht="15.75" customHeight="1"/>
    <x:row r="907" s="23" customFormat="1" ht="15.75" customHeight="1"/>
    <x:row r="908" s="23" customFormat="1" ht="15.75" customHeight="1"/>
    <x:row r="909" s="23" customFormat="1" ht="15.75" customHeight="1"/>
    <x:row r="910" s="23" customFormat="1" ht="15.75" customHeight="1"/>
    <x:row r="911" s="23" customFormat="1" ht="15.75" customHeight="1"/>
    <x:row r="912" s="23" customFormat="1" ht="15.75" customHeight="1"/>
    <x:row r="913" s="23" customFormat="1" ht="15.75" customHeight="1"/>
    <x:row r="914" s="23" customFormat="1" ht="15.75" customHeight="1"/>
    <x:row r="915" s="23" customFormat="1" ht="15.75" customHeight="1"/>
    <x:row r="916" s="23" customFormat="1" ht="15.75" customHeight="1"/>
    <x:row r="917" s="23" customFormat="1" ht="15.75" customHeight="1"/>
    <x:row r="918" s="23" customFormat="1" ht="15.75" customHeight="1"/>
    <x:row r="919" s="23" customFormat="1" ht="15.75" customHeight="1"/>
    <x:row r="920" s="23" customFormat="1" ht="15.75" customHeight="1"/>
    <x:row r="921" s="23" customFormat="1" ht="15.75" customHeight="1"/>
    <x:row r="922" s="23" customFormat="1" ht="15.75" customHeight="1"/>
    <x:row r="923" s="23" customFormat="1" ht="15.75" customHeight="1"/>
    <x:row r="924" s="23" customFormat="1" ht="15.75" customHeight="1"/>
    <x:row r="925" s="23" customFormat="1" ht="15.75" customHeight="1"/>
    <x:row r="926" s="23" customFormat="1" ht="15.75" customHeight="1"/>
    <x:row r="927" s="23" customFormat="1" ht="15.75" customHeight="1"/>
    <x:row r="928" s="23" customFormat="1" ht="15.75" customHeight="1"/>
    <x:row r="929" s="23" customFormat="1" ht="15.75" customHeight="1"/>
    <x:row r="930" s="23" customFormat="1" ht="15.75" customHeight="1"/>
    <x:row r="931" s="23" customFormat="1" ht="15.75" customHeight="1"/>
    <x:row r="932" s="23" customFormat="1" ht="15.75" customHeight="1"/>
    <x:row r="933" s="23" customFormat="1" ht="15.75" customHeight="1"/>
    <x:row r="934" s="23" customFormat="1" ht="15.75" customHeight="1"/>
    <x:row r="935" s="23" customFormat="1" ht="15.75" customHeight="1"/>
    <x:row r="936" s="23" customFormat="1" ht="15.75" customHeight="1"/>
    <x:row r="937" s="23" customFormat="1" ht="15.75" customHeight="1"/>
    <x:row r="938" s="23" customFormat="1" ht="15.75" customHeight="1"/>
    <x:row r="939" s="23" customFormat="1" ht="15.75" customHeight="1"/>
    <x:row r="940" s="23" customFormat="1" ht="15.75" customHeight="1"/>
    <x:row r="941" s="23" customFormat="1" ht="15.75" customHeight="1"/>
    <x:row r="942" s="23" customFormat="1" ht="15.75" customHeight="1"/>
    <x:row r="943" s="23" customFormat="1" ht="15.75" customHeight="1"/>
    <x:row r="944" s="23" customFormat="1" ht="15.75" customHeight="1"/>
    <x:row r="945" s="23" customFormat="1" ht="15.75" customHeight="1"/>
    <x:row r="946" s="23" customFormat="1" ht="15.75" customHeight="1"/>
    <x:row r="947" s="23" customFormat="1" ht="15.75" customHeight="1"/>
    <x:row r="948" s="23" customFormat="1" ht="15.75" customHeight="1"/>
    <x:row r="949" s="23" customFormat="1" ht="15.75" customHeight="1"/>
    <x:row r="950" s="23" customFormat="1" ht="15.75" customHeight="1"/>
    <x:row r="951" s="23" customFormat="1" ht="15.75" customHeight="1"/>
    <x:row r="952" s="23" customFormat="1" ht="15.75" customHeight="1"/>
    <x:row r="953" s="23" customFormat="1" ht="15.75" customHeight="1"/>
    <x:row r="954" s="23" customFormat="1" ht="15.75" customHeight="1"/>
    <x:row r="955" s="23" customFormat="1" ht="15.75" customHeight="1"/>
    <x:row r="956" s="23" customFormat="1" ht="15.75" customHeight="1"/>
    <x:row r="957" s="23" customFormat="1" ht="15.75" customHeight="1"/>
    <x:row r="958" s="23" customFormat="1" ht="15.75" customHeight="1"/>
    <x:row r="959" s="23" customFormat="1" ht="15.75" customHeight="1"/>
    <x:row r="960" s="23" customFormat="1" ht="15.75" customHeight="1"/>
    <x:row r="961" s="23" customFormat="1" ht="15.75" customHeight="1"/>
    <x:row r="962" s="23" customFormat="1" ht="15.75" customHeight="1"/>
    <x:row r="963" s="23" customFormat="1" ht="15.75" customHeight="1"/>
    <x:row r="964" s="23" customFormat="1" ht="15.75" customHeight="1"/>
    <x:row r="965" s="23" customFormat="1" ht="15.75" customHeight="1"/>
    <x:row r="966" s="23" customFormat="1" ht="15.75" customHeight="1"/>
    <x:row r="967" s="23" customFormat="1" ht="15.75" customHeight="1"/>
    <x:row r="968" s="23" customFormat="1" ht="15.75" customHeight="1"/>
    <x:row r="969" s="23" customFormat="1" ht="15.75" customHeight="1"/>
    <x:row r="970" s="23" customFormat="1" ht="15.75" customHeight="1"/>
    <x:row r="971" s="23" customFormat="1" ht="15.75" customHeight="1"/>
    <x:row r="972" s="23" customFormat="1" ht="15.75" customHeight="1"/>
    <x:row r="973" s="23" customFormat="1" ht="15.75" customHeight="1"/>
    <x:row r="974" s="23" customFormat="1" ht="15.75" customHeight="1"/>
    <x:row r="975" s="23" customFormat="1" ht="15.75" customHeight="1"/>
    <x:row r="976" s="23" customFormat="1" ht="15.75" customHeight="1"/>
    <x:row r="977" s="23" customFormat="1" ht="15.75" customHeight="1"/>
    <x:row r="978" s="23" customFormat="1" ht="15.75" customHeight="1"/>
    <x:row r="979" s="23" customFormat="1" ht="15.75" customHeight="1"/>
    <x:row r="980" s="23" customFormat="1" ht="15.75" customHeight="1"/>
    <x:row r="981" s="23" customFormat="1" ht="15.75" customHeight="1"/>
    <x:row r="982" s="23" customFormat="1" ht="15.75" customHeight="1"/>
    <x:row r="983" s="23" customFormat="1" ht="15.75" customHeight="1"/>
    <x:row r="984" s="23" customFormat="1" ht="15.75" customHeight="1"/>
    <x:row r="985" s="23" customFormat="1" ht="15.75" customHeight="1"/>
    <x:row r="986" s="23" customFormat="1" ht="15.75" customHeight="1"/>
    <x:row r="987" s="23" customFormat="1" ht="15.75" customHeight="1"/>
    <x:row r="988" s="23" customFormat="1" ht="15.75" customHeight="1"/>
    <x:row r="989" s="23" customFormat="1" ht="15.75" customHeight="1"/>
    <x:row r="990" s="23" customFormat="1" ht="15.75" customHeight="1"/>
    <x:row r="991" s="23" customFormat="1" ht="15.75" customHeight="1"/>
    <x:row r="992" s="23" customFormat="1" ht="15.75" customHeight="1"/>
    <x:row r="993" s="23" customFormat="1" ht="15.75" customHeight="1"/>
    <x:row r="994" s="23" customFormat="1" ht="15.75" customHeight="1"/>
    <x:row r="995" s="23" customFormat="1" ht="15.75" customHeight="1"/>
    <x:row r="996" s="23" customFormat="1" ht="15.75" customHeight="1"/>
    <x:row r="997" s="23" customFormat="1" ht="15.75" customHeight="1"/>
    <x:row r="998" s="23" customFormat="1" ht="15.75" customHeight="1"/>
    <x:row r="999" s="23" customFormat="1" ht="15.75" customHeight="1"/>
    <x:row r="1000" s="23" customFormat="1" ht="15.75" customHeight="1"/>
  </x:sheetData>
  <x:conditionalFormatting sqref="A7:G38">
    <x:cfRule type="expression" dxfId="0" priority="1">
      <x:formula>$A7=TRUE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F2937"/>
  </x:sheetPr>
  <x:sheetViews>
    <x:sheetView showGridLines="0" workbookViewId="0">
      <x:pane xSplit="2" ySplit="6" topLeftCell="C7" activePane="bottomRight" state="frozen"/>
    </x:sheetView>
  </x:sheetViews>
  <x:sheetFormatPr baseColWidth="8" defaultColWidth="12.630000114440918" defaultRowHeight="15"/>
  <x:cols>
    <x:col min="1" max="1" width="8" style="23" customWidth="1"/>
    <x:col min="2" max="2" width="16" style="23" customWidth="1"/>
    <x:col min="3" max="3" width="12" style="23" customWidth="1"/>
    <x:col min="4" max="4" width="38" style="23" customWidth="1"/>
    <x:col min="5" max="5" width="30" style="23" customWidth="1"/>
    <x:col min="6" max="7" width="14.5" style="23" customWidth="1"/>
    <x:col min="8" max="26" width="8.630000114440918" style="23" customWidth="1"/>
  </x:cols>
  <x:sheetData>
    <x:row r="1">
      <x:c r="A1" s="4" t="n"/>
      <x:c r="B1" s="4" t="n"/>
      <x:c r="C1" s="4" t="n"/>
      <x:c r="D1" s="4" t="n"/>
      <x:c r="E1" s="4" t="n"/>
      <x:c r="F1" s="4" t="n"/>
      <x:c r="G1" s="4" t="n"/>
    </x:row>
    <x:row r="2">
      <x:c r="A2" s="2" t="inlineStr">
        <x:is>
          <x:t xml:space="preserve">The Clone Wars: Official Chronological Order</x:t>
        </x:is>
      </x:c>
      <x:c r="B2" s="4" t="n"/>
      <x:c r="C2" s="4" t="n"/>
      <x:c r="D2" s="4" t="n"/>
      <x:c r="E2" s="4" t="n"/>
      <x:c r="F2" s="4" t="n"/>
      <x:c r="G2" s="4" t="n"/>
    </x:row>
    <x:row r="3">
      <x:c r="A3" s="5" t="inlineStr">
        <x:is>
          <x:t xml:space="preserve">The air code is decoded for you: 216 means Season 2, Episode 16. Direct links come from the official chronological guide.</x:t>
        </x:is>
      </x:c>
      <x:c r="B3" s="4" t="n"/>
      <x:c r="C3" s="4" t="n"/>
      <x:c r="D3" s="4" t="n"/>
      <x:c r="E3" s="4" t="n"/>
      <x:c r="F3" s="4" t="n"/>
      <x:c r="G3" s="4" t="n"/>
    </x:row>
    <x:row r="4">
      <x:c r="A4" s="7" t="inlineStr">
        <x:is>
          <x:t xml:space="preserve">Completed</x:t>
        </x:is>
      </x:c>
      <x:c r="B4" s="7" t="n">
        <x:f>COUNTIF(A7:A140,TRUE)</x:f>
        <x:v>0</x:v>
      </x:c>
      <x:c r="C4" s="7" t="inlineStr">
        <x:is>
          <x:t xml:space="preserve">Total</x:t>
        </x:is>
      </x:c>
      <x:c r="D4" s="7" t="n">
        <x:f>COUNTA(D7:D140)</x:f>
        <x:v>134</x:v>
      </x:c>
      <x:c r="E4" s="7" t="inlineStr">
        <x:is>
          <x:t xml:space="preserve">Progress</x:t>
        </x:is>
      </x:c>
      <x:c r="F4" s="8" t="n">
        <x:f>IF(D4=0,0,B4/D4)</x:f>
        <x:v>0</x:v>
      </x:c>
      <x:c r="G4" s="4" t="n"/>
    </x:row>
    <x:row r="5">
      <x:c r="A5" s="4" t="n"/>
      <x:c r="B5" s="4" t="n"/>
      <x:c r="C5" s="4" t="n"/>
      <x:c r="D5" s="4" t="n"/>
      <x:c r="E5" s="4" t="n"/>
      <x:c r="F5" s="4" t="n"/>
      <x:c r="G5" s="4" t="n"/>
    </x:row>
    <x:row r="6">
      <x:c r="A6" s="12" t="inlineStr">
        <x:is>
          <x:t xml:space="preserve">Done</x:t>
        </x:is>
      </x:c>
      <x:c r="B6" s="12" t="inlineStr">
        <x:is>
          <x:t xml:space="preserve">Chronological #</x:t>
        </x:is>
      </x:c>
      <x:c r="C6" s="12" t="inlineStr">
        <x:is>
          <x:t xml:space="preserve">Air code</x:t>
        </x:is>
      </x:c>
      <x:c r="D6" s="12" t="inlineStr">
        <x:is>
          <x:t xml:space="preserve">Episode</x:t>
        </x:is>
      </x:c>
      <x:c r="E6" s="12" t="inlineStr">
        <x:is>
          <x:t xml:space="preserve">Where to find it on Disney+</x:t>
        </x:is>
      </x:c>
      <x:c r="F6" s="12" t="inlineStr">
        <x:is>
          <x:t xml:space="preserve">Episode guide</x:t>
        </x:is>
      </x:c>
      <x:c r="G6" s="12" t="inlineStr">
        <x:is>
          <x:t xml:space="preserve">Direct Disney+ link</x:t>
        </x:is>
      </x:c>
    </x:row>
    <x:row r="7" s="23" customFormat="1" ht="30" customHeight="1">
      <x:c r="A7" s="21" t="b">
        <x:v>0</x:v>
      </x:c>
      <x:c r="B7" s="21" t="n">
        <x:v>1</x:v>
      </x:c>
      <x:c r="C7" s="21" t="inlineStr">
        <x:is>
          <x:t xml:space="preserve">216</x:t>
        </x:is>
      </x:c>
      <x:c r="D7" s="14" t="inlineStr">
        <x:is>
          <x:t xml:space="preserve">Cat and Mouse</x:t>
        </x:is>
      </x:c>
      <x:c r="E7" s="14" t="inlineStr">
        <x:is>
          <x:t xml:space="preserve">Season 2, Episode 16</x:t>
        </x:is>
      </x:c>
      <x:c r="F7" s="20" t="e">
        <x:f>HYPERLINK("https://www.starwars.com/tv-shows/clone-wars/cat-and-mouse-episode-guide","Episode guide")</x:f>
        <x:v>HYPERLINK is not implemented. linkLocation=https://www.starwars.com/tv-shows/clone-wars/cat-and-mouse-episode-guide, friendlyName=Episode guide</x:v>
      </x:c>
      <x:c r="G7" s="20" t="e">
        <x:f>HYPERLINK("https://www.disneyplus.com/video/5faf61af-2ce0-4baa-a647-a4f4363eba0e?cid=DTCI-Synergy-DDN-Site-Acquisition-StarWars-US-StarWars-StarWarsTheCloneWars-EN-BlogArticleEmbed-TCWChronological_StreamOnDisneyPlusCTA-NA","Watch")</x:f>
        <x:v>HYPERLINK is not implemented. linkLocation=https://www.disneyplus.com/video/5faf61af-2ce0-4baa-a647-a4f4363eba0e?cid=DTCI-Synergy-DDN-Site-Acquisition-StarWars-US-StarWars-StarWarsTheCloneWars-EN-BlogArticleEmbed-TCWChronological_StreamOnDisneyPlusCTA-NA, friendlyName=Watch</x:v>
      </x:c>
    </x:row>
    <x:row r="8" s="23" customFormat="1" ht="30" customHeight="1">
      <x:c r="A8" s="21" t="b">
        <x:v>0</x:v>
      </x:c>
      <x:c r="B8" s="21" t="n">
        <x:v>2</x:v>
      </x:c>
      <x:c r="C8" s="21" t="inlineStr">
        <x:is>
          <x:t xml:space="preserve">116</x:t>
        </x:is>
      </x:c>
      <x:c r="D8" s="14" t="inlineStr">
        <x:is>
          <x:t xml:space="preserve">Hidden Enemy</x:t>
        </x:is>
      </x:c>
      <x:c r="E8" s="14" t="inlineStr">
        <x:is>
          <x:t xml:space="preserve">Season 1, Episode 16</x:t>
        </x:is>
      </x:c>
      <x:c r="F8" s="20" t="e">
        <x:f>HYPERLINK("https://www.starwars.com/tv-shows/clone-wars/the-hidden-enemy-episode-guide","Episode guide")</x:f>
        <x:v>HYPERLINK is not implemented. linkLocation=https://www.starwars.com/tv-shows/clone-wars/the-hidden-enemy-episode-guide, friendlyName=Episode guide</x:v>
      </x:c>
      <x:c r="G8" s="20" t="e">
        <x:f>HYPERLINK("https://www.disneyplus.com/video/7c732b05-b90f-4090-a184-5652be228139?cid=DTCI-Synergy-DDN-Site-Acquisition-StarWars-US-StarWars-StarWarsTheCloneWars-EN-BlogArticleEmbed-TCWChronological_StreamOnDisneyPlusCTA-NA","Watch")</x:f>
        <x:v>HYPERLINK is not implemented. linkLocation=https://www.disneyplus.com/video/7c732b05-b90f-4090-a184-5652be228139?cid=DTCI-Synergy-DDN-Site-Acquisition-StarWars-US-StarWars-StarWarsTheCloneWars-EN-BlogArticleEmbed-TCWChronological_StreamOnDisneyPlusCTA-NA, friendlyName=Watch</x:v>
      </x:c>
    </x:row>
    <x:row r="9" s="23" customFormat="1" ht="30" customHeight="1">
      <x:c r="A9" s="21" t="b">
        <x:v>0</x:v>
      </x:c>
      <x:c r="B9" s="21" t="n">
        <x:v>3</x:v>
      </x:c>
      <x:c r="C9" s="21" t="inlineStr">
        <x:is>
          <x:t xml:space="preserve">Movie</x:t>
        </x:is>
      </x:c>
      <x:c r="D9" s="14" t="inlineStr">
        <x:is>
          <x:t xml:space="preserve">The Clone Wars theatrical movie</x:t>
        </x:is>
      </x:c>
      <x:c r="E9" s="14" t="inlineStr">
        <x:is>
          <x:t xml:space="preserve">Separate movie listing</x:t>
        </x:is>
      </x:c>
      <x:c r="F9" s="20" t="e">
        <x:f>HYPERLINK("https://www.disneyplus.com/movies/star-wars-the-clone-wars/AVmv1ulT1nQW?cid=DTCI-Synergy-StarWars-Site-Aquisition-USLaunch-US-StarWars-StarWarsTheCloneWars-EN-NavPipe-StartStreamingNow-NA","Episode guide")</x:f>
        <x:v>HYPERLINK is not implemented. linkLocation=https://www.disneyplus.com/movies/star-wars-the-clone-wars/AVmv1ulT1nQW?cid=DTCI-Synergy-StarWars-Site-Aquisition-USLaunch-US-StarWars-StarWarsTheCloneWars-EN-NavPipe-StartStreamingNow-NA, friendlyName=Episode guide</x:v>
      </x:c>
      <x:c r="G9" s="20" t="e">
        <x:f>HYPERLINK("https://www.disneyplus.com/movies/star-wars-the-clone-wars/AVmv1ulT1nQW?cid=DTCI-Synergy-DDN-Site-Acquisition-StarWars-US-StarWars-StarWarsTheCloneWars-EN-BlogArticleEmbed-TCWChronological_StreamOnDisneyPlusCTA-NA","Watch")</x:f>
        <x:v>HYPERLINK is not implemented. linkLocation=https://www.disneyplus.com/movies/star-wars-the-clone-wars/AVmv1ulT1nQW?cid=DTCI-Synergy-DDN-Site-Acquisition-StarWars-US-StarWars-StarWarsTheCloneWars-EN-BlogArticleEmbed-TCWChronological_StreamOnDisneyPlusCTA-NA, friendlyName=Watch</x:v>
      </x:c>
    </x:row>
    <x:row r="10" s="23" customFormat="1" ht="30" customHeight="1">
      <x:c r="A10" s="21" t="b">
        <x:v>0</x:v>
      </x:c>
      <x:c r="B10" s="21" t="n">
        <x:v>4</x:v>
      </x:c>
      <x:c r="C10" s="21" t="inlineStr">
        <x:is>
          <x:t xml:space="preserve">301</x:t>
        </x:is>
      </x:c>
      <x:c r="D10" s="14" t="inlineStr">
        <x:is>
          <x:t xml:space="preserve">Clone Cadets</x:t>
        </x:is>
      </x:c>
      <x:c r="E10" s="14" t="inlineStr">
        <x:is>
          <x:t xml:space="preserve">Season 3, Episode 1</x:t>
        </x:is>
      </x:c>
      <x:c r="F10" s="20" t="e">
        <x:f>HYPERLINK("https://www.starwars.com/tv-shows/clone-wars/clone-cadets-episode-guide","Episode guide")</x:f>
        <x:v>HYPERLINK is not implemented. linkLocation=https://www.starwars.com/tv-shows/clone-wars/clone-cadets-episode-guide, friendlyName=Episode guide</x:v>
      </x:c>
      <x:c r="G10" s="20" t="e">
        <x:f>HYPERLINK("https://www.disneyplus.com/video/7851718f-2530-47e2-bf32-a8b498b3efa9?cid=DTCI-Synergy-DDN-Site-Acquisition-StarWars-US-StarWars-StarWarsTheCloneWars-EN-BlogArticleEmbed-TCWChronological_StreamOnDisneyPlusCTA-NA","Watch")</x:f>
        <x:v>HYPERLINK is not implemented. linkLocation=https://www.disneyplus.com/video/7851718f-2530-47e2-bf32-a8b498b3efa9?cid=DTCI-Synergy-DDN-Site-Acquisition-StarWars-US-StarWars-StarWarsTheCloneWars-EN-BlogArticleEmbed-TCWChronological_StreamOnDisneyPlusCTA-NA, friendlyName=Watch</x:v>
      </x:c>
    </x:row>
    <x:row r="11" s="23" customFormat="1" ht="30" customHeight="1">
      <x:c r="A11" s="21" t="b">
        <x:v>0</x:v>
      </x:c>
      <x:c r="B11" s="21" t="n">
        <x:v>5</x:v>
      </x:c>
      <x:c r="C11" s="21" t="inlineStr">
        <x:is>
          <x:t xml:space="preserve">303</x:t>
        </x:is>
      </x:c>
      <x:c r="D11" s="14" t="inlineStr">
        <x:is>
          <x:t xml:space="preserve">Supply Lines</x:t>
        </x:is>
      </x:c>
      <x:c r="E11" s="14" t="inlineStr">
        <x:is>
          <x:t xml:space="preserve">Season 3, Episode 3</x:t>
        </x:is>
      </x:c>
      <x:c r="F11" s="20" t="e">
        <x:f>HYPERLINK("https://www.starwars.com/tv-shows/clone-wars/supply-lines-episode-guide","Episode guide")</x:f>
        <x:v>HYPERLINK is not implemented. linkLocation=https://www.starwars.com/tv-shows/clone-wars/supply-lines-episode-guide, friendlyName=Episode guide</x:v>
      </x:c>
      <x:c r="G11" s="20" t="e">
        <x:f>HYPERLINK("https://www.disneyplus.com/video/9d78f2ca-bcf7-413c-a0ab-f6afe9edf677?cid=DTCI-Synergy-DDN-Site-Acquisition-StarWars-US-StarWars-StarWarsTheCloneWars-EN-BlogArticleEmbed-TCWChronological_StreamOnDisneyPlusCTA-NA","Watch")</x:f>
        <x:v>HYPERLINK is not implemented. linkLocation=https://www.disneyplus.com/video/9d78f2ca-bcf7-413c-a0ab-f6afe9edf677?cid=DTCI-Synergy-DDN-Site-Acquisition-StarWars-US-StarWars-StarWarsTheCloneWars-EN-BlogArticleEmbed-TCWChronological_StreamOnDisneyPlusCTA-NA, friendlyName=Watch</x:v>
      </x:c>
    </x:row>
    <x:row r="12" s="23" customFormat="1" ht="30" customHeight="1">
      <x:c r="A12" s="21" t="b">
        <x:v>0</x:v>
      </x:c>
      <x:c r="B12" s="21" t="n">
        <x:v>6</x:v>
      </x:c>
      <x:c r="C12" s="21" t="inlineStr">
        <x:is>
          <x:t xml:space="preserve">101</x:t>
        </x:is>
      </x:c>
      <x:c r="D12" s="14" t="inlineStr">
        <x:is>
          <x:t xml:space="preserve">Ambush</x:t>
        </x:is>
      </x:c>
      <x:c r="E12" s="14" t="inlineStr">
        <x:is>
          <x:t xml:space="preserve">Season 1, Episode 1</x:t>
        </x:is>
      </x:c>
      <x:c r="F12" s="20" t="e">
        <x:f>HYPERLINK("https://www.starwars.com/tv-shows/clone-wars/ambush-episode-guide","Episode guide")</x:f>
        <x:v>HYPERLINK is not implemented. linkLocation=https://www.starwars.com/tv-shows/clone-wars/ambush-episode-guide, friendlyName=Episode guide</x:v>
      </x:c>
      <x:c r="G12" s="20" t="e">
        <x:f>HYPERLINK("https://www.disneyplus.com/video/0bf87f10-d9a1-44ca-8371-f38543eb3706?cid=DTCI-Synergy-DDN-Site-Acquisition-StarWars-US-StarWars-StarWarsTheCloneWars-EN-BlogArticleEmbed-TCWChronological_StreamOnDisneyPlusCTA-NA","Watch")</x:f>
        <x:v>HYPERLINK is not implemented. linkLocation=https://www.disneyplus.com/video/0bf87f10-d9a1-44ca-8371-f38543eb3706?cid=DTCI-Synergy-DDN-Site-Acquisition-StarWars-US-StarWars-StarWarsTheCloneWars-EN-BlogArticleEmbed-TCWChronological_StreamOnDisneyPlusCTA-NA, friendlyName=Watch</x:v>
      </x:c>
    </x:row>
    <x:row r="13" s="23" customFormat="1" ht="30" customHeight="1">
      <x:c r="A13" s="21" t="b">
        <x:v>0</x:v>
      </x:c>
      <x:c r="B13" s="21" t="n">
        <x:v>7</x:v>
      </x:c>
      <x:c r="C13" s="21" t="inlineStr">
        <x:is>
          <x:t xml:space="preserve">102</x:t>
        </x:is>
      </x:c>
      <x:c r="D13" s="14" t="inlineStr">
        <x:is>
          <x:t xml:space="preserve">Rising Malevolence</x:t>
        </x:is>
      </x:c>
      <x:c r="E13" s="14" t="inlineStr">
        <x:is>
          <x:t xml:space="preserve">Season 1, Episode 2</x:t>
        </x:is>
      </x:c>
      <x:c r="F13" s="20" t="e">
        <x:f>HYPERLINK("https://www.starwars.com/tv-shows/clone-wars/rising-malevolence-episode-guide","Episode guide")</x:f>
        <x:v>HYPERLINK is not implemented. linkLocation=https://www.starwars.com/tv-shows/clone-wars/rising-malevolence-episode-guide, friendlyName=Episode guide</x:v>
      </x:c>
      <x:c r="G13" s="20" t="e">
        <x:f>HYPERLINK("https://www.disneyplus.com/video/5bb0c4dc-91f1-434b-974f-1716511ecd4e?cid=DTCI-Synergy-DDN-Site-Acquisition-StarWars-US-StarWars-StarWarsTheCloneWars-EN-BlogArticleEmbed-TCWChronological_StreamOnDisneyPlusCTA-NA","Watch")</x:f>
        <x:v>HYPERLINK is not implemented. linkLocation=https://www.disneyplus.com/video/5bb0c4dc-91f1-434b-974f-1716511ecd4e?cid=DTCI-Synergy-DDN-Site-Acquisition-StarWars-US-StarWars-StarWarsTheCloneWars-EN-BlogArticleEmbed-TCWChronological_StreamOnDisneyPlusCTA-NA, friendlyName=Watch</x:v>
      </x:c>
    </x:row>
    <x:row r="14" s="23" customFormat="1" ht="30" customHeight="1">
      <x:c r="A14" s="21" t="b">
        <x:v>0</x:v>
      </x:c>
      <x:c r="B14" s="21" t="n">
        <x:v>8</x:v>
      </x:c>
      <x:c r="C14" s="21" t="inlineStr">
        <x:is>
          <x:t xml:space="preserve">103</x:t>
        </x:is>
      </x:c>
      <x:c r="D14" s="14" t="inlineStr">
        <x:is>
          <x:t xml:space="preserve">Shadow of Malevolence</x:t>
        </x:is>
      </x:c>
      <x:c r="E14" s="14" t="inlineStr">
        <x:is>
          <x:t xml:space="preserve">Season 1, Episode 3</x:t>
        </x:is>
      </x:c>
      <x:c r="F14" s="20" t="e">
        <x:f>HYPERLINK("https://www.starwars.com/tv-shows/clone-wars/shadow-of-malevolence-episode-guide","Episode guide")</x:f>
        <x:v>HYPERLINK is not implemented. linkLocation=https://www.starwars.com/tv-shows/clone-wars/shadow-of-malevolence-episode-guide, friendlyName=Episode guide</x:v>
      </x:c>
      <x:c r="G14" s="20" t="e">
        <x:f>HYPERLINK("https://www.disneyplus.com/video/96e47d91-f975-4302-8bb0-73dfe9ad0a37?cid=DTCI-Synergy-DDN-Site-Acquisition-StarWars-US-StarWars-StarWarsTheCloneWars-EN-BlogArticleEmbed-TCWChronological_StreamOnDisneyPlusCTA-NA","Watch")</x:f>
        <x:v>HYPERLINK is not implemented. linkLocation=https://www.disneyplus.com/video/96e47d91-f975-4302-8bb0-73dfe9ad0a37?cid=DTCI-Synergy-DDN-Site-Acquisition-StarWars-US-StarWars-StarWarsTheCloneWars-EN-BlogArticleEmbed-TCWChronological_StreamOnDisneyPlusCTA-NA, friendlyName=Watch</x:v>
      </x:c>
    </x:row>
    <x:row r="15" s="23" customFormat="1" ht="30" customHeight="1">
      <x:c r="A15" s="21" t="b">
        <x:v>0</x:v>
      </x:c>
      <x:c r="B15" s="21" t="n">
        <x:v>9</x:v>
      </x:c>
      <x:c r="C15" s="21" t="inlineStr">
        <x:is>
          <x:t xml:space="preserve">104</x:t>
        </x:is>
      </x:c>
      <x:c r="D15" s="14" t="inlineStr">
        <x:is>
          <x:t xml:space="preserve">Destroy Malevolence</x:t>
        </x:is>
      </x:c>
      <x:c r="E15" s="14" t="inlineStr">
        <x:is>
          <x:t xml:space="preserve">Season 1, Episode 4</x:t>
        </x:is>
      </x:c>
      <x:c r="F15" s="20" t="e">
        <x:f>HYPERLINK("https://www.starwars.com/tv-shows/clone-wars/destroy-malevolence-episode-guide","Episode guide")</x:f>
        <x:v>HYPERLINK is not implemented. linkLocation=https://www.starwars.com/tv-shows/clone-wars/destroy-malevolence-episode-guide, friendlyName=Episode guide</x:v>
      </x:c>
      <x:c r="G15" s="20" t="e">
        <x:f>HYPERLINK("https://www.disneyplus.com/video/7097d305-bca4-40e9-9cf0-cc84d89583a6?cid=DTCI-Synergy-DDN-Site-Acquisition-StarWars-US-StarWars-StarWarsTheCloneWars-EN-BlogArticleEmbed-TCWChronological_StreamOnDisneyPlusCTA-NA","Watch")</x:f>
        <x:v>HYPERLINK is not implemented. linkLocation=https://www.disneyplus.com/video/7097d305-bca4-40e9-9cf0-cc84d89583a6?cid=DTCI-Synergy-DDN-Site-Acquisition-StarWars-US-StarWars-StarWarsTheCloneWars-EN-BlogArticleEmbed-TCWChronological_StreamOnDisneyPlusCTA-NA, friendlyName=Watch</x:v>
      </x:c>
    </x:row>
    <x:row r="16" s="23" customFormat="1" ht="30" customHeight="1">
      <x:c r="A16" s="21" t="b">
        <x:v>0</x:v>
      </x:c>
      <x:c r="B16" s="21" t="n">
        <x:v>10</x:v>
      </x:c>
      <x:c r="C16" s="21" t="inlineStr">
        <x:is>
          <x:t xml:space="preserve">105</x:t>
        </x:is>
      </x:c>
      <x:c r="D16" s="14" t="inlineStr">
        <x:is>
          <x:t xml:space="preserve">Rookies</x:t>
        </x:is>
      </x:c>
      <x:c r="E16" s="14" t="inlineStr">
        <x:is>
          <x:t xml:space="preserve">Season 1, Episode 5</x:t>
        </x:is>
      </x:c>
      <x:c r="F16" s="20" t="e">
        <x:f>HYPERLINK("https://www.starwars.com/tv-shows/clone-wars/rookies-episode-guide","Episode guide")</x:f>
        <x:v>HYPERLINK is not implemented. linkLocation=https://www.starwars.com/tv-shows/clone-wars/rookies-episode-guide, friendlyName=Episode guide</x:v>
      </x:c>
      <x:c r="G16" s="20" t="e">
        <x:f>HYPERLINK("https://www.disneyplus.com/video/598d1e7b-f39e-4527-9487-b5e891f5eefa?cid=DTCI-Synergy-DDN-Site-Acquisition-StarWars-US-StarWars-StarWarsTheCloneWars-EN-BlogArticleEmbed-TCWChronological_StreamOnDisneyPlusCTA-NA","Watch")</x:f>
        <x:v>HYPERLINK is not implemented. linkLocation=https://www.disneyplus.com/video/598d1e7b-f39e-4527-9487-b5e891f5eefa?cid=DTCI-Synergy-DDN-Site-Acquisition-StarWars-US-StarWars-StarWarsTheCloneWars-EN-BlogArticleEmbed-TCWChronological_StreamOnDisneyPlusCTA-NA, friendlyName=Watch</x:v>
      </x:c>
    </x:row>
    <x:row r="17" s="23" customFormat="1" ht="30" customHeight="1">
      <x:c r="A17" s="21" t="b">
        <x:v>0</x:v>
      </x:c>
      <x:c r="B17" s="21" t="n">
        <x:v>11</x:v>
      </x:c>
      <x:c r="C17" s="21" t="inlineStr">
        <x:is>
          <x:t xml:space="preserve">106</x:t>
        </x:is>
      </x:c>
      <x:c r="D17" s="14" t="inlineStr">
        <x:is>
          <x:t xml:space="preserve">Downfall of a Droid</x:t>
        </x:is>
      </x:c>
      <x:c r="E17" s="14" t="inlineStr">
        <x:is>
          <x:t xml:space="preserve">Season 1, Episode 6</x:t>
        </x:is>
      </x:c>
      <x:c r="F17" s="20" t="e">
        <x:f>HYPERLINK("https://www.starwars.com/tv-shows/clone-wars/downfall-of-a-droid-episode-guide","Episode guide")</x:f>
        <x:v>HYPERLINK is not implemented. linkLocation=https://www.starwars.com/tv-shows/clone-wars/downfall-of-a-droid-episode-guide, friendlyName=Episode guide</x:v>
      </x:c>
      <x:c r="G17" s="20" t="e">
        <x:f>HYPERLINK("https://www.disneyplus.com/video/41059c6d-bb4c-4185-91f4-7b5eb3f15849?cid=DTCI-Synergy-DDN-Site-Acquisition-StarWars-US-StarWars-StarWarsTheCloneWars-EN-BlogArticleEmbed-TCWChronological_StreamOnDisneyPlusCTA-NA","Watch")</x:f>
        <x:v>HYPERLINK is not implemented. linkLocation=https://www.disneyplus.com/video/41059c6d-bb4c-4185-91f4-7b5eb3f15849?cid=DTCI-Synergy-DDN-Site-Acquisition-StarWars-US-StarWars-StarWarsTheCloneWars-EN-BlogArticleEmbed-TCWChronological_StreamOnDisneyPlusCTA-NA, friendlyName=Watch</x:v>
      </x:c>
    </x:row>
    <x:row r="18" s="23" customFormat="1" ht="30" customHeight="1">
      <x:c r="A18" s="21" t="b">
        <x:v>0</x:v>
      </x:c>
      <x:c r="B18" s="21" t="n">
        <x:v>12</x:v>
      </x:c>
      <x:c r="C18" s="21" t="inlineStr">
        <x:is>
          <x:t xml:space="preserve">107</x:t>
        </x:is>
      </x:c>
      <x:c r="D18" s="14" t="inlineStr">
        <x:is>
          <x:t xml:space="preserve">Duel of the Droids</x:t>
        </x:is>
      </x:c>
      <x:c r="E18" s="14" t="inlineStr">
        <x:is>
          <x:t xml:space="preserve">Season 1, Episode 7</x:t>
        </x:is>
      </x:c>
      <x:c r="F18" s="20" t="e">
        <x:f>HYPERLINK("https://www.starwars.com/tv-shows/clone-wars/duel-of-the-droids-episode-guide","Episode guide")</x:f>
        <x:v>HYPERLINK is not implemented. linkLocation=https://www.starwars.com/tv-shows/clone-wars/duel-of-the-droids-episode-guide, friendlyName=Episode guide</x:v>
      </x:c>
      <x:c r="G18" s="20" t="e">
        <x:f>HYPERLINK("https://www.disneyplus.com/video/6dfef4c5-f797-4ff3-95ca-2f6e6f865f82?cid=DTCI-Synergy-DDN-Site-Acquisition-StarWars-US-StarWars-StarWarsTheCloneWars-EN-BlogArticleEmbed-TCWChronological_StreamOnDisneyPlusCTA-NA","Watch")</x:f>
        <x:v>HYPERLINK is not implemented. linkLocation=https://www.disneyplus.com/video/6dfef4c5-f797-4ff3-95ca-2f6e6f865f82?cid=DTCI-Synergy-DDN-Site-Acquisition-StarWars-US-StarWars-StarWarsTheCloneWars-EN-BlogArticleEmbed-TCWChronological_StreamOnDisneyPlusCTA-NA, friendlyName=Watch</x:v>
      </x:c>
    </x:row>
    <x:row r="19" s="23" customFormat="1" ht="30" customHeight="1">
      <x:c r="A19" s="21" t="b">
        <x:v>0</x:v>
      </x:c>
      <x:c r="B19" s="21" t="n">
        <x:v>13</x:v>
      </x:c>
      <x:c r="C19" s="21" t="inlineStr">
        <x:is>
          <x:t xml:space="preserve">108</x:t>
        </x:is>
      </x:c>
      <x:c r="D19" s="14" t="inlineStr">
        <x:is>
          <x:t xml:space="preserve">Bombad Jedi</x:t>
        </x:is>
      </x:c>
      <x:c r="E19" s="14" t="inlineStr">
        <x:is>
          <x:t xml:space="preserve">Season 1, Episode 8</x:t>
        </x:is>
      </x:c>
      <x:c r="F19" s="20" t="e">
        <x:f>HYPERLINK("https://www.starwars.com/tv-shows/clone-wars/bombad-jedi-episode-guide","Episode guide")</x:f>
        <x:v>HYPERLINK is not implemented. linkLocation=https://www.starwars.com/tv-shows/clone-wars/bombad-jedi-episode-guide, friendlyName=Episode guide</x:v>
      </x:c>
      <x:c r="G19" s="20" t="e">
        <x:f>HYPERLINK("https://www.disneyplus.com/video/c0491eed-234e-461d-9e98-82dd297e1f6f?cid=DTCI-Synergy-DDN-Site-Acquisition-StarWars-US-StarWars-StarWarsTheCloneWars-EN-BlogArticleEmbed-TCWChronological_StreamOnDisneyPlusCTA-NA","Watch")</x:f>
        <x:v>HYPERLINK is not implemented. linkLocation=https://www.disneyplus.com/video/c0491eed-234e-461d-9e98-82dd297e1f6f?cid=DTCI-Synergy-DDN-Site-Acquisition-StarWars-US-StarWars-StarWarsTheCloneWars-EN-BlogArticleEmbed-TCWChronological_StreamOnDisneyPlusCTA-NA, friendlyName=Watch</x:v>
      </x:c>
    </x:row>
    <x:row r="20" s="23" customFormat="1" ht="30" customHeight="1">
      <x:c r="A20" s="21" t="b">
        <x:v>0</x:v>
      </x:c>
      <x:c r="B20" s="21" t="n">
        <x:v>14</x:v>
      </x:c>
      <x:c r="C20" s="21" t="inlineStr">
        <x:is>
          <x:t xml:space="preserve">109</x:t>
        </x:is>
      </x:c>
      <x:c r="D20" s="14" t="inlineStr">
        <x:is>
          <x:t xml:space="preserve">Cloak of Darkness</x:t>
        </x:is>
      </x:c>
      <x:c r="E20" s="14" t="inlineStr">
        <x:is>
          <x:t xml:space="preserve">Season 1, Episode 9</x:t>
        </x:is>
      </x:c>
      <x:c r="F20" s="20" t="e">
        <x:f>HYPERLINK("https://www.starwars.com/tv-shows/clone-wars/cloak-of-darkness-episode-guide","Episode guide")</x:f>
        <x:v>HYPERLINK is not implemented. linkLocation=https://www.starwars.com/tv-shows/clone-wars/cloak-of-darkness-episode-guide, friendlyName=Episode guide</x:v>
      </x:c>
      <x:c r="G20" s="20" t="e">
        <x:f>HYPERLINK("https://www.disneyplus.com/video/96574cf0-9dd5-48f4-9625-545a13cff7db?cid=DTCI-Synergy-DDN-Site-Acquisition-StarWars-US-StarWars-StarWarsTheCloneWars-EN-BlogArticleEmbed-TCWChronological_StreamOnDisneyPlusCTA-NA","Watch")</x:f>
        <x:v>HYPERLINK is not implemented. linkLocation=https://www.disneyplus.com/video/96574cf0-9dd5-48f4-9625-545a13cff7db?cid=DTCI-Synergy-DDN-Site-Acquisition-StarWars-US-StarWars-StarWarsTheCloneWars-EN-BlogArticleEmbed-TCWChronological_StreamOnDisneyPlusCTA-NA, friendlyName=Watch</x:v>
      </x:c>
    </x:row>
    <x:row r="21" s="23" customFormat="1" ht="30" customHeight="1">
      <x:c r="A21" s="21" t="b">
        <x:v>0</x:v>
      </x:c>
      <x:c r="B21" s="21" t="n">
        <x:v>15</x:v>
      </x:c>
      <x:c r="C21" s="21" t="inlineStr">
        <x:is>
          <x:t xml:space="preserve">110</x:t>
        </x:is>
      </x:c>
      <x:c r="D21" s="14" t="inlineStr">
        <x:is>
          <x:t xml:space="preserve">Lair of Grievous</x:t>
        </x:is>
      </x:c>
      <x:c r="E21" s="14" t="inlineStr">
        <x:is>
          <x:t xml:space="preserve">Season 1, Episode 10</x:t>
        </x:is>
      </x:c>
      <x:c r="F21" s="20" t="e">
        <x:f>HYPERLINK("https://www.starwars.com/tv-shows/clone-wars/lair-of-grievous-episode-guide","Episode guide")</x:f>
        <x:v>HYPERLINK is not implemented. linkLocation=https://www.starwars.com/tv-shows/clone-wars/lair-of-grievous-episode-guide, friendlyName=Episode guide</x:v>
      </x:c>
      <x:c r="G21" s="20" t="e">
        <x:f>HYPERLINK("https://www.disneyplus.com/video/3755d2fb-2904-47a2-9315-fd4969401c30?cid=DTCI-Synergy-DDN-Site-Acquisition-StarWars-US-StarWars-StarWarsTheCloneWars-EN-BlogArticleEmbed-TCWChronological_StreamOnDisneyPlusCTA-NA","Watch")</x:f>
        <x:v>HYPERLINK is not implemented. linkLocation=https://www.disneyplus.com/video/3755d2fb-2904-47a2-9315-fd4969401c30?cid=DTCI-Synergy-DDN-Site-Acquisition-StarWars-US-StarWars-StarWarsTheCloneWars-EN-BlogArticleEmbed-TCWChronological_StreamOnDisneyPlusCTA-NA, friendlyName=Watch</x:v>
      </x:c>
    </x:row>
    <x:row r="22" s="23" customFormat="1" ht="30" customHeight="1">
      <x:c r="A22" s="21" t="b">
        <x:v>0</x:v>
      </x:c>
      <x:c r="B22" s="21" t="n">
        <x:v>16</x:v>
      </x:c>
      <x:c r="C22" s="21" t="inlineStr">
        <x:is>
          <x:t xml:space="preserve">111</x:t>
        </x:is>
      </x:c>
      <x:c r="D22" s="14" t="inlineStr">
        <x:is>
          <x:t xml:space="preserve">Dooku Captured</x:t>
        </x:is>
      </x:c>
      <x:c r="E22" s="14" t="inlineStr">
        <x:is>
          <x:t xml:space="preserve">Season 1, Episode 11</x:t>
        </x:is>
      </x:c>
      <x:c r="F22" s="20" t="e">
        <x:f>HYPERLINK("https://www.starwars.com/tv-shows/clone-wars/dooku-captured-episode-guide","Episode guide")</x:f>
        <x:v>HYPERLINK is not implemented. linkLocation=https://www.starwars.com/tv-shows/clone-wars/dooku-captured-episode-guide, friendlyName=Episode guide</x:v>
      </x:c>
      <x:c r="G22" s="20" t="e">
        <x:f>HYPERLINK("https://www.disneyplus.com/video/9bc09e32-83d9-4e00-a49e-a0241b4fb243?cid=DTCI-Synergy-DDN-Site-Acquisition-StarWars-US-StarWars-StarWarsTheCloneWars-EN-BlogArticleEmbed-TCWChronological_StreamOnDisneyPlusCTA-NA","Watch")</x:f>
        <x:v>HYPERLINK is not implemented. linkLocation=https://www.disneyplus.com/video/9bc09e32-83d9-4e00-a49e-a0241b4fb243?cid=DTCI-Synergy-DDN-Site-Acquisition-StarWars-US-StarWars-StarWarsTheCloneWars-EN-BlogArticleEmbed-TCWChronological_StreamOnDisneyPlusCTA-NA, friendlyName=Watch</x:v>
      </x:c>
    </x:row>
    <x:row r="23" s="23" customFormat="1" ht="30" customHeight="1">
      <x:c r="A23" s="21" t="b">
        <x:v>0</x:v>
      </x:c>
      <x:c r="B23" s="21" t="n">
        <x:v>17</x:v>
      </x:c>
      <x:c r="C23" s="21" t="inlineStr">
        <x:is>
          <x:t xml:space="preserve">112</x:t>
        </x:is>
      </x:c>
      <x:c r="D23" s="14" t="inlineStr">
        <x:is>
          <x:t xml:space="preserve">The Gungan General</x:t>
        </x:is>
      </x:c>
      <x:c r="E23" s="14" t="inlineStr">
        <x:is>
          <x:t xml:space="preserve">Season 1, Episode 12</x:t>
        </x:is>
      </x:c>
      <x:c r="F23" s="20" t="e">
        <x:f>HYPERLINK("https://www.starwars.com/tv-shows/clone-wars/the-gungan-general-episode-guide","Episode guide")</x:f>
        <x:v>HYPERLINK is not implemented. linkLocation=https://www.starwars.com/tv-shows/clone-wars/the-gungan-general-episode-guide, friendlyName=Episode guide</x:v>
      </x:c>
      <x:c r="G23" s="20" t="e">
        <x:f>HYPERLINK("https://www.disneyplus.com/video/c1ac160f-7cc2-444f-a8a6-e1a1aa68d12d?cid=DTCI-Synergy-DDN-Site-Acquisition-StarWars-US-StarWars-StarWarsTheCloneWars-EN-BlogArticleEmbed-TCWChronological_StreamOnDisneyPlusCTA-NA","Watch")</x:f>
        <x:v>HYPERLINK is not implemented. linkLocation=https://www.disneyplus.com/video/c1ac160f-7cc2-444f-a8a6-e1a1aa68d12d?cid=DTCI-Synergy-DDN-Site-Acquisition-StarWars-US-StarWars-StarWarsTheCloneWars-EN-BlogArticleEmbed-TCWChronological_StreamOnDisneyPlusCTA-NA, friendlyName=Watch</x:v>
      </x:c>
    </x:row>
    <x:row r="24" s="23" customFormat="1" ht="30" customHeight="1">
      <x:c r="A24" s="21" t="b">
        <x:v>0</x:v>
      </x:c>
      <x:c r="B24" s="21" t="n">
        <x:v>18</x:v>
      </x:c>
      <x:c r="C24" s="21" t="inlineStr">
        <x:is>
          <x:t xml:space="preserve">113</x:t>
        </x:is>
      </x:c>
      <x:c r="D24" s="14" t="inlineStr">
        <x:is>
          <x:t xml:space="preserve">Jedi Crash</x:t>
        </x:is>
      </x:c>
      <x:c r="E24" s="14" t="inlineStr">
        <x:is>
          <x:t xml:space="preserve">Season 1, Episode 13</x:t>
        </x:is>
      </x:c>
      <x:c r="F24" s="20" t="e">
        <x:f>HYPERLINK("https://www.starwars.com/tv-shows/clone-wars/jedi-crash-episode-guide","Episode guide")</x:f>
        <x:v>HYPERLINK is not implemented. linkLocation=https://www.starwars.com/tv-shows/clone-wars/jedi-crash-episode-guide, friendlyName=Episode guide</x:v>
      </x:c>
      <x:c r="G24" s="20" t="e">
        <x:f>HYPERLINK("https://www.disneyplus.com/video/28c0b907-8efe-4400-af50-c13c66e18468?cid=DTCI-Synergy-DDN-Site-Acquisition-StarWars-US-StarWars-StarWarsTheCloneWars-EN-BlogArticleEmbed-TCWChronological_StreamOnDisneyPlusCTA-NA","Watch")</x:f>
        <x:v>HYPERLINK is not implemented. linkLocation=https://www.disneyplus.com/video/28c0b907-8efe-4400-af50-c13c66e18468?cid=DTCI-Synergy-DDN-Site-Acquisition-StarWars-US-StarWars-StarWarsTheCloneWars-EN-BlogArticleEmbed-TCWChronological_StreamOnDisneyPlusCTA-NA, friendlyName=Watch</x:v>
      </x:c>
    </x:row>
    <x:row r="25" s="23" customFormat="1" ht="30" customHeight="1">
      <x:c r="A25" s="21" t="b">
        <x:v>0</x:v>
      </x:c>
      <x:c r="B25" s="21" t="n">
        <x:v>19</x:v>
      </x:c>
      <x:c r="C25" s="21" t="inlineStr">
        <x:is>
          <x:t xml:space="preserve">114</x:t>
        </x:is>
      </x:c>
      <x:c r="D25" s="14" t="inlineStr">
        <x:is>
          <x:t xml:space="preserve">Defenders of Peace</x:t>
        </x:is>
      </x:c>
      <x:c r="E25" s="14" t="inlineStr">
        <x:is>
          <x:t xml:space="preserve">Season 1, Episode 14</x:t>
        </x:is>
      </x:c>
      <x:c r="F25" s="20" t="e">
        <x:f>HYPERLINK("https://www.starwars.com/tv-shows/clone-wars/defenders-of-peace-episode-guide","Episode guide")</x:f>
        <x:v>HYPERLINK is not implemented. linkLocation=https://www.starwars.com/tv-shows/clone-wars/defenders-of-peace-episode-guide, friendlyName=Episode guide</x:v>
      </x:c>
      <x:c r="G25" s="20" t="e">
        <x:f>HYPERLINK("https://www.disneyplus.com/video/b258d36e-98da-419a-bcc4-58826cd79f95?cid=DTCI-Synergy-DDN-Site-Acquisition-StarWars-US-StarWars-StarWarsTheCloneWars-EN-BlogArticleEmbed-TCWChronological_StreamOnDisneyPlusCTA-NA","Watch")</x:f>
        <x:v>HYPERLINK is not implemented. linkLocation=https://www.disneyplus.com/video/b258d36e-98da-419a-bcc4-58826cd79f95?cid=DTCI-Synergy-DDN-Site-Acquisition-StarWars-US-StarWars-StarWarsTheCloneWars-EN-BlogArticleEmbed-TCWChronological_StreamOnDisneyPlusCTA-NA, friendlyName=Watch</x:v>
      </x:c>
    </x:row>
    <x:row r="26" s="23" customFormat="1" ht="30" customHeight="1">
      <x:c r="A26" s="21" t="b">
        <x:v>0</x:v>
      </x:c>
      <x:c r="B26" s="21" t="n">
        <x:v>20</x:v>
      </x:c>
      <x:c r="C26" s="21" t="inlineStr">
        <x:is>
          <x:t xml:space="preserve">115</x:t>
        </x:is>
      </x:c>
      <x:c r="D26" s="14" t="inlineStr">
        <x:is>
          <x:t xml:space="preserve">Trespass</x:t>
        </x:is>
      </x:c>
      <x:c r="E26" s="14" t="inlineStr">
        <x:is>
          <x:t xml:space="preserve">Season 1, Episode 15</x:t>
        </x:is>
      </x:c>
      <x:c r="F26" s="20" t="e">
        <x:f>HYPERLINK("https://www.starwars.com/tv-shows/clone-wars/trespass-episode-guide","Episode guide")</x:f>
        <x:v>HYPERLINK is not implemented. linkLocation=https://www.starwars.com/tv-shows/clone-wars/trespass-episode-guide, friendlyName=Episode guide</x:v>
      </x:c>
      <x:c r="G26" s="20" t="e">
        <x:f>HYPERLINK("https://www.disneyplus.com/video/bf62fc31-f895-4dec-9d96-6635bda89f26?cid=DTCI-Synergy-DDN-Site-Acquisition-StarWars-US-StarWars-StarWarsTheCloneWars-EN-BlogArticleEmbed-TCWChronological_StreamOnDisneyPlusCTA-NA","Watch")</x:f>
        <x:v>HYPERLINK is not implemented. linkLocation=https://www.disneyplus.com/video/bf62fc31-f895-4dec-9d96-6635bda89f26?cid=DTCI-Synergy-DDN-Site-Acquisition-StarWars-US-StarWars-StarWarsTheCloneWars-EN-BlogArticleEmbed-TCWChronological_StreamOnDisneyPlusCTA-NA, friendlyName=Watch</x:v>
      </x:c>
    </x:row>
    <x:row r="27" s="23" customFormat="1" ht="30" customHeight="1">
      <x:c r="A27" s="21" t="b">
        <x:v>0</x:v>
      </x:c>
      <x:c r="B27" s="21" t="n">
        <x:v>21</x:v>
      </x:c>
      <x:c r="C27" s="21" t="inlineStr">
        <x:is>
          <x:t xml:space="preserve">117</x:t>
        </x:is>
      </x:c>
      <x:c r="D27" s="14" t="inlineStr">
        <x:is>
          <x:t xml:space="preserve">Blue Shadow Virus</x:t>
        </x:is>
      </x:c>
      <x:c r="E27" s="14" t="inlineStr">
        <x:is>
          <x:t xml:space="preserve">Season 1, Episode 17</x:t>
        </x:is>
      </x:c>
      <x:c r="F27" s="20" t="e">
        <x:f>HYPERLINK("https://www.starwars.com/tv-shows/clone-wars/blue-shadow-virus-episode-guide","Episode guide")</x:f>
        <x:v>HYPERLINK is not implemented. linkLocation=https://www.starwars.com/tv-shows/clone-wars/blue-shadow-virus-episode-guide, friendlyName=Episode guide</x:v>
      </x:c>
      <x:c r="G27" s="20" t="e">
        <x:f>HYPERLINK("https://www.disneyplus.com/video/393b2b72-7e23-420d-ae09-f5332cb6b726?cid=DTCI-Synergy-DDN-Site-Acquisition-StarWars-US-StarWars-StarWarsTheCloneWars-EN-BlogArticleEmbed-TCWChronological_StreamOnDisneyPlusCTA-NA","Watch")</x:f>
        <x:v>HYPERLINK is not implemented. linkLocation=https://www.disneyplus.com/video/393b2b72-7e23-420d-ae09-f5332cb6b726?cid=DTCI-Synergy-DDN-Site-Acquisition-StarWars-US-StarWars-StarWarsTheCloneWars-EN-BlogArticleEmbed-TCWChronological_StreamOnDisneyPlusCTA-NA, friendlyName=Watch</x:v>
      </x:c>
    </x:row>
    <x:row r="28" s="23" customFormat="1" ht="30" customHeight="1">
      <x:c r="A28" s="21" t="b">
        <x:v>0</x:v>
      </x:c>
      <x:c r="B28" s="21" t="n">
        <x:v>22</x:v>
      </x:c>
      <x:c r="C28" s="21" t="inlineStr">
        <x:is>
          <x:t xml:space="preserve">118</x:t>
        </x:is>
      </x:c>
      <x:c r="D28" s="14" t="inlineStr">
        <x:is>
          <x:t xml:space="preserve">Mystery of a Thousand Moons</x:t>
        </x:is>
      </x:c>
      <x:c r="E28" s="14" t="inlineStr">
        <x:is>
          <x:t xml:space="preserve">Season 1, Episode 18</x:t>
        </x:is>
      </x:c>
      <x:c r="F28" s="20" t="e">
        <x:f>HYPERLINK("https://www.starwars.com/tv-shows/clone-wars/mystery-of-a-thousand-moons-episode-guide","Episode guide")</x:f>
        <x:v>HYPERLINK is not implemented. linkLocation=https://www.starwars.com/tv-shows/clone-wars/mystery-of-a-thousand-moons-episode-guide, friendlyName=Episode guide</x:v>
      </x:c>
      <x:c r="G28" s="20" t="e">
        <x:f>HYPERLINK("https://www.disneyplus.com/video/f6fe3f35-5e5e-440b-97d6-425ea1a1820d?cid=DTCI-Synergy-DDN-Site-Acquisition-StarWars-US-StarWars-StarWarsTheCloneWars-EN-BlogArticleEmbed-TCWChronological_StreamOnDisneyPlusCTA-NA","Watch")</x:f>
        <x:v>HYPERLINK is not implemented. linkLocation=https://www.disneyplus.com/video/f6fe3f35-5e5e-440b-97d6-425ea1a1820d?cid=DTCI-Synergy-DDN-Site-Acquisition-StarWars-US-StarWars-StarWarsTheCloneWars-EN-BlogArticleEmbed-TCWChronological_StreamOnDisneyPlusCTA-NA, friendlyName=Watch</x:v>
      </x:c>
    </x:row>
    <x:row r="29" s="23" customFormat="1" ht="30" customHeight="1">
      <x:c r="A29" s="21" t="b">
        <x:v>0</x:v>
      </x:c>
      <x:c r="B29" s="21" t="n">
        <x:v>23</x:v>
      </x:c>
      <x:c r="C29" s="21" t="inlineStr">
        <x:is>
          <x:t xml:space="preserve">119</x:t>
        </x:is>
      </x:c>
      <x:c r="D29" s="14" t="inlineStr">
        <x:is>
          <x:t xml:space="preserve">Storm over Ryloth</x:t>
        </x:is>
      </x:c>
      <x:c r="E29" s="14" t="inlineStr">
        <x:is>
          <x:t xml:space="preserve">Season 1, Episode 19</x:t>
        </x:is>
      </x:c>
      <x:c r="F29" s="20" t="e">
        <x:f>HYPERLINK("https://www.starwars.com/tv-shows/clone-wars/storm-over-ryloth-episode-guide","Episode guide")</x:f>
        <x:v>HYPERLINK is not implemented. linkLocation=https://www.starwars.com/tv-shows/clone-wars/storm-over-ryloth-episode-guide, friendlyName=Episode guide</x:v>
      </x:c>
      <x:c r="G29" s="20" t="e">
        <x:f>HYPERLINK("https://www.disneyplus.com/video/76710ca6-5a5f-4fbd-8bc3-2a62beba88cf?cid=DTCI-Synergy-DDN-Site-Acquisition-StarWars-US-StarWars-StarWarsTheCloneWars-EN-BlogArticleEmbed-TCWChronological_StreamOnDisneyPlusCTA-NA","Watch")</x:f>
        <x:v>HYPERLINK is not implemented. linkLocation=https://www.disneyplus.com/video/76710ca6-5a5f-4fbd-8bc3-2a62beba88cf?cid=DTCI-Synergy-DDN-Site-Acquisition-StarWars-US-StarWars-StarWarsTheCloneWars-EN-BlogArticleEmbed-TCWChronological_StreamOnDisneyPlusCTA-NA, friendlyName=Watch</x:v>
      </x:c>
    </x:row>
    <x:row r="30" s="23" customFormat="1" ht="30" customHeight="1">
      <x:c r="A30" s="21" t="b">
        <x:v>0</x:v>
      </x:c>
      <x:c r="B30" s="21" t="n">
        <x:v>24</x:v>
      </x:c>
      <x:c r="C30" s="21" t="inlineStr">
        <x:is>
          <x:t xml:space="preserve">120</x:t>
        </x:is>
      </x:c>
      <x:c r="D30" s="14" t="inlineStr">
        <x:is>
          <x:t xml:space="preserve">Innocents of Ryloth</x:t>
        </x:is>
      </x:c>
      <x:c r="E30" s="14" t="inlineStr">
        <x:is>
          <x:t xml:space="preserve">Season 1, Episode 20</x:t>
        </x:is>
      </x:c>
      <x:c r="F30" s="20" t="e">
        <x:f>HYPERLINK("https://www.starwars.com/tv-shows/clone-wars/innocents-of-ryloth-episode-guide","Episode guide")</x:f>
        <x:v>HYPERLINK is not implemented. linkLocation=https://www.starwars.com/tv-shows/clone-wars/innocents-of-ryloth-episode-guide, friendlyName=Episode guide</x:v>
      </x:c>
      <x:c r="G30" s="20" t="e">
        <x:f>HYPERLINK("https://www.disneyplus.com/video/d4f5abd5-3e71-4cef-9928-6be9527fdb89?cid=DTCI-Synergy-DDN-Site-Acquisition-StarWars-US-StarWars-StarWarsTheCloneWars-EN-BlogArticleEmbed-TCWChronological_StreamOnDisneyPlusCTA-NA","Watch")</x:f>
        <x:v>HYPERLINK is not implemented. linkLocation=https://www.disneyplus.com/video/d4f5abd5-3e71-4cef-9928-6be9527fdb89?cid=DTCI-Synergy-DDN-Site-Acquisition-StarWars-US-StarWars-StarWarsTheCloneWars-EN-BlogArticleEmbed-TCWChronological_StreamOnDisneyPlusCTA-NA, friendlyName=Watch</x:v>
      </x:c>
    </x:row>
    <x:row r="31" s="23" customFormat="1" ht="30" customHeight="1">
      <x:c r="A31" s="21" t="b">
        <x:v>0</x:v>
      </x:c>
      <x:c r="B31" s="21" t="n">
        <x:v>25</x:v>
      </x:c>
      <x:c r="C31" s="21" t="inlineStr">
        <x:is>
          <x:t xml:space="preserve">121</x:t>
        </x:is>
      </x:c>
      <x:c r="D31" s="14" t="inlineStr">
        <x:is>
          <x:t xml:space="preserve">Liberty on Ryloth</x:t>
        </x:is>
      </x:c>
      <x:c r="E31" s="14" t="inlineStr">
        <x:is>
          <x:t xml:space="preserve">Season 1, Episode 21</x:t>
        </x:is>
      </x:c>
      <x:c r="F31" s="20" t="e">
        <x:f>HYPERLINK("https://www.starwars.com/tv-shows/clone-wars/liberty-on-ryloth-episode-guide","Episode guide")</x:f>
        <x:v>HYPERLINK is not implemented. linkLocation=https://www.starwars.com/tv-shows/clone-wars/liberty-on-ryloth-episode-guide, friendlyName=Episode guide</x:v>
      </x:c>
      <x:c r="G31" s="20" t="e">
        <x:f>HYPERLINK("https://www.disneyplus.com/video/0f87705e-7773-4154-8ff8-fdee5671431d?cid=DTCI-Synergy-DDN-Site-Acquisition-StarWars-US-StarWars-StarWarsTheCloneWars-EN-BlogArticleEmbed-TCWChronological_StreamOnDisneyPlusCTA-NA","Watch")</x:f>
        <x:v>HYPERLINK is not implemented. linkLocation=https://www.disneyplus.com/video/0f87705e-7773-4154-8ff8-fdee5671431d?cid=DTCI-Synergy-DDN-Site-Acquisition-StarWars-US-StarWars-StarWarsTheCloneWars-EN-BlogArticleEmbed-TCWChronological_StreamOnDisneyPlusCTA-NA, friendlyName=Watch</x:v>
      </x:c>
    </x:row>
    <x:row r="32" s="23" customFormat="1" ht="30" customHeight="1">
      <x:c r="A32" s="21" t="b">
        <x:v>0</x:v>
      </x:c>
      <x:c r="B32" s="21" t="n">
        <x:v>26</x:v>
      </x:c>
      <x:c r="C32" s="21" t="inlineStr">
        <x:is>
          <x:t xml:space="preserve">201</x:t>
        </x:is>
      </x:c>
      <x:c r="D32" s="14" t="inlineStr">
        <x:is>
          <x:t xml:space="preserve">Holocron Heist</x:t>
        </x:is>
      </x:c>
      <x:c r="E32" s="14" t="inlineStr">
        <x:is>
          <x:t xml:space="preserve">Season 2, Episode 1</x:t>
        </x:is>
      </x:c>
      <x:c r="F32" s="20" t="e">
        <x:f>HYPERLINK("https://www.starwars.com/tv-shows/clone-wars/holocron-heist-episode-guide","Episode guide")</x:f>
        <x:v>HYPERLINK is not implemented. linkLocation=https://www.starwars.com/tv-shows/clone-wars/holocron-heist-episode-guide, friendlyName=Episode guide</x:v>
      </x:c>
      <x:c r="G32" s="20" t="e">
        <x:f>HYPERLINK("https://www.disneyplus.com/video/0eb555a3-9420-4364-aef2-7186f5e4fb4e?cid=DTCI-Synergy-DDN-Site-Acquisition-StarWars-US-StarWars-StarWarsTheCloneWars-EN-BlogArticleEmbed-TCWChronological_StreamOnDisneyPlusCTA-NA","Watch")</x:f>
        <x:v>HYPERLINK is not implemented. linkLocation=https://www.disneyplus.com/video/0eb555a3-9420-4364-aef2-7186f5e4fb4e?cid=DTCI-Synergy-DDN-Site-Acquisition-StarWars-US-StarWars-StarWarsTheCloneWars-EN-BlogArticleEmbed-TCWChronological_StreamOnDisneyPlusCTA-NA, friendlyName=Watch</x:v>
      </x:c>
    </x:row>
    <x:row r="33" s="23" customFormat="1" ht="30" customHeight="1">
      <x:c r="A33" s="21" t="b">
        <x:v>0</x:v>
      </x:c>
      <x:c r="B33" s="21" t="n">
        <x:v>27</x:v>
      </x:c>
      <x:c r="C33" s="21" t="inlineStr">
        <x:is>
          <x:t xml:space="preserve">202</x:t>
        </x:is>
      </x:c>
      <x:c r="D33" s="14" t="inlineStr">
        <x:is>
          <x:t xml:space="preserve">Cargo of Doom</x:t>
        </x:is>
      </x:c>
      <x:c r="E33" s="14" t="inlineStr">
        <x:is>
          <x:t xml:space="preserve">Season 2, Episode 2</x:t>
        </x:is>
      </x:c>
      <x:c r="F33" s="20" t="e">
        <x:f>HYPERLINK("https://www.starwars.com/tv-shows/clone-wars/cargo-of-doom-episode-guide","Episode guide")</x:f>
        <x:v>HYPERLINK is not implemented. linkLocation=https://www.starwars.com/tv-shows/clone-wars/cargo-of-doom-episode-guide, friendlyName=Episode guide</x:v>
      </x:c>
      <x:c r="G33" s="20" t="e">
        <x:f>HYPERLINK("https://www.disneyplus.com/video/865525da-5daa-4188-9bca-8abd942909fd?cid=DTCI-Synergy-DDN-Site-Acquisition-StarWars-US-StarWars-StarWarsTheCloneWars-EN-BlogArticleEmbed-TCWChronological_StreamOnDisneyPlusCTA-NA","Watch")</x:f>
        <x:v>HYPERLINK is not implemented. linkLocation=https://www.disneyplus.com/video/865525da-5daa-4188-9bca-8abd942909fd?cid=DTCI-Synergy-DDN-Site-Acquisition-StarWars-US-StarWars-StarWarsTheCloneWars-EN-BlogArticleEmbed-TCWChronological_StreamOnDisneyPlusCTA-NA, friendlyName=Watch</x:v>
      </x:c>
    </x:row>
    <x:row r="34" s="23" customFormat="1" ht="30" customHeight="1">
      <x:c r="A34" s="21" t="b">
        <x:v>0</x:v>
      </x:c>
      <x:c r="B34" s="21" t="n">
        <x:v>28</x:v>
      </x:c>
      <x:c r="C34" s="21" t="inlineStr">
        <x:is>
          <x:t xml:space="preserve">203</x:t>
        </x:is>
      </x:c>
      <x:c r="D34" s="14" t="inlineStr">
        <x:is>
          <x:t xml:space="preserve">Children of the Force</x:t>
        </x:is>
      </x:c>
      <x:c r="E34" s="14" t="inlineStr">
        <x:is>
          <x:t xml:space="preserve">Season 2, Episode 3</x:t>
        </x:is>
      </x:c>
      <x:c r="F34" s="20" t="e">
        <x:f>HYPERLINK("https://www.starwars.com/tv-shows/clone-wars/children-of-the-force-episode-guide","Episode guide")</x:f>
        <x:v>HYPERLINK is not implemented. linkLocation=https://www.starwars.com/tv-shows/clone-wars/children-of-the-force-episode-guide, friendlyName=Episode guide</x:v>
      </x:c>
      <x:c r="G34" s="20" t="e">
        <x:f>HYPERLINK("https://www.disneyplus.com/video/2b77cbb2-045c-456d-a551-be454175ca28?cid=DTCI-Synergy-DDN-Site-Acquisition-StarWars-US-StarWars-StarWarsTheCloneWars-EN-BlogArticleEmbed-TCWChronological_StreamOnDisneyPlusCTA-NA","Watch")</x:f>
        <x:v>HYPERLINK is not implemented. linkLocation=https://www.disneyplus.com/video/2b77cbb2-045c-456d-a551-be454175ca28?cid=DTCI-Synergy-DDN-Site-Acquisition-StarWars-US-StarWars-StarWarsTheCloneWars-EN-BlogArticleEmbed-TCWChronological_StreamOnDisneyPlusCTA-NA, friendlyName=Watch</x:v>
      </x:c>
    </x:row>
    <x:row r="35" s="23" customFormat="1" ht="30" customHeight="1">
      <x:c r="A35" s="21" t="b">
        <x:v>0</x:v>
      </x:c>
      <x:c r="B35" s="21" t="n">
        <x:v>29</x:v>
      </x:c>
      <x:c r="C35" s="21" t="inlineStr">
        <x:is>
          <x:t xml:space="preserve">217</x:t>
        </x:is>
      </x:c>
      <x:c r="D35" s="14" t="inlineStr">
        <x:is>
          <x:t xml:space="preserve">Bounty Hunters</x:t>
        </x:is>
      </x:c>
      <x:c r="E35" s="14" t="inlineStr">
        <x:is>
          <x:t xml:space="preserve">Season 2, Episode 17</x:t>
        </x:is>
      </x:c>
      <x:c r="F35" s="20" t="e">
        <x:f>HYPERLINK("https://www.starwars.com/tv-shows/clone-wars/bounty-hunters-episode-guide","Episode guide")</x:f>
        <x:v>HYPERLINK is not implemented. linkLocation=https://www.starwars.com/tv-shows/clone-wars/bounty-hunters-episode-guide, friendlyName=Episode guide</x:v>
      </x:c>
      <x:c r="G35" s="20" t="e">
        <x:f>HYPERLINK("https://www.disneyplus.com/video/2bfad4dd-0bf4-4c76-a7ce-7e34df37618a?cid=DTCI-Synergy-DDN-Site-Acquisition-StarWars-US-StarWars-StarWarsTheCloneWars-EN-BlogArticleEmbed-TCWChronological_StreamOnDisneyPlusCTA-NA","Watch")</x:f>
        <x:v>HYPERLINK is not implemented. linkLocation=https://www.disneyplus.com/video/2bfad4dd-0bf4-4c76-a7ce-7e34df37618a?cid=DTCI-Synergy-DDN-Site-Acquisition-StarWars-US-StarWars-StarWarsTheCloneWars-EN-BlogArticleEmbed-TCWChronological_StreamOnDisneyPlusCTA-NA, friendlyName=Watch</x:v>
      </x:c>
    </x:row>
    <x:row r="36" s="23" customFormat="1" ht="30" customHeight="1">
      <x:c r="A36" s="21" t="b">
        <x:v>0</x:v>
      </x:c>
      <x:c r="B36" s="21" t="n">
        <x:v>30</x:v>
      </x:c>
      <x:c r="C36" s="21" t="inlineStr">
        <x:is>
          <x:t xml:space="preserve">218</x:t>
        </x:is>
      </x:c>
      <x:c r="D36" s="14" t="inlineStr">
        <x:is>
          <x:t xml:space="preserve">The Zillo Beast</x:t>
        </x:is>
      </x:c>
      <x:c r="E36" s="14" t="inlineStr">
        <x:is>
          <x:t xml:space="preserve">Season 2, Episode 18</x:t>
        </x:is>
      </x:c>
      <x:c r="F36" s="20" t="e">
        <x:f>HYPERLINK("https://www.starwars.com/tv-shows/clone-wars/the-zillo-beast-episode-guide","Episode guide")</x:f>
        <x:v>HYPERLINK is not implemented. linkLocation=https://www.starwars.com/tv-shows/clone-wars/the-zillo-beast-episode-guide, friendlyName=Episode guide</x:v>
      </x:c>
      <x:c r="G36" s="20" t="e">
        <x:f>HYPERLINK("https://www.disneyplus.com/video/13d1cbe9-abf9-4691-a407-228d16cfa48d?cid=DTCI-Synergy-DDN-Site-Acquisition-StarWars-US-StarWars-StarWarsTheCloneWars-EN-BlogArticleEmbed-TCWChronological_StreamOnDisneyPlusCTA-NA","Watch")</x:f>
        <x:v>HYPERLINK is not implemented. linkLocation=https://www.disneyplus.com/video/13d1cbe9-abf9-4691-a407-228d16cfa48d?cid=DTCI-Synergy-DDN-Site-Acquisition-StarWars-US-StarWars-StarWarsTheCloneWars-EN-BlogArticleEmbed-TCWChronological_StreamOnDisneyPlusCTA-NA, friendlyName=Watch</x:v>
      </x:c>
    </x:row>
    <x:row r="37" s="23" customFormat="1" ht="30" customHeight="1">
      <x:c r="A37" s="21" t="b">
        <x:v>0</x:v>
      </x:c>
      <x:c r="B37" s="21" t="n">
        <x:v>31</x:v>
      </x:c>
      <x:c r="C37" s="21" t="inlineStr">
        <x:is>
          <x:t xml:space="preserve">219</x:t>
        </x:is>
      </x:c>
      <x:c r="D37" s="14" t="inlineStr">
        <x:is>
          <x:t xml:space="preserve">The Zillo Beast Strikes Back</x:t>
        </x:is>
      </x:c>
      <x:c r="E37" s="14" t="inlineStr">
        <x:is>
          <x:t xml:space="preserve">Season 2, Episode 19</x:t>
        </x:is>
      </x:c>
      <x:c r="F37" s="20" t="e">
        <x:f>HYPERLINK("https://www.starwars.com/tv-shows/clone-wars/the-zillo-beast-strikes-back-episode-guide","Episode guide")</x:f>
        <x:v>HYPERLINK is not implemented. linkLocation=https://www.starwars.com/tv-shows/clone-wars/the-zillo-beast-strikes-back-episode-guide, friendlyName=Episode guide</x:v>
      </x:c>
      <x:c r="G37" s="20" t="e">
        <x:f>HYPERLINK("https://www.disneyplus.com/video/6f2cd6cf-8e7a-42e6-893a-6465f2683648?cid=DTCI-Synergy-DDN-Site-Acquisition-StarWars-US-StarWars-StarWarsTheCloneWars-EN-BlogArticleEmbed-TCWChronological_StreamOnDisneyPlusCTA-NA","Watch")</x:f>
        <x:v>HYPERLINK is not implemented. linkLocation=https://www.disneyplus.com/video/6f2cd6cf-8e7a-42e6-893a-6465f2683648?cid=DTCI-Synergy-DDN-Site-Acquisition-StarWars-US-StarWars-StarWarsTheCloneWars-EN-BlogArticleEmbed-TCWChronological_StreamOnDisneyPlusCTA-NA, friendlyName=Watch</x:v>
      </x:c>
    </x:row>
    <x:row r="38" s="23" customFormat="1" ht="30" customHeight="1">
      <x:c r="A38" s="21" t="b">
        <x:v>0</x:v>
      </x:c>
      <x:c r="B38" s="21" t="n">
        <x:v>32</x:v>
      </x:c>
      <x:c r="C38" s="21" t="inlineStr">
        <x:is>
          <x:t xml:space="preserve">204</x:t>
        </x:is>
      </x:c>
      <x:c r="D38" s="14" t="inlineStr">
        <x:is>
          <x:t xml:space="preserve">Senate Spy</x:t>
        </x:is>
      </x:c>
      <x:c r="E38" s="14" t="inlineStr">
        <x:is>
          <x:t xml:space="preserve">Season 2, Episode 4</x:t>
        </x:is>
      </x:c>
      <x:c r="F38" s="20" t="e">
        <x:f>HYPERLINK("https://www.starwars.com/tv-shows/clone-wars/senate-spy-episode-guide","Episode guide")</x:f>
        <x:v>HYPERLINK is not implemented. linkLocation=https://www.starwars.com/tv-shows/clone-wars/senate-spy-episode-guide, friendlyName=Episode guide</x:v>
      </x:c>
      <x:c r="G38" s="20" t="e">
        <x:f>HYPERLINK("https://www.disneyplus.com/video/094ea69a-1e8f-44cd-9ebb-1551993b5129?cid=DTCI-Synergy-DDN-Site-Acquisition-StarWars-US-StarWars-StarWarsTheCloneWars-EN-BlogArticleEmbed-TCWChronological_StreamOnDisneyPlusCTA-NA","Watch")</x:f>
        <x:v>HYPERLINK is not implemented. linkLocation=https://www.disneyplus.com/video/094ea69a-1e8f-44cd-9ebb-1551993b5129?cid=DTCI-Synergy-DDN-Site-Acquisition-StarWars-US-StarWars-StarWarsTheCloneWars-EN-BlogArticleEmbed-TCWChronological_StreamOnDisneyPlusCTA-NA, friendlyName=Watch</x:v>
      </x:c>
    </x:row>
    <x:row r="39" s="23" customFormat="1" ht="30" customHeight="1">
      <x:c r="A39" s="21" t="b">
        <x:v>0</x:v>
      </x:c>
      <x:c r="B39" s="21" t="n">
        <x:v>33</x:v>
      </x:c>
      <x:c r="C39" s="21" t="inlineStr">
        <x:is>
          <x:t xml:space="preserve">205</x:t>
        </x:is>
      </x:c>
      <x:c r="D39" s="14" t="inlineStr">
        <x:is>
          <x:t xml:space="preserve">Landing at Point Rain</x:t>
        </x:is>
      </x:c>
      <x:c r="E39" s="14" t="inlineStr">
        <x:is>
          <x:t xml:space="preserve">Season 2, Episode 5</x:t>
        </x:is>
      </x:c>
      <x:c r="F39" s="20" t="e">
        <x:f>HYPERLINK("https://www.starwars.com/tv-shows/clone-wars/landing-at-point-rain-episode-guide","Episode guide")</x:f>
        <x:v>HYPERLINK is not implemented. linkLocation=https://www.starwars.com/tv-shows/clone-wars/landing-at-point-rain-episode-guide, friendlyName=Episode guide</x:v>
      </x:c>
      <x:c r="G39" s="20" t="e">
        <x:f>HYPERLINK("https://www.disneyplus.com/video/6ba55d34-2db4-4f82-b219-fc82500ca89a?cid=DTCI-Synergy-DDN-Site-Acquisition-StarWars-US-StarWars-StarWarsTheCloneWars-EN-BlogArticleEmbed-TCWChronological_StreamOnDisneyPlusCTA-NA","Watch")</x:f>
        <x:v>HYPERLINK is not implemented. linkLocation=https://www.disneyplus.com/video/6ba55d34-2db4-4f82-b219-fc82500ca89a?cid=DTCI-Synergy-DDN-Site-Acquisition-StarWars-US-StarWars-StarWarsTheCloneWars-EN-BlogArticleEmbed-TCWChronological_StreamOnDisneyPlusCTA-NA, friendlyName=Watch</x:v>
      </x:c>
    </x:row>
    <x:row r="40" s="23" customFormat="1" ht="30" customHeight="1">
      <x:c r="A40" s="21" t="b">
        <x:v>0</x:v>
      </x:c>
      <x:c r="B40" s="21" t="n">
        <x:v>34</x:v>
      </x:c>
      <x:c r="C40" s="21" t="inlineStr">
        <x:is>
          <x:t xml:space="preserve">206</x:t>
        </x:is>
      </x:c>
      <x:c r="D40" s="14" t="inlineStr">
        <x:is>
          <x:t xml:space="preserve">Weapons Factory</x:t>
        </x:is>
      </x:c>
      <x:c r="E40" s="14" t="inlineStr">
        <x:is>
          <x:t xml:space="preserve">Season 2, Episode 6</x:t>
        </x:is>
      </x:c>
      <x:c r="F40" s="20" t="e">
        <x:f>HYPERLINK("https://www.starwars.com/tv-shows/clone-wars/weapons-factory-episode-guide","Episode guide")</x:f>
        <x:v>HYPERLINK is not implemented. linkLocation=https://www.starwars.com/tv-shows/clone-wars/weapons-factory-episode-guide, friendlyName=Episode guide</x:v>
      </x:c>
      <x:c r="G40" s="20" t="e">
        <x:f>HYPERLINK("https://www.disneyplus.com/video/a4fc767f-a20d-4fb6-b8ce-5e9b6ec80dac?cid=DTCI-Synergy-DDN-Site-Acquisition-StarWars-US-StarWars-StarWarsTheCloneWars-EN-BlogArticleEmbed-TCWChronological_StreamOnDisneyPlusCTA-NA","Watch")</x:f>
        <x:v>HYPERLINK is not implemented. linkLocation=https://www.disneyplus.com/video/a4fc767f-a20d-4fb6-b8ce-5e9b6ec80dac?cid=DTCI-Synergy-DDN-Site-Acquisition-StarWars-US-StarWars-StarWarsTheCloneWars-EN-BlogArticleEmbed-TCWChronological_StreamOnDisneyPlusCTA-NA, friendlyName=Watch</x:v>
      </x:c>
    </x:row>
    <x:row r="41" s="23" customFormat="1" ht="30" customHeight="1">
      <x:c r="A41" s="21" t="b">
        <x:v>0</x:v>
      </x:c>
      <x:c r="B41" s="21" t="n">
        <x:v>35</x:v>
      </x:c>
      <x:c r="C41" s="21" t="inlineStr">
        <x:is>
          <x:t xml:space="preserve">207</x:t>
        </x:is>
      </x:c>
      <x:c r="D41" s="14" t="inlineStr">
        <x:is>
          <x:t xml:space="preserve">Legacy of Terror</x:t>
        </x:is>
      </x:c>
      <x:c r="E41" s="14" t="inlineStr">
        <x:is>
          <x:t xml:space="preserve">Season 2, Episode 7</x:t>
        </x:is>
      </x:c>
      <x:c r="F41" s="20" t="e">
        <x:f>HYPERLINK("https://www.starwars.com/tv-shows/clone-wars/legacy-of-terror-episode-guide","Episode guide")</x:f>
        <x:v>HYPERLINK is not implemented. linkLocation=https://www.starwars.com/tv-shows/clone-wars/legacy-of-terror-episode-guide, friendlyName=Episode guide</x:v>
      </x:c>
      <x:c r="G41" s="20" t="e">
        <x:f>HYPERLINK("https://www.disneyplus.com/video/ed8f1cb7-f3e3-4ab0-af03-888ba8b20d25?cid=DTCI-Synergy-DDN-Site-Acquisition-StarWars-US-StarWars-StarWarsTheCloneWars-EN-BlogArticleEmbed-TCWChronological_StreamOnDisneyPlusCTA-NA","Watch")</x:f>
        <x:v>HYPERLINK is not implemented. linkLocation=https://www.disneyplus.com/video/ed8f1cb7-f3e3-4ab0-af03-888ba8b20d25?cid=DTCI-Synergy-DDN-Site-Acquisition-StarWars-US-StarWars-StarWarsTheCloneWars-EN-BlogArticleEmbed-TCWChronological_StreamOnDisneyPlusCTA-NA, friendlyName=Watch</x:v>
      </x:c>
    </x:row>
    <x:row r="42" s="23" customFormat="1" ht="30" customHeight="1">
      <x:c r="A42" s="21" t="b">
        <x:v>0</x:v>
      </x:c>
      <x:c r="B42" s="21" t="n">
        <x:v>36</x:v>
      </x:c>
      <x:c r="C42" s="21" t="inlineStr">
        <x:is>
          <x:t xml:space="preserve">208</x:t>
        </x:is>
      </x:c>
      <x:c r="D42" s="14" t="inlineStr">
        <x:is>
          <x:t xml:space="preserve">Brain Invaders</x:t>
        </x:is>
      </x:c>
      <x:c r="E42" s="14" t="inlineStr">
        <x:is>
          <x:t xml:space="preserve">Season 2, Episode 8</x:t>
        </x:is>
      </x:c>
      <x:c r="F42" s="20" t="e">
        <x:f>HYPERLINK("https://www.starwars.com/tv-shows/clone-wars/brain-invaders-episode-guide","Episode guide")</x:f>
        <x:v>HYPERLINK is not implemented. linkLocation=https://www.starwars.com/tv-shows/clone-wars/brain-invaders-episode-guide, friendlyName=Episode guide</x:v>
      </x:c>
      <x:c r="G42" s="20" t="e">
        <x:f>HYPERLINK("https://www.disneyplus.com/video/521b49b5-26a5-4153-af04-3fc40e4ececd?cid=DTCI-Synergy-DDN-Site-Acquisition-StarWars-US-StarWars-StarWarsTheCloneWars-EN-BlogArticleEmbed-TCWChronological_StreamOnDisneyPlusCTA-NA","Watch")</x:f>
        <x:v>HYPERLINK is not implemented. linkLocation=https://www.disneyplus.com/video/521b49b5-26a5-4153-af04-3fc40e4ececd?cid=DTCI-Synergy-DDN-Site-Acquisition-StarWars-US-StarWars-StarWarsTheCloneWars-EN-BlogArticleEmbed-TCWChronological_StreamOnDisneyPlusCTA-NA, friendlyName=Watch</x:v>
      </x:c>
    </x:row>
    <x:row r="43" s="23" customFormat="1" ht="30" customHeight="1">
      <x:c r="A43" s="21" t="b">
        <x:v>0</x:v>
      </x:c>
      <x:c r="B43" s="21" t="n">
        <x:v>37</x:v>
      </x:c>
      <x:c r="C43" s="21" t="inlineStr">
        <x:is>
          <x:t xml:space="preserve">209</x:t>
        </x:is>
      </x:c>
      <x:c r="D43" s="14" t="inlineStr">
        <x:is>
          <x:t xml:space="preserve">Grievous Intrigue</x:t>
        </x:is>
      </x:c>
      <x:c r="E43" s="14" t="inlineStr">
        <x:is>
          <x:t xml:space="preserve">Season 2, Episode 9</x:t>
        </x:is>
      </x:c>
      <x:c r="F43" s="20" t="e">
        <x:f>HYPERLINK("https://www.starwars.com/tv-shows/clone-wars/grievous-intrigue-episode-guide","Episode guide")</x:f>
        <x:v>HYPERLINK is not implemented. linkLocation=https://www.starwars.com/tv-shows/clone-wars/grievous-intrigue-episode-guide, friendlyName=Episode guide</x:v>
      </x:c>
      <x:c r="G43" s="20" t="e">
        <x:f>HYPERLINK("https://www.disneyplus.com/video/83357ef1-f768-4f3b-8b03-2f0c2e4617e7?cid=DTCI-Synergy-DDN-Site-Acquisition-StarWars-US-StarWars-StarWarsTheCloneWars-EN-BlogArticleEmbed-TCWChronological_StreamOnDisneyPlusCTA-NA","Watch")</x:f>
        <x:v>HYPERLINK is not implemented. linkLocation=https://www.disneyplus.com/video/83357ef1-f768-4f3b-8b03-2f0c2e4617e7?cid=DTCI-Synergy-DDN-Site-Acquisition-StarWars-US-StarWars-StarWarsTheCloneWars-EN-BlogArticleEmbed-TCWChronological_StreamOnDisneyPlusCTA-NA, friendlyName=Watch</x:v>
      </x:c>
    </x:row>
    <x:row r="44" s="23" customFormat="1" ht="30" customHeight="1">
      <x:c r="A44" s="21" t="b">
        <x:v>0</x:v>
      </x:c>
      <x:c r="B44" s="21" t="n">
        <x:v>38</x:v>
      </x:c>
      <x:c r="C44" s="21" t="inlineStr">
        <x:is>
          <x:t xml:space="preserve">210</x:t>
        </x:is>
      </x:c>
      <x:c r="D44" s="14" t="inlineStr">
        <x:is>
          <x:t xml:space="preserve">The Deserter</x:t>
        </x:is>
      </x:c>
      <x:c r="E44" s="14" t="inlineStr">
        <x:is>
          <x:t xml:space="preserve">Season 2, Episode 10</x:t>
        </x:is>
      </x:c>
      <x:c r="F44" s="20" t="e">
        <x:f>HYPERLINK("https://www.starwars.com/tv-shows/clone-wars/the-deserter-episode-guide","Episode guide")</x:f>
        <x:v>HYPERLINK is not implemented. linkLocation=https://www.starwars.com/tv-shows/clone-wars/the-deserter-episode-guide, friendlyName=Episode guide</x:v>
      </x:c>
      <x:c r="G44" s="20" t="e">
        <x:f>HYPERLINK("https://www.disneyplus.com/video/09f9af96-40bd-4e9a-a18d-92fb9f373298?cid=DTCI-Synergy-DDN-Site-Acquisition-StarWars-US-StarWars-StarWarsTheCloneWars-EN-BlogArticleEmbed-TCWChronological_StreamOnDisneyPlusCTA-NA","Watch")</x:f>
        <x:v>HYPERLINK is not implemented. linkLocation=https://www.disneyplus.com/video/09f9af96-40bd-4e9a-a18d-92fb9f373298?cid=DTCI-Synergy-DDN-Site-Acquisition-StarWars-US-StarWars-StarWarsTheCloneWars-EN-BlogArticleEmbed-TCWChronological_StreamOnDisneyPlusCTA-NA, friendlyName=Watch</x:v>
      </x:c>
    </x:row>
    <x:row r="45" s="23" customFormat="1" ht="30" customHeight="1">
      <x:c r="A45" s="21" t="b">
        <x:v>0</x:v>
      </x:c>
      <x:c r="B45" s="21" t="n">
        <x:v>39</x:v>
      </x:c>
      <x:c r="C45" s="21" t="inlineStr">
        <x:is>
          <x:t xml:space="preserve">211</x:t>
        </x:is>
      </x:c>
      <x:c r="D45" s="14" t="inlineStr">
        <x:is>
          <x:t xml:space="preserve">Lightsaber Lost</x:t>
        </x:is>
      </x:c>
      <x:c r="E45" s="14" t="inlineStr">
        <x:is>
          <x:t xml:space="preserve">Season 2, Episode 11</x:t>
        </x:is>
      </x:c>
      <x:c r="F45" s="20" t="e">
        <x:f>HYPERLINK("https://www.starwars.com/tv-shows/clone-wars/lightsaber-lost-episode-guide","Episode guide")</x:f>
        <x:v>HYPERLINK is not implemented. linkLocation=https://www.starwars.com/tv-shows/clone-wars/lightsaber-lost-episode-guide, friendlyName=Episode guide</x:v>
      </x:c>
      <x:c r="G45" s="20" t="e">
        <x:f>HYPERLINK("https://www.disneyplus.com/video/07c0124a-5234-4c58-a2f0-79508e3b14b6?cid=DTCI-Synergy-DDN-Site-Acquisition-StarWars-US-StarWars-StarWarsTheCloneWars-EN-BlogArticleEmbed-TCWChronological_StreamOnDisneyPlusCTA-NA","Watch")</x:f>
        <x:v>HYPERLINK is not implemented. linkLocation=https://www.disneyplus.com/video/07c0124a-5234-4c58-a2f0-79508e3b14b6?cid=DTCI-Synergy-DDN-Site-Acquisition-StarWars-US-StarWars-StarWarsTheCloneWars-EN-BlogArticleEmbed-TCWChronological_StreamOnDisneyPlusCTA-NA, friendlyName=Watch</x:v>
      </x:c>
    </x:row>
    <x:row r="46" s="23" customFormat="1" ht="30" customHeight="1">
      <x:c r="A46" s="21" t="b">
        <x:v>0</x:v>
      </x:c>
      <x:c r="B46" s="21" t="n">
        <x:v>40</x:v>
      </x:c>
      <x:c r="C46" s="21" t="inlineStr">
        <x:is>
          <x:t xml:space="preserve">212</x:t>
        </x:is>
      </x:c>
      <x:c r="D46" s="14" t="inlineStr">
        <x:is>
          <x:t xml:space="preserve">The Mandalore Plot</x:t>
        </x:is>
      </x:c>
      <x:c r="E46" s="14" t="inlineStr">
        <x:is>
          <x:t xml:space="preserve">Season 2, Episode 12</x:t>
        </x:is>
      </x:c>
      <x:c r="F46" s="20" t="e">
        <x:f>HYPERLINK("https://www.starwars.com/tv-shows/clone-wars/the-mandalore-plot-episode-guide","Episode guide")</x:f>
        <x:v>HYPERLINK is not implemented. linkLocation=https://www.starwars.com/tv-shows/clone-wars/the-mandalore-plot-episode-guide, friendlyName=Episode guide</x:v>
      </x:c>
      <x:c r="G46" s="20" t="e">
        <x:f>HYPERLINK("https://www.disneyplus.com/video/91d2a7e2-8eb1-411d-941e-4bd8babe4e55?cid=DTCI-Synergy-DDN-Site-Acquisition-StarWars-US-StarWars-StarWarsTheCloneWars-EN-BlogArticleEmbed-TCWChronological_StreamOnDisneyPlusCTA-NA","Watch")</x:f>
        <x:v>HYPERLINK is not implemented. linkLocation=https://www.disneyplus.com/video/91d2a7e2-8eb1-411d-941e-4bd8babe4e55?cid=DTCI-Synergy-DDN-Site-Acquisition-StarWars-US-StarWars-StarWarsTheCloneWars-EN-BlogArticleEmbed-TCWChronological_StreamOnDisneyPlusCTA-NA, friendlyName=Watch</x:v>
      </x:c>
    </x:row>
    <x:row r="47" s="23" customFormat="1" ht="30" customHeight="1">
      <x:c r="A47" s="21" t="b">
        <x:v>0</x:v>
      </x:c>
      <x:c r="B47" s="21" t="n">
        <x:v>41</x:v>
      </x:c>
      <x:c r="C47" s="21" t="inlineStr">
        <x:is>
          <x:t xml:space="preserve">213</x:t>
        </x:is>
      </x:c>
      <x:c r="D47" s="14" t="inlineStr">
        <x:is>
          <x:t xml:space="preserve">Voyage of Temptation</x:t>
        </x:is>
      </x:c>
      <x:c r="E47" s="14" t="inlineStr">
        <x:is>
          <x:t xml:space="preserve">Season 2, Episode 13</x:t>
        </x:is>
      </x:c>
      <x:c r="F47" s="20" t="e">
        <x:f>HYPERLINK("https://www.starwars.com/tv-shows/clone-wars/voyage-of-temptation-episode-guide","Episode guide")</x:f>
        <x:v>HYPERLINK is not implemented. linkLocation=https://www.starwars.com/tv-shows/clone-wars/voyage-of-temptation-episode-guide, friendlyName=Episode guide</x:v>
      </x:c>
      <x:c r="G47" s="20" t="e">
        <x:f>HYPERLINK("https://www.disneyplus.com/video/9d2c4240-5a2e-4f2a-ab88-628a5dc68540?cid=DTCI-Synergy-DDN-Site-Acquisition-StarWars-US-StarWars-StarWarsTheCloneWars-EN-BlogArticleEmbed-TCWChronological_StreamOnDisneyPlusCTA-NA","Watch")</x:f>
        <x:v>HYPERLINK is not implemented. linkLocation=https://www.disneyplus.com/video/9d2c4240-5a2e-4f2a-ab88-628a5dc68540?cid=DTCI-Synergy-DDN-Site-Acquisition-StarWars-US-StarWars-StarWarsTheCloneWars-EN-BlogArticleEmbed-TCWChronological_StreamOnDisneyPlusCTA-NA, friendlyName=Watch</x:v>
      </x:c>
    </x:row>
    <x:row r="48" s="23" customFormat="1" ht="30" customHeight="1">
      <x:c r="A48" s="21" t="b">
        <x:v>0</x:v>
      </x:c>
      <x:c r="B48" s="21" t="n">
        <x:v>42</x:v>
      </x:c>
      <x:c r="C48" s="21" t="inlineStr">
        <x:is>
          <x:t xml:space="preserve">214</x:t>
        </x:is>
      </x:c>
      <x:c r="D48" s="14" t="inlineStr">
        <x:is>
          <x:t xml:space="preserve">Duchess of Mandalore</x:t>
        </x:is>
      </x:c>
      <x:c r="E48" s="14" t="inlineStr">
        <x:is>
          <x:t xml:space="preserve">Season 2, Episode 14</x:t>
        </x:is>
      </x:c>
      <x:c r="F48" s="20" t="e">
        <x:f>HYPERLINK("https://www.starwars.com/tv-shows/clone-wars/duchess-of-mandalore-episode-guide","Episode guide")</x:f>
        <x:v>HYPERLINK is not implemented. linkLocation=https://www.starwars.com/tv-shows/clone-wars/duchess-of-mandalore-episode-guide, friendlyName=Episode guide</x:v>
      </x:c>
      <x:c r="G48" s="20" t="e">
        <x:f>HYPERLINK("https://www.disneyplus.com/video/9aedb852-9abb-4c59-95c3-58f1bfb0cef6?cid=DTCI-Synergy-DDN-Site-Acquisition-StarWars-US-StarWars-StarWarsTheCloneWars-EN-BlogArticleEmbed-TCWChronological_StreamOnDisneyPlusCTA-NA","Watch")</x:f>
        <x:v>HYPERLINK is not implemented. linkLocation=https://www.disneyplus.com/video/9aedb852-9abb-4c59-95c3-58f1bfb0cef6?cid=DTCI-Synergy-DDN-Site-Acquisition-StarWars-US-StarWars-StarWarsTheCloneWars-EN-BlogArticleEmbed-TCWChronological_StreamOnDisneyPlusCTA-NA, friendlyName=Watch</x:v>
      </x:c>
    </x:row>
    <x:row r="49" s="23" customFormat="1" ht="30" customHeight="1">
      <x:c r="A49" s="21" t="b">
        <x:v>0</x:v>
      </x:c>
      <x:c r="B49" s="21" t="n">
        <x:v>43</x:v>
      </x:c>
      <x:c r="C49" s="21" t="inlineStr">
        <x:is>
          <x:t xml:space="preserve">220</x:t>
        </x:is>
      </x:c>
      <x:c r="D49" s="14" t="inlineStr">
        <x:is>
          <x:t xml:space="preserve">Death Trap</x:t>
        </x:is>
      </x:c>
      <x:c r="E49" s="14" t="inlineStr">
        <x:is>
          <x:t xml:space="preserve">Season 2, Episode 20</x:t>
        </x:is>
      </x:c>
      <x:c r="F49" s="20" t="e">
        <x:f>HYPERLINK("https://www.starwars.com/series/clone-wars/death-trap-episode-guide","Episode guide")</x:f>
        <x:v>HYPERLINK is not implemented. linkLocation=https://www.starwars.com/series/clone-wars/death-trap-episode-guide, friendlyName=Episode guide</x:v>
      </x:c>
      <x:c r="G49" s="20" t="e">
        <x:f>HYPERLINK("https://www.disneyplus.com/video/c60abd64-34bd-4141-ab53-3a265a929a7b?cid=DTCI-Synergy-DDN-Site-Acquisition-StarWars-US-StarWars-StarWarsTheCloneWars-EN-BlogArticleEmbed-TCWChronological_StreamOnDisneyPlusCTA-NA","Watch")</x:f>
        <x:v>HYPERLINK is not implemented. linkLocation=https://www.disneyplus.com/video/c60abd64-34bd-4141-ab53-3a265a929a7b?cid=DTCI-Synergy-DDN-Site-Acquisition-StarWars-US-StarWars-StarWarsTheCloneWars-EN-BlogArticleEmbed-TCWChronological_StreamOnDisneyPlusCTA-NA, friendlyName=Watch</x:v>
      </x:c>
    </x:row>
    <x:row r="50" s="23" customFormat="1" ht="30" customHeight="1">
      <x:c r="A50" s="21" t="b">
        <x:v>0</x:v>
      </x:c>
      <x:c r="B50" s="21" t="n">
        <x:v>44</x:v>
      </x:c>
      <x:c r="C50" s="21" t="inlineStr">
        <x:is>
          <x:t xml:space="preserve">221</x:t>
        </x:is>
      </x:c>
      <x:c r="D50" s="14" t="inlineStr">
        <x:is>
          <x:t xml:space="preserve">R2 Come Home</x:t>
        </x:is>
      </x:c>
      <x:c r="E50" s="14" t="inlineStr">
        <x:is>
          <x:t xml:space="preserve">Season 2, Episode 21</x:t>
        </x:is>
      </x:c>
      <x:c r="F50" s="20" t="e">
        <x:f>HYPERLINK("https://www.starwars.com/tv-shows/clone-wars/r2-come-home-episode-guide","Episode guide")</x:f>
        <x:v>HYPERLINK is not implemented. linkLocation=https://www.starwars.com/tv-shows/clone-wars/r2-come-home-episode-guide, friendlyName=Episode guide</x:v>
      </x:c>
      <x:c r="G50" s="20" t="e">
        <x:f>HYPERLINK("https://www.disneyplus.com/video/28034e35-c413-4219-8072-444cef55bd64?cid=DTCI-Synergy-DDN-Site-Acquisition-StarWars-US-StarWars-StarWarsTheCloneWars-EN-BlogArticleEmbed-TCWChronological_StreamOnDisneyPlusCTA-NA","Watch")</x:f>
        <x:v>HYPERLINK is not implemented. linkLocation=https://www.disneyplus.com/video/28034e35-c413-4219-8072-444cef55bd64?cid=DTCI-Synergy-DDN-Site-Acquisition-StarWars-US-StarWars-StarWarsTheCloneWars-EN-BlogArticleEmbed-TCWChronological_StreamOnDisneyPlusCTA-NA, friendlyName=Watch</x:v>
      </x:c>
    </x:row>
    <x:row r="51" s="23" customFormat="1" ht="30" customHeight="1">
      <x:c r="A51" s="21" t="b">
        <x:v>0</x:v>
      </x:c>
      <x:c r="B51" s="21" t="n">
        <x:v>45</x:v>
      </x:c>
      <x:c r="C51" s="21" t="inlineStr">
        <x:is>
          <x:t xml:space="preserve">222</x:t>
        </x:is>
      </x:c>
      <x:c r="D51" s="14" t="inlineStr">
        <x:is>
          <x:t xml:space="preserve">Lethal Trackdown</x:t>
        </x:is>
      </x:c>
      <x:c r="E51" s="14" t="inlineStr">
        <x:is>
          <x:t xml:space="preserve">Season 2, Episode 22</x:t>
        </x:is>
      </x:c>
      <x:c r="F51" s="20" t="e">
        <x:f>HYPERLINK("https://www.starwars.com/tv-shows/clone-wars/lethal-trackdown-episode-guide","Episode guide")</x:f>
        <x:v>HYPERLINK is not implemented. linkLocation=https://www.starwars.com/tv-shows/clone-wars/lethal-trackdown-episode-guide, friendlyName=Episode guide</x:v>
      </x:c>
      <x:c r="G51" s="20" t="e">
        <x:f>HYPERLINK("https://www.disneyplus.com/video/eccba821-6a8a-4007-8ea2-1995ffe5637d?cid=DTCI-Synergy-DDN-Site-Acquisition-StarWars-US-StarWars-StarWarsTheCloneWars-EN-BlogArticleEmbed-TCWChronological_StreamOnDisneyPlusCTA-NA","Watch")</x:f>
        <x:v>HYPERLINK is not implemented. linkLocation=https://www.disneyplus.com/video/eccba821-6a8a-4007-8ea2-1995ffe5637d?cid=DTCI-Synergy-DDN-Site-Acquisition-StarWars-US-StarWars-StarWarsTheCloneWars-EN-BlogArticleEmbed-TCWChronological_StreamOnDisneyPlusCTA-NA, friendlyName=Watch</x:v>
      </x:c>
    </x:row>
    <x:row r="52" s="23" customFormat="1" ht="30" customHeight="1">
      <x:c r="A52" s="21" t="b">
        <x:v>0</x:v>
      </x:c>
      <x:c r="B52" s="21" t="n">
        <x:v>46</x:v>
      </x:c>
      <x:c r="C52" s="21" t="inlineStr">
        <x:is>
          <x:t xml:space="preserve">305</x:t>
        </x:is>
      </x:c>
      <x:c r="D52" s="14" t="inlineStr">
        <x:is>
          <x:t xml:space="preserve">Corruption</x:t>
        </x:is>
      </x:c>
      <x:c r="E52" s="14" t="inlineStr">
        <x:is>
          <x:t xml:space="preserve">Season 3, Episode 5</x:t>
        </x:is>
      </x:c>
      <x:c r="F52" s="20" t="e">
        <x:f>HYPERLINK("https://www.starwars.com/tv-shows/clone-wars/corruption-episode-guide","Episode guide")</x:f>
        <x:v>HYPERLINK is not implemented. linkLocation=https://www.starwars.com/tv-shows/clone-wars/corruption-episode-guide, friendlyName=Episode guide</x:v>
      </x:c>
      <x:c r="G52" s="20" t="e">
        <x:f>HYPERLINK("https://www.disneyplus.com/video/3ce7a07a-460a-4e02-9fe9-e7240bff2b01?cid=DTCI-Synergy-DDN-Site-Acquisition-StarWars-US-StarWars-StarWarsTheCloneWars-EN-BlogArticleEmbed-TCWChronological_StreamOnDisneyPlusCTA-NA","Watch")</x:f>
        <x:v>HYPERLINK is not implemented. linkLocation=https://www.disneyplus.com/video/3ce7a07a-460a-4e02-9fe9-e7240bff2b01?cid=DTCI-Synergy-DDN-Site-Acquisition-StarWars-US-StarWars-StarWarsTheCloneWars-EN-BlogArticleEmbed-TCWChronological_StreamOnDisneyPlusCTA-NA, friendlyName=Watch</x:v>
      </x:c>
    </x:row>
    <x:row r="53" s="23" customFormat="1" ht="30" customHeight="1">
      <x:c r="A53" s="21" t="b">
        <x:v>0</x:v>
      </x:c>
      <x:c r="B53" s="21" t="n">
        <x:v>47</x:v>
      </x:c>
      <x:c r="C53" s="21" t="inlineStr">
        <x:is>
          <x:t xml:space="preserve">306</x:t>
        </x:is>
      </x:c>
      <x:c r="D53" s="14" t="inlineStr">
        <x:is>
          <x:t xml:space="preserve">The Academy</x:t>
        </x:is>
      </x:c>
      <x:c r="E53" s="14" t="inlineStr">
        <x:is>
          <x:t xml:space="preserve">Season 3, Episode 6</x:t>
        </x:is>
      </x:c>
      <x:c r="F53" s="20" t="e">
        <x:f>HYPERLINK("https://www.starwars.com/tv-shows/clone-wars/the-academy-episode-guide","Episode guide")</x:f>
        <x:v>HYPERLINK is not implemented. linkLocation=https://www.starwars.com/tv-shows/clone-wars/the-academy-episode-guide, friendlyName=Episode guide</x:v>
      </x:c>
      <x:c r="G53" s="20" t="e">
        <x:f>HYPERLINK("https://www.disneyplus.com/video/f464497e-a4e5-44db-922e-d44d1a70fd73?cid=DTCI-Synergy-DDN-Site-Acquisition-StarWars-US-StarWars-StarWarsTheCloneWars-EN-BlogArticleEmbed-TCWChronological_StreamOnDisneyPlusCTA-NA","Watch")</x:f>
        <x:v>HYPERLINK is not implemented. linkLocation=https://www.disneyplus.com/video/f464497e-a4e5-44db-922e-d44d1a70fd73?cid=DTCI-Synergy-DDN-Site-Acquisition-StarWars-US-StarWars-StarWarsTheCloneWars-EN-BlogArticleEmbed-TCWChronological_StreamOnDisneyPlusCTA-NA, friendlyName=Watch</x:v>
      </x:c>
    </x:row>
    <x:row r="54" s="23" customFormat="1" ht="30" customHeight="1">
      <x:c r="A54" s="21" t="b">
        <x:v>0</x:v>
      </x:c>
      <x:c r="B54" s="21" t="n">
        <x:v>48</x:v>
      </x:c>
      <x:c r="C54" s="21" t="inlineStr">
        <x:is>
          <x:t xml:space="preserve">307</x:t>
        </x:is>
      </x:c>
      <x:c r="D54" s="14" t="inlineStr">
        <x:is>
          <x:t xml:space="preserve">Assassin</x:t>
        </x:is>
      </x:c>
      <x:c r="E54" s="14" t="inlineStr">
        <x:is>
          <x:t xml:space="preserve">Season 3, Episode 7</x:t>
        </x:is>
      </x:c>
      <x:c r="F54" s="20" t="e">
        <x:f>HYPERLINK("https://www.starwars.com/tv-shows/clone-wars/assassin-episode-guide","Episode guide")</x:f>
        <x:v>HYPERLINK is not implemented. linkLocation=https://www.starwars.com/tv-shows/clone-wars/assassin-episode-guide, friendlyName=Episode guide</x:v>
      </x:c>
      <x:c r="G54" s="20" t="e">
        <x:f>HYPERLINK("https://www.disneyplus.com/video/652f203c-8b9a-4b3f-981a-59915aa99cfb?cid=DTCI-Synergy-DDN-Site-Acquisition-StarWars-US-StarWars-StarWarsTheCloneWars-EN-BlogArticleEmbed-TCWChronological_StreamOnDisneyPlusCTA-NA","Watch")</x:f>
        <x:v>HYPERLINK is not implemented. linkLocation=https://www.disneyplus.com/video/652f203c-8b9a-4b3f-981a-59915aa99cfb?cid=DTCI-Synergy-DDN-Site-Acquisition-StarWars-US-StarWars-StarWarsTheCloneWars-EN-BlogArticleEmbed-TCWChronological_StreamOnDisneyPlusCTA-NA, friendlyName=Watch</x:v>
      </x:c>
    </x:row>
    <x:row r="55" s="23" customFormat="1" ht="30" customHeight="1">
      <x:c r="A55" s="21" t="b">
        <x:v>0</x:v>
      </x:c>
      <x:c r="B55" s="21" t="n">
        <x:v>49</x:v>
      </x:c>
      <x:c r="C55" s="21" t="inlineStr">
        <x:is>
          <x:t xml:space="preserve">302</x:t>
        </x:is>
      </x:c>
      <x:c r="D55" s="14" t="inlineStr">
        <x:is>
          <x:t xml:space="preserve">ARC Troopers</x:t>
        </x:is>
      </x:c>
      <x:c r="E55" s="14" t="inlineStr">
        <x:is>
          <x:t xml:space="preserve">Season 3, Episode 2</x:t>
        </x:is>
      </x:c>
      <x:c r="F55" s="20" t="e">
        <x:f>HYPERLINK("https://www.starwars.com/tv-shows/clone-wars/arc-troopers-episode-guide","Episode guide")</x:f>
        <x:v>HYPERLINK is not implemented. linkLocation=https://www.starwars.com/tv-shows/clone-wars/arc-troopers-episode-guide, friendlyName=Episode guide</x:v>
      </x:c>
      <x:c r="G55" s="20" t="e">
        <x:f>HYPERLINK("https://www.disneyplus.com/video/6e2c8c2f-a7ce-49d5-ad90-88f4a97eb303?cid=DTCI-Synergy-DDN-Site-Acquisition-StarWars-US-StarWars-StarWarsTheCloneWars-EN-BlogArticleEmbed-TCWChronological_StreamOnDisneyPlusCTA-NA","Watch")</x:f>
        <x:v>HYPERLINK is not implemented. linkLocation=https://www.disneyplus.com/video/6e2c8c2f-a7ce-49d5-ad90-88f4a97eb303?cid=DTCI-Synergy-DDN-Site-Acquisition-StarWars-US-StarWars-StarWarsTheCloneWars-EN-BlogArticleEmbed-TCWChronological_StreamOnDisneyPlusCTA-NA, friendlyName=Watch</x:v>
      </x:c>
    </x:row>
    <x:row r="56" s="23" customFormat="1" ht="30" customHeight="1">
      <x:c r="A56" s="21" t="b">
        <x:v>0</x:v>
      </x:c>
      <x:c r="B56" s="21" t="n">
        <x:v>50</x:v>
      </x:c>
      <x:c r="C56" s="21" t="inlineStr">
        <x:is>
          <x:t xml:space="preserve">304</x:t>
        </x:is>
      </x:c>
      <x:c r="D56" s="14" t="inlineStr">
        <x:is>
          <x:t xml:space="preserve">Sphere of Influence</x:t>
        </x:is>
      </x:c>
      <x:c r="E56" s="14" t="inlineStr">
        <x:is>
          <x:t xml:space="preserve">Season 3, Episode 4</x:t>
        </x:is>
      </x:c>
      <x:c r="F56" s="20" t="e">
        <x:f>HYPERLINK("https://www.starwars.com/tv-shows/clone-wars/sphere-of-influence-episode-guide","Episode guide")</x:f>
        <x:v>HYPERLINK is not implemented. linkLocation=https://www.starwars.com/tv-shows/clone-wars/sphere-of-influence-episode-guide, friendlyName=Episode guide</x:v>
      </x:c>
      <x:c r="G56" s="20" t="e">
        <x:f>HYPERLINK("https://www.disneyplus.com/video/b091b508-0880-4cb6-9d2b-24c2075acd52?cid=DTCI-Synergy-DDN-Site-Acquisition-StarWars-US-StarWars-StarWarsTheCloneWars-EN-BlogArticleEmbed-TCWChronological_StreamOnDisneyPlusCTA-NA","Watch")</x:f>
        <x:v>HYPERLINK is not implemented. linkLocation=https://www.disneyplus.com/video/b091b508-0880-4cb6-9d2b-24c2075acd52?cid=DTCI-Synergy-DDN-Site-Acquisition-StarWars-US-StarWars-StarWarsTheCloneWars-EN-BlogArticleEmbed-TCWChronological_StreamOnDisneyPlusCTA-NA, friendlyName=Watch</x:v>
      </x:c>
    </x:row>
    <x:row r="57" s="23" customFormat="1" ht="30" customHeight="1">
      <x:c r="A57" s="21" t="b">
        <x:v>0</x:v>
      </x:c>
      <x:c r="B57" s="21" t="n">
        <x:v>51</x:v>
      </x:c>
      <x:c r="C57" s="21" t="inlineStr">
        <x:is>
          <x:t xml:space="preserve">308</x:t>
        </x:is>
      </x:c>
      <x:c r="D57" s="14" t="inlineStr">
        <x:is>
          <x:t xml:space="preserve">Evil Plans</x:t>
        </x:is>
      </x:c>
      <x:c r="E57" s="14" t="inlineStr">
        <x:is>
          <x:t xml:space="preserve">Season 3, Episode 8</x:t>
        </x:is>
      </x:c>
      <x:c r="F57" s="20" t="e">
        <x:f>HYPERLINK("https://www.starwars.com/tv-shows/clone-wars/evil-plans-episode-guide","Episode guide")</x:f>
        <x:v>HYPERLINK is not implemented. linkLocation=https://www.starwars.com/tv-shows/clone-wars/evil-plans-episode-guide, friendlyName=Episode guide</x:v>
      </x:c>
      <x:c r="G57" s="20" t="e">
        <x:f>HYPERLINK("https://www.disneyplus.com/video/c69bad71-ab68-4c2c-8da7-add1e929b6bd?cid=DTCI-Synergy-DDN-Site-Acquisition-StarWars-US-StarWars-StarWarsTheCloneWars-EN-BlogArticleEmbed-TCWChronological_StreamOnDisneyPlusCTA-NA","Watch")</x:f>
        <x:v>HYPERLINK is not implemented. linkLocation=https://www.disneyplus.com/video/c69bad71-ab68-4c2c-8da7-add1e929b6bd?cid=DTCI-Synergy-DDN-Site-Acquisition-StarWars-US-StarWars-StarWarsTheCloneWars-EN-BlogArticleEmbed-TCWChronological_StreamOnDisneyPlusCTA-NA, friendlyName=Watch</x:v>
      </x:c>
    </x:row>
    <x:row r="58" s="23" customFormat="1" ht="30" customHeight="1">
      <x:c r="A58" s="21" t="b">
        <x:v>0</x:v>
      </x:c>
      <x:c r="B58" s="21" t="n">
        <x:v>52</x:v>
      </x:c>
      <x:c r="C58" s="21" t="inlineStr">
        <x:is>
          <x:t xml:space="preserve">122</x:t>
        </x:is>
      </x:c>
      <x:c r="D58" s="14" t="inlineStr">
        <x:is>
          <x:t xml:space="preserve">Hostage Crisis</x:t>
        </x:is>
      </x:c>
      <x:c r="E58" s="14" t="inlineStr">
        <x:is>
          <x:t xml:space="preserve">Season 1, Episode 22</x:t>
        </x:is>
      </x:c>
      <x:c r="F58" s="20" t="e">
        <x:f>HYPERLINK("https://www.starwars.com/tv-shows/clone-wars/hostage-crisis-episode-guide","Episode guide")</x:f>
        <x:v>HYPERLINK is not implemented. linkLocation=https://www.starwars.com/tv-shows/clone-wars/hostage-crisis-episode-guide, friendlyName=Episode guide</x:v>
      </x:c>
      <x:c r="G58" s="20" t="e">
        <x:f>HYPERLINK("https://www.disneyplus.com/video/fd88476e-ab17-437e-94e3-7465b5adda40?cid=DTCI-Synergy-DDN-Site-Acquisition-StarWars-US-StarWars-StarWarsTheCloneWars-EN-BlogArticleEmbed-TCWChronological_StreamOnDisneyPlusCTA-NA","Watch")</x:f>
        <x:v>HYPERLINK is not implemented. linkLocation=https://www.disneyplus.com/video/fd88476e-ab17-437e-94e3-7465b5adda40?cid=DTCI-Synergy-DDN-Site-Acquisition-StarWars-US-StarWars-StarWarsTheCloneWars-EN-BlogArticleEmbed-TCWChronological_StreamOnDisneyPlusCTA-NA, friendlyName=Watch</x:v>
      </x:c>
    </x:row>
    <x:row r="59" s="23" customFormat="1" ht="30" customHeight="1">
      <x:c r="A59" s="21" t="b">
        <x:v>0</x:v>
      </x:c>
      <x:c r="B59" s="21" t="n">
        <x:v>53</x:v>
      </x:c>
      <x:c r="C59" s="21" t="inlineStr">
        <x:is>
          <x:t xml:space="preserve">309</x:t>
        </x:is>
      </x:c>
      <x:c r="D59" s="14" t="inlineStr">
        <x:is>
          <x:t xml:space="preserve">Hunt for Ziro</x:t>
        </x:is>
      </x:c>
      <x:c r="E59" s="14" t="inlineStr">
        <x:is>
          <x:t xml:space="preserve">Season 3, Episode 9</x:t>
        </x:is>
      </x:c>
      <x:c r="F59" s="20" t="e">
        <x:f>HYPERLINK("https://www.starwars.com/tv-shows/clone-wars/hunt-for-ziro-episode-guide","Episode guide")</x:f>
        <x:v>HYPERLINK is not implemented. linkLocation=https://www.starwars.com/tv-shows/clone-wars/hunt-for-ziro-episode-guide, friendlyName=Episode guide</x:v>
      </x:c>
      <x:c r="G59" s="20" t="e">
        <x:f>HYPERLINK("https://www.disneyplus.com/video/b6d7ab23-6fa5-4311-973c-0eebb8e62133?cid=DTCI-Synergy-DDN-Site-Acquisition-StarWars-US-StarWars-StarWarsTheCloneWars-EN-BlogArticleEmbed-TCWChronological_StreamOnDisneyPlusCTA-NA","Watch")</x:f>
        <x:v>HYPERLINK is not implemented. linkLocation=https://www.disneyplus.com/video/b6d7ab23-6fa5-4311-973c-0eebb8e62133?cid=DTCI-Synergy-DDN-Site-Acquisition-StarWars-US-StarWars-StarWarsTheCloneWars-EN-BlogArticleEmbed-TCWChronological_StreamOnDisneyPlusCTA-NA, friendlyName=Watch</x:v>
      </x:c>
    </x:row>
    <x:row r="60" s="23" customFormat="1" ht="30" customHeight="1">
      <x:c r="A60" s="21" t="b">
        <x:v>0</x:v>
      </x:c>
      <x:c r="B60" s="21" t="n">
        <x:v>54</x:v>
      </x:c>
      <x:c r="C60" s="21" t="inlineStr">
        <x:is>
          <x:t xml:space="preserve">310</x:t>
        </x:is>
      </x:c>
      <x:c r="D60" s="14" t="inlineStr">
        <x:is>
          <x:t xml:space="preserve">Heroes on Both Sides</x:t>
        </x:is>
      </x:c>
      <x:c r="E60" s="14" t="inlineStr">
        <x:is>
          <x:t xml:space="preserve">Season 3, Episode 10</x:t>
        </x:is>
      </x:c>
      <x:c r="F60" s="20" t="e">
        <x:f>HYPERLINK("https://www.starwars.com/tv-shows/clone-wars/heroes-on-both-sides-episode-guide","Episode guide")</x:f>
        <x:v>HYPERLINK is not implemented. linkLocation=https://www.starwars.com/tv-shows/clone-wars/heroes-on-both-sides-episode-guide, friendlyName=Episode guide</x:v>
      </x:c>
      <x:c r="G60" s="20" t="e">
        <x:f>HYPERLINK("https://www.disneyplus.com/video/1e012171-5147-461e-b42c-80ee6bed9c29?cid=DTCI-Synergy-DDN-Site-Acquisition-StarWars-US-StarWars-StarWarsTheCloneWars-EN-BlogArticleEmbed-TCWChronological_StreamOnDisneyPlusCTA-NA","Watch")</x:f>
        <x:v>HYPERLINK is not implemented. linkLocation=https://www.disneyplus.com/video/1e012171-5147-461e-b42c-80ee6bed9c29?cid=DTCI-Synergy-DDN-Site-Acquisition-StarWars-US-StarWars-StarWarsTheCloneWars-EN-BlogArticleEmbed-TCWChronological_StreamOnDisneyPlusCTA-NA, friendlyName=Watch</x:v>
      </x:c>
    </x:row>
    <x:row r="61" s="23" customFormat="1" ht="30" customHeight="1">
      <x:c r="A61" s="21" t="b">
        <x:v>0</x:v>
      </x:c>
      <x:c r="B61" s="21" t="n">
        <x:v>55</x:v>
      </x:c>
      <x:c r="C61" s="21" t="inlineStr">
        <x:is>
          <x:t xml:space="preserve">311</x:t>
        </x:is>
      </x:c>
      <x:c r="D61" s="14" t="inlineStr">
        <x:is>
          <x:t xml:space="preserve">Pursuit of Peace</x:t>
        </x:is>
      </x:c>
      <x:c r="E61" s="14" t="inlineStr">
        <x:is>
          <x:t xml:space="preserve">Season 3, Episode 11</x:t>
        </x:is>
      </x:c>
      <x:c r="F61" s="20" t="e">
        <x:f>HYPERLINK("https://www.starwars.com/tv-shows/clone-wars/pursuit-of-peace-episode-guide","Episode guide")</x:f>
        <x:v>HYPERLINK is not implemented. linkLocation=https://www.starwars.com/tv-shows/clone-wars/pursuit-of-peace-episode-guide, friendlyName=Episode guide</x:v>
      </x:c>
      <x:c r="G61" s="20" t="e">
        <x:f>HYPERLINK("https://www.disneyplus.com/video/ac44bc69-553d-4c58-83ab-e621966d35e4?cid=DTCI-Synergy-DDN-Site-Acquisition-StarWars-US-StarWars-StarWarsTheCloneWars-EN-BlogArticleEmbed-TCWChronological_StreamOnDisneyPlusCTA-NA","Watch")</x:f>
        <x:v>HYPERLINK is not implemented. linkLocation=https://www.disneyplus.com/video/ac44bc69-553d-4c58-83ab-e621966d35e4?cid=DTCI-Synergy-DDN-Site-Acquisition-StarWars-US-StarWars-StarWarsTheCloneWars-EN-BlogArticleEmbed-TCWChronological_StreamOnDisneyPlusCTA-NA, friendlyName=Watch</x:v>
      </x:c>
    </x:row>
    <x:row r="62" s="23" customFormat="1" ht="30" customHeight="1">
      <x:c r="A62" s="21" t="b">
        <x:v>0</x:v>
      </x:c>
      <x:c r="B62" s="21" t="n">
        <x:v>56</x:v>
      </x:c>
      <x:c r="C62" s="21" t="inlineStr">
        <x:is>
          <x:t xml:space="preserve">215</x:t>
        </x:is>
      </x:c>
      <x:c r="D62" s="14" t="inlineStr">
        <x:is>
          <x:t xml:space="preserve">Senate Murders</x:t>
        </x:is>
      </x:c>
      <x:c r="E62" s="14" t="inlineStr">
        <x:is>
          <x:t xml:space="preserve">Season 2, Episode 15</x:t>
        </x:is>
      </x:c>
      <x:c r="F62" s="20" t="e">
        <x:f>HYPERLINK("https://www.starwars.com/tv-shows/clone-wars/senate-murders-episode-guide","Episode guide")</x:f>
        <x:v>HYPERLINK is not implemented. linkLocation=https://www.starwars.com/tv-shows/clone-wars/senate-murders-episode-guide, friendlyName=Episode guide</x:v>
      </x:c>
      <x:c r="G62" s="20" t="e">
        <x:f>HYPERLINK("https://www.disneyplus.com/video/af719ca6-3fae-435e-a2f5-07d5a3f6499d?cid=DTCI-Synergy-DDN-Site-Acquisition-StarWars-US-StarWars-StarWarsTheCloneWars-EN-BlogArticleEmbed-TCWChronological_StreamOnDisneyPlusCTA-NA","Watch")</x:f>
        <x:v>HYPERLINK is not implemented. linkLocation=https://www.disneyplus.com/video/af719ca6-3fae-435e-a2f5-07d5a3f6499d?cid=DTCI-Synergy-DDN-Site-Acquisition-StarWars-US-StarWars-StarWarsTheCloneWars-EN-BlogArticleEmbed-TCWChronological_StreamOnDisneyPlusCTA-NA, friendlyName=Watch</x:v>
      </x:c>
    </x:row>
    <x:row r="63" s="23" customFormat="1" ht="30" customHeight="1">
      <x:c r="A63" s="21" t="b">
        <x:v>0</x:v>
      </x:c>
      <x:c r="B63" s="21" t="n">
        <x:v>57</x:v>
      </x:c>
      <x:c r="C63" s="21" t="inlineStr">
        <x:is>
          <x:t xml:space="preserve">312</x:t>
        </x:is>
      </x:c>
      <x:c r="D63" s="14" t="inlineStr">
        <x:is>
          <x:t xml:space="preserve">Nightsisters</x:t>
        </x:is>
      </x:c>
      <x:c r="E63" s="14" t="inlineStr">
        <x:is>
          <x:t xml:space="preserve">Season 3, Episode 12</x:t>
        </x:is>
      </x:c>
      <x:c r="F63" s="20" t="e">
        <x:f>HYPERLINK("https://www.starwars.com/tv-shows/clone-wars/nightsisters-episode-guide","Episode guide")</x:f>
        <x:v>HYPERLINK is not implemented. linkLocation=https://www.starwars.com/tv-shows/clone-wars/nightsisters-episode-guide, friendlyName=Episode guide</x:v>
      </x:c>
      <x:c r="G63" s="20" t="e">
        <x:f>HYPERLINK("https://www.disneyplus.com/video/7efbccb3-2bc5-4271-8e20-ab78c9efbccc?cid=DTCI-Synergy-DDN-Site-Acquisition-StarWars-US-StarWars-StarWarsTheCloneWars-EN-BlogArticleEmbed-TCWChronological_StreamOnDisneyPlusCTA-NA","Watch")</x:f>
        <x:v>HYPERLINK is not implemented. linkLocation=https://www.disneyplus.com/video/7efbccb3-2bc5-4271-8e20-ab78c9efbccc?cid=DTCI-Synergy-DDN-Site-Acquisition-StarWars-US-StarWars-StarWarsTheCloneWars-EN-BlogArticleEmbed-TCWChronological_StreamOnDisneyPlusCTA-NA, friendlyName=Watch</x:v>
      </x:c>
    </x:row>
    <x:row r="64" s="23" customFormat="1" ht="30" customHeight="1">
      <x:c r="A64" s="21" t="b">
        <x:v>0</x:v>
      </x:c>
      <x:c r="B64" s="21" t="n">
        <x:v>58</x:v>
      </x:c>
      <x:c r="C64" s="21" t="inlineStr">
        <x:is>
          <x:t xml:space="preserve">313</x:t>
        </x:is>
      </x:c>
      <x:c r="D64" s="14" t="inlineStr">
        <x:is>
          <x:t xml:space="preserve">Monster</x:t>
        </x:is>
      </x:c>
      <x:c r="E64" s="14" t="inlineStr">
        <x:is>
          <x:t xml:space="preserve">Season 3, Episode 13</x:t>
        </x:is>
      </x:c>
      <x:c r="F64" s="20" t="e">
        <x:f>HYPERLINK("https://www.starwars.com/tv-shows/clone-wars/monster-episode-guide","Episode guide")</x:f>
        <x:v>HYPERLINK is not implemented. linkLocation=https://www.starwars.com/tv-shows/clone-wars/monster-episode-guide, friendlyName=Episode guide</x:v>
      </x:c>
      <x:c r="G64" s="20" t="e">
        <x:f>HYPERLINK("https://www.disneyplus.com/video/60ae22d3-0e23-42ae-9931-30076c8cd519?cid=DTCI-Synergy-DDN-Site-Acquisition-StarWars-US-StarWars-StarWarsTheCloneWars-EN-BlogArticleEmbed-TCWChronological_StreamOnDisneyPlusCTA-NA","Watch")</x:f>
        <x:v>HYPERLINK is not implemented. linkLocation=https://www.disneyplus.com/video/60ae22d3-0e23-42ae-9931-30076c8cd519?cid=DTCI-Synergy-DDN-Site-Acquisition-StarWars-US-StarWars-StarWarsTheCloneWars-EN-BlogArticleEmbed-TCWChronological_StreamOnDisneyPlusCTA-NA, friendlyName=Watch</x:v>
      </x:c>
    </x:row>
    <x:row r="65" s="23" customFormat="1" ht="30" customHeight="1">
      <x:c r="A65" s="21" t="b">
        <x:v>0</x:v>
      </x:c>
      <x:c r="B65" s="21" t="n">
        <x:v>59</x:v>
      </x:c>
      <x:c r="C65" s="21" t="inlineStr">
        <x:is>
          <x:t xml:space="preserve">314</x:t>
        </x:is>
      </x:c>
      <x:c r="D65" s="14" t="inlineStr">
        <x:is>
          <x:t xml:space="preserve">Witches of the Mist</x:t>
        </x:is>
      </x:c>
      <x:c r="E65" s="14" t="inlineStr">
        <x:is>
          <x:t xml:space="preserve">Season 3, Episode 14</x:t>
        </x:is>
      </x:c>
      <x:c r="F65" s="20" t="e">
        <x:f>HYPERLINK("https://www.starwars.com/tv-shows/clone-wars/witches-of-the-mist-episode-guide","Episode guide")</x:f>
        <x:v>HYPERLINK is not implemented. linkLocation=https://www.starwars.com/tv-shows/clone-wars/witches-of-the-mist-episode-guide, friendlyName=Episode guide</x:v>
      </x:c>
      <x:c r="G65" s="20" t="e">
        <x:f>HYPERLINK("https://www.disneyplus.com/video/43682151-f351-4280-9a86-ca1986ac7a72?cid=DTCI-Synergy-DDN-Site-Acquisition-StarWars-US-StarWars-StarWarsTheCloneWars-EN-BlogArticleEmbed-TCWChronological_StreamOnDisneyPlusCTA-NA","Watch")</x:f>
        <x:v>HYPERLINK is not implemented. linkLocation=https://www.disneyplus.com/video/43682151-f351-4280-9a86-ca1986ac7a72?cid=DTCI-Synergy-DDN-Site-Acquisition-StarWars-US-StarWars-StarWarsTheCloneWars-EN-BlogArticleEmbed-TCWChronological_StreamOnDisneyPlusCTA-NA, friendlyName=Watch</x:v>
      </x:c>
    </x:row>
    <x:row r="66" s="23" customFormat="1" ht="30" customHeight="1">
      <x:c r="A66" s="21" t="b">
        <x:v>0</x:v>
      </x:c>
      <x:c r="B66" s="21" t="n">
        <x:v>60</x:v>
      </x:c>
      <x:c r="C66" s="21" t="inlineStr">
        <x:is>
          <x:t xml:space="preserve">315</x:t>
        </x:is>
      </x:c>
      <x:c r="D66" s="14" t="inlineStr">
        <x:is>
          <x:t xml:space="preserve">Overlords</x:t>
        </x:is>
      </x:c>
      <x:c r="E66" s="14" t="inlineStr">
        <x:is>
          <x:t xml:space="preserve">Season 3, Episode 15</x:t>
        </x:is>
      </x:c>
      <x:c r="F66" s="20" t="e">
        <x:f>HYPERLINK("https://www.starwars.com/tv-shows/clone-wars/overlords-episode-guide","Episode guide")</x:f>
        <x:v>HYPERLINK is not implemented. linkLocation=https://www.starwars.com/tv-shows/clone-wars/overlords-episode-guide, friendlyName=Episode guide</x:v>
      </x:c>
      <x:c r="G66" s="20" t="e">
        <x:f>HYPERLINK("https://www.disneyplus.com/video/48c78dd1-73f6-40ef-9e0d-d469ea00ada8?cid=DTCI-Synergy-DDN-Site-Acquisition-StarWars-US-StarWars-StarWarsTheCloneWars-EN-BlogArticleEmbed-TCWChronological_StreamOnDisneyPlusCTA-NA","Watch")</x:f>
        <x:v>HYPERLINK is not implemented. linkLocation=https://www.disneyplus.com/video/48c78dd1-73f6-40ef-9e0d-d469ea00ada8?cid=DTCI-Synergy-DDN-Site-Acquisition-StarWars-US-StarWars-StarWarsTheCloneWars-EN-BlogArticleEmbed-TCWChronological_StreamOnDisneyPlusCTA-NA, friendlyName=Watch</x:v>
      </x:c>
    </x:row>
    <x:row r="67" s="23" customFormat="1" ht="30" customHeight="1">
      <x:c r="A67" s="21" t="b">
        <x:v>0</x:v>
      </x:c>
      <x:c r="B67" s="21" t="n">
        <x:v>61</x:v>
      </x:c>
      <x:c r="C67" s="21" t="inlineStr">
        <x:is>
          <x:t xml:space="preserve">316</x:t>
        </x:is>
      </x:c>
      <x:c r="D67" s="14" t="inlineStr">
        <x:is>
          <x:t xml:space="preserve">Altar of Mortis</x:t>
        </x:is>
      </x:c>
      <x:c r="E67" s="14" t="inlineStr">
        <x:is>
          <x:t xml:space="preserve">Season 3, Episode 16</x:t>
        </x:is>
      </x:c>
      <x:c r="F67" s="20" t="e">
        <x:f>HYPERLINK("https://www.starwars.com/tv-shows/clone-wars/altar-of-mortis-episode-guide","Episode guide")</x:f>
        <x:v>HYPERLINK is not implemented. linkLocation=https://www.starwars.com/tv-shows/clone-wars/altar-of-mortis-episode-guide, friendlyName=Episode guide</x:v>
      </x:c>
      <x:c r="G67" s="20" t="e">
        <x:f>HYPERLINK("https://www.disneyplus.com/video/75e60bba-9b85-4531-aec2-7f3b9ed18e4c?cid=DTCI-Synergy-DDN-Site-Acquisition-StarWars-US-StarWars-StarWarsTheCloneWars-EN-BlogArticleEmbed-TCWChronological_StreamOnDisneyPlusCTA-NA","Watch")</x:f>
        <x:v>HYPERLINK is not implemented. linkLocation=https://www.disneyplus.com/video/75e60bba-9b85-4531-aec2-7f3b9ed18e4c?cid=DTCI-Synergy-DDN-Site-Acquisition-StarWars-US-StarWars-StarWarsTheCloneWars-EN-BlogArticleEmbed-TCWChronological_StreamOnDisneyPlusCTA-NA, friendlyName=Watch</x:v>
      </x:c>
    </x:row>
    <x:row r="68" s="23" customFormat="1" ht="30" customHeight="1">
      <x:c r="A68" s="21" t="b">
        <x:v>0</x:v>
      </x:c>
      <x:c r="B68" s="21" t="n">
        <x:v>62</x:v>
      </x:c>
      <x:c r="C68" s="21" t="inlineStr">
        <x:is>
          <x:t xml:space="preserve">317</x:t>
        </x:is>
      </x:c>
      <x:c r="D68" s="14" t="inlineStr">
        <x:is>
          <x:t xml:space="preserve">Ghosts of Mortis</x:t>
        </x:is>
      </x:c>
      <x:c r="E68" s="14" t="inlineStr">
        <x:is>
          <x:t xml:space="preserve">Season 3, Episode 17</x:t>
        </x:is>
      </x:c>
      <x:c r="F68" s="20" t="e">
        <x:f>HYPERLINK("https://www.starwars.com/tv-shows/clone-wars/ghosts-of-mortis-episode-guide","Episode guide")</x:f>
        <x:v>HYPERLINK is not implemented. linkLocation=https://www.starwars.com/tv-shows/clone-wars/ghosts-of-mortis-episode-guide, friendlyName=Episode guide</x:v>
      </x:c>
      <x:c r="G68" s="20" t="e">
        <x:f>HYPERLINK("https://www.disneyplus.com/video/6eccdac1-2d29-416d-88f7-779791c8bbca?cid=DTCI-Synergy-DDN-Site-Acquisition-StarWars-US-StarWars-StarWarsTheCloneWars-EN-BlogArticleEmbed-TCWChronological_StreamOnDisneyPlusCTA-NA","Watch")</x:f>
        <x:v>HYPERLINK is not implemented. linkLocation=https://www.disneyplus.com/video/6eccdac1-2d29-416d-88f7-779791c8bbca?cid=DTCI-Synergy-DDN-Site-Acquisition-StarWars-US-StarWars-StarWarsTheCloneWars-EN-BlogArticleEmbed-TCWChronological_StreamOnDisneyPlusCTA-NA, friendlyName=Watch</x:v>
      </x:c>
    </x:row>
    <x:row r="69" s="23" customFormat="1" ht="30" customHeight="1">
      <x:c r="A69" s="21" t="b">
        <x:v>0</x:v>
      </x:c>
      <x:c r="B69" s="21" t="n">
        <x:v>63</x:v>
      </x:c>
      <x:c r="C69" s="21" t="inlineStr">
        <x:is>
          <x:t xml:space="preserve">318</x:t>
        </x:is>
      </x:c>
      <x:c r="D69" s="14" t="inlineStr">
        <x:is>
          <x:t xml:space="preserve">The Citadel</x:t>
        </x:is>
      </x:c>
      <x:c r="E69" s="14" t="inlineStr">
        <x:is>
          <x:t xml:space="preserve">Season 3, Episode 18</x:t>
        </x:is>
      </x:c>
      <x:c r="F69" s="20" t="e">
        <x:f>HYPERLINK("https://www.starwars.com/tv-shows/clone-wars/the-citadel-episode-guide","Episode guide")</x:f>
        <x:v>HYPERLINK is not implemented. linkLocation=https://www.starwars.com/tv-shows/clone-wars/the-citadel-episode-guide, friendlyName=Episode guide</x:v>
      </x:c>
      <x:c r="G69" s="20" t="e">
        <x:f>HYPERLINK("https://www.disneyplus.com/video/5ce7d03a-c7d7-4e63-8cb1-eae92bcd1349?cid=DTCI-Synergy-DDN-Site-Acquisition-StarWars-US-StarWars-StarWarsTheCloneWars-EN-BlogArticleEmbed-TCWChronological_StreamOnDisneyPlusCTA-NA","Watch")</x:f>
        <x:v>HYPERLINK is not implemented. linkLocation=https://www.disneyplus.com/video/5ce7d03a-c7d7-4e63-8cb1-eae92bcd1349?cid=DTCI-Synergy-DDN-Site-Acquisition-StarWars-US-StarWars-StarWarsTheCloneWars-EN-BlogArticleEmbed-TCWChronological_StreamOnDisneyPlusCTA-NA, friendlyName=Watch</x:v>
      </x:c>
    </x:row>
    <x:row r="70" s="23" customFormat="1" ht="30" customHeight="1">
      <x:c r="A70" s="21" t="b">
        <x:v>0</x:v>
      </x:c>
      <x:c r="B70" s="21" t="n">
        <x:v>64</x:v>
      </x:c>
      <x:c r="C70" s="21" t="inlineStr">
        <x:is>
          <x:t xml:space="preserve">319</x:t>
        </x:is>
      </x:c>
      <x:c r="D70" s="14" t="inlineStr">
        <x:is>
          <x:t xml:space="preserve">Counter Attack</x:t>
        </x:is>
      </x:c>
      <x:c r="E70" s="14" t="inlineStr">
        <x:is>
          <x:t xml:space="preserve">Season 3, Episode 19</x:t>
        </x:is>
      </x:c>
      <x:c r="F70" s="20" t="e">
        <x:f>HYPERLINK("https://www.starwars.com/tv-shows/clone-wars/counterattack-episode-guide","Episode guide")</x:f>
        <x:v>HYPERLINK is not implemented. linkLocation=https://www.starwars.com/tv-shows/clone-wars/counterattack-episode-guide, friendlyName=Episode guide</x:v>
      </x:c>
      <x:c r="G70" s="20" t="e">
        <x:f>HYPERLINK("https://www.disneyplus.com/video/da31968a-f4f6-457b-8d4a-9938d5bdb6f0?cid=DTCI-Synergy-DDN-Site-Acquisition-StarWars-US-StarWars-StarWarsTheCloneWars-EN-BlogArticleEmbed-TCWChronological_StreamOnDisneyPlusCTA-NA","Watch")</x:f>
        <x:v>HYPERLINK is not implemented. linkLocation=https://www.disneyplus.com/video/da31968a-f4f6-457b-8d4a-9938d5bdb6f0?cid=DTCI-Synergy-DDN-Site-Acquisition-StarWars-US-StarWars-StarWarsTheCloneWars-EN-BlogArticleEmbed-TCWChronological_StreamOnDisneyPlusCTA-NA, friendlyName=Watch</x:v>
      </x:c>
    </x:row>
    <x:row r="71" s="23" customFormat="1" ht="30" customHeight="1">
      <x:c r="A71" s="21" t="b">
        <x:v>0</x:v>
      </x:c>
      <x:c r="B71" s="21" t="n">
        <x:v>65</x:v>
      </x:c>
      <x:c r="C71" s="21" t="inlineStr">
        <x:is>
          <x:t xml:space="preserve">320</x:t>
        </x:is>
      </x:c>
      <x:c r="D71" s="14" t="inlineStr">
        <x:is>
          <x:t xml:space="preserve">Citadel Rescue</x:t>
        </x:is>
      </x:c>
      <x:c r="E71" s="14" t="inlineStr">
        <x:is>
          <x:t xml:space="preserve">Season 3, Episode 20</x:t>
        </x:is>
      </x:c>
      <x:c r="F71" s="20" t="e">
        <x:f>HYPERLINK("https://www.starwars.com/tv-shows/clone-wars/citadel-rescue-episode-guide","Episode guide")</x:f>
        <x:v>HYPERLINK is not implemented. linkLocation=https://www.starwars.com/tv-shows/clone-wars/citadel-rescue-episode-guide, friendlyName=Episode guide</x:v>
      </x:c>
      <x:c r="G71" s="20" t="e">
        <x:f>HYPERLINK("https://www.disneyplus.com/video/8799713b-3cd0-48e7-b32d-aef303971020?cid=DTCI-Synergy-DDN-Site-Acquisition-StarWars-US-StarWars-StarWarsTheCloneWars-EN-BlogArticleEmbed-TCWChronological_StreamOnDisneyPlusCTA-NA","Watch")</x:f>
        <x:v>HYPERLINK is not implemented. linkLocation=https://www.disneyplus.com/video/8799713b-3cd0-48e7-b32d-aef303971020?cid=DTCI-Synergy-DDN-Site-Acquisition-StarWars-US-StarWars-StarWarsTheCloneWars-EN-BlogArticleEmbed-TCWChronological_StreamOnDisneyPlusCTA-NA, friendlyName=Watch</x:v>
      </x:c>
    </x:row>
    <x:row r="72" s="23" customFormat="1" ht="30" customHeight="1">
      <x:c r="A72" s="21" t="b">
        <x:v>0</x:v>
      </x:c>
      <x:c r="B72" s="21" t="n">
        <x:v>66</x:v>
      </x:c>
      <x:c r="C72" s="21" t="inlineStr">
        <x:is>
          <x:t xml:space="preserve">321</x:t>
        </x:is>
      </x:c>
      <x:c r="D72" s="14" t="inlineStr">
        <x:is>
          <x:t xml:space="preserve">Padawan Lost</x:t>
        </x:is>
      </x:c>
      <x:c r="E72" s="14" t="inlineStr">
        <x:is>
          <x:t xml:space="preserve">Season 3, Episode 21</x:t>
        </x:is>
      </x:c>
      <x:c r="F72" s="20" t="e">
        <x:f>HYPERLINK("https://www.starwars.com/tv-shows/clone-wars/padawan-lost-episode-guide","Episode guide")</x:f>
        <x:v>HYPERLINK is not implemented. linkLocation=https://www.starwars.com/tv-shows/clone-wars/padawan-lost-episode-guide, friendlyName=Episode guide</x:v>
      </x:c>
      <x:c r="G72" s="20" t="e">
        <x:f>HYPERLINK("https://www.disneyplus.com/video/e9010f4d-8e53-4100-9e56-37526a34d8cb?cid=DTCI-Synergy-DDN-Site-Acquisition-StarWars-US-StarWars-StarWarsTheCloneWars-EN-BlogArticleEmbed-TCWChronological_StreamOnDisneyPlusCTA-NA","Watch")</x:f>
        <x:v>HYPERLINK is not implemented. linkLocation=https://www.disneyplus.com/video/e9010f4d-8e53-4100-9e56-37526a34d8cb?cid=DTCI-Synergy-DDN-Site-Acquisition-StarWars-US-StarWars-StarWarsTheCloneWars-EN-BlogArticleEmbed-TCWChronological_StreamOnDisneyPlusCTA-NA, friendlyName=Watch</x:v>
      </x:c>
    </x:row>
    <x:row r="73" s="23" customFormat="1" ht="30" customHeight="1">
      <x:c r="A73" s="21" t="b">
        <x:v>0</x:v>
      </x:c>
      <x:c r="B73" s="21" t="n">
        <x:v>67</x:v>
      </x:c>
      <x:c r="C73" s="21" t="inlineStr">
        <x:is>
          <x:t xml:space="preserve">322</x:t>
        </x:is>
      </x:c>
      <x:c r="D73" s="14" t="inlineStr">
        <x:is>
          <x:t xml:space="preserve">Wookiee Hunt</x:t>
        </x:is>
      </x:c>
      <x:c r="E73" s="14" t="inlineStr">
        <x:is>
          <x:t xml:space="preserve">Season 3, Episode 22</x:t>
        </x:is>
      </x:c>
      <x:c r="F73" s="20" t="e">
        <x:f>HYPERLINK("https://www.starwars.com/tv-shows/clone-wars/wookiee-hunt-episode-guide","Episode guide")</x:f>
        <x:v>HYPERLINK is not implemented. linkLocation=https://www.starwars.com/tv-shows/clone-wars/wookiee-hunt-episode-guide, friendlyName=Episode guide</x:v>
      </x:c>
      <x:c r="G73" s="20" t="e">
        <x:f>HYPERLINK("https://www.disneyplus.com/video/d332b464-3b44-4ace-af1b-bcabcf5f9155?cid=DTCI-Synergy-DDN-Site-Acquisition-StarWars-US-StarWars-StarWarsTheCloneWars-EN-BlogArticleEmbed-TCWChronological_StreamOnDisneyPlusCTA-NA","Watch")</x:f>
        <x:v>HYPERLINK is not implemented. linkLocation=https://www.disneyplus.com/video/d332b464-3b44-4ace-af1b-bcabcf5f9155?cid=DTCI-Synergy-DDN-Site-Acquisition-StarWars-US-StarWars-StarWarsTheCloneWars-EN-BlogArticleEmbed-TCWChronological_StreamOnDisneyPlusCTA-NA, friendlyName=Watch</x:v>
      </x:c>
    </x:row>
    <x:row r="74" s="23" customFormat="1" ht="30" customHeight="1">
      <x:c r="A74" s="21" t="b">
        <x:v>0</x:v>
      </x:c>
      <x:c r="B74" s="21" t="n">
        <x:v>68</x:v>
      </x:c>
      <x:c r="C74" s="21" t="inlineStr">
        <x:is>
          <x:t xml:space="preserve">401</x:t>
        </x:is>
      </x:c>
      <x:c r="D74" s="14" t="inlineStr">
        <x:is>
          <x:t xml:space="preserve">Water War</x:t>
        </x:is>
      </x:c>
      <x:c r="E74" s="14" t="inlineStr">
        <x:is>
          <x:t xml:space="preserve">Season 4, Episode 1</x:t>
        </x:is>
      </x:c>
      <x:c r="F74" s="20" t="e">
        <x:f>HYPERLINK("https://www.starwars.com/tv-shows/clone-wars/water-war-episode-guide","Episode guide")</x:f>
        <x:v>HYPERLINK is not implemented. linkLocation=https://www.starwars.com/tv-shows/clone-wars/water-war-episode-guide, friendlyName=Episode guide</x:v>
      </x:c>
      <x:c r="G74" s="20" t="e">
        <x:f>HYPERLINK("https://www.disneyplus.com/video/0118dfcf-cb59-44eb-bb93-15888e9cb8a6?cid=DTCI-Synergy-DDN-Site-Acquisition-StarWars-US-StarWars-StarWarsTheCloneWars-EN-BlogArticleEmbed-TCWChronological_StreamOnDisneyPlusCTA-NA","Watch")</x:f>
        <x:v>HYPERLINK is not implemented. linkLocation=https://www.disneyplus.com/video/0118dfcf-cb59-44eb-bb93-15888e9cb8a6?cid=DTCI-Synergy-DDN-Site-Acquisition-StarWars-US-StarWars-StarWarsTheCloneWars-EN-BlogArticleEmbed-TCWChronological_StreamOnDisneyPlusCTA-NA, friendlyName=Watch</x:v>
      </x:c>
    </x:row>
    <x:row r="75" s="23" customFormat="1" ht="30" customHeight="1">
      <x:c r="A75" s="21" t="b">
        <x:v>0</x:v>
      </x:c>
      <x:c r="B75" s="21" t="n">
        <x:v>69</x:v>
      </x:c>
      <x:c r="C75" s="21" t="inlineStr">
        <x:is>
          <x:t xml:space="preserve">402</x:t>
        </x:is>
      </x:c>
      <x:c r="D75" s="14" t="inlineStr">
        <x:is>
          <x:t xml:space="preserve">Gungan Attack</x:t>
        </x:is>
      </x:c>
      <x:c r="E75" s="14" t="inlineStr">
        <x:is>
          <x:t xml:space="preserve">Season 4, Episode 2</x:t>
        </x:is>
      </x:c>
      <x:c r="F75" s="20" t="e">
        <x:f>HYPERLINK("https://www.starwars.com/tv-shows/clone-wars/gungan-attack-episode-guide","Episode guide")</x:f>
        <x:v>HYPERLINK is not implemented. linkLocation=https://www.starwars.com/tv-shows/clone-wars/gungan-attack-episode-guide, friendlyName=Episode guide</x:v>
      </x:c>
      <x:c r="G75" s="20" t="e">
        <x:f>HYPERLINK("https://www.disneyplus.com/video/661736f6-035f-4d8f-98b7-d1a75d3359db?cid=DTCI-Synergy-DDN-Site-Acquisition-StarWars-US-StarWars-StarWarsTheCloneWars-EN-BlogArticleEmbed-TCWChronological_StreamOnDisneyPlusCTA-NA","Watch")</x:f>
        <x:v>HYPERLINK is not implemented. linkLocation=https://www.disneyplus.com/video/661736f6-035f-4d8f-98b7-d1a75d3359db?cid=DTCI-Synergy-DDN-Site-Acquisition-StarWars-US-StarWars-StarWarsTheCloneWars-EN-BlogArticleEmbed-TCWChronological_StreamOnDisneyPlusCTA-NA, friendlyName=Watch</x:v>
      </x:c>
    </x:row>
    <x:row r="76" s="23" customFormat="1" ht="30" customHeight="1">
      <x:c r="A76" s="21" t="b">
        <x:v>0</x:v>
      </x:c>
      <x:c r="B76" s="21" t="n">
        <x:v>70</x:v>
      </x:c>
      <x:c r="C76" s="21" t="inlineStr">
        <x:is>
          <x:t xml:space="preserve">403</x:t>
        </x:is>
      </x:c>
      <x:c r="D76" s="14" t="inlineStr">
        <x:is>
          <x:t xml:space="preserve">Prisoners</x:t>
        </x:is>
      </x:c>
      <x:c r="E76" s="14" t="inlineStr">
        <x:is>
          <x:t xml:space="preserve">Season 4, Episode 3</x:t>
        </x:is>
      </x:c>
      <x:c r="F76" s="20" t="e">
        <x:f>HYPERLINK("https://www.starwars.com/tv-shows/clone-wars/prisoners-episode-guide","Episode guide")</x:f>
        <x:v>HYPERLINK is not implemented. linkLocation=https://www.starwars.com/tv-shows/clone-wars/prisoners-episode-guide, friendlyName=Episode guide</x:v>
      </x:c>
      <x:c r="G76" s="20" t="e">
        <x:f>HYPERLINK("https://www.disneyplus.com/video/a78235e0-c137-410c-abd8-69601e432648?cid=DTCI-Synergy-DDN-Site-Acquisition-StarWars-US-StarWars-StarWarsTheCloneWars-EN-BlogArticleEmbed-TCWChronological_StreamOnDisneyPlusCTA-NA","Watch")</x:f>
        <x:v>HYPERLINK is not implemented. linkLocation=https://www.disneyplus.com/video/a78235e0-c137-410c-abd8-69601e432648?cid=DTCI-Synergy-DDN-Site-Acquisition-StarWars-US-StarWars-StarWarsTheCloneWars-EN-BlogArticleEmbed-TCWChronological_StreamOnDisneyPlusCTA-NA, friendlyName=Watch</x:v>
      </x:c>
    </x:row>
    <x:row r="77" s="23" customFormat="1" ht="30" customHeight="1">
      <x:c r="A77" s="21" t="b">
        <x:v>0</x:v>
      </x:c>
      <x:c r="B77" s="21" t="n">
        <x:v>71</x:v>
      </x:c>
      <x:c r="C77" s="21" t="inlineStr">
        <x:is>
          <x:t xml:space="preserve">404</x:t>
        </x:is>
      </x:c>
      <x:c r="D77" s="14" t="inlineStr">
        <x:is>
          <x:t xml:space="preserve">Shadow Warrior</x:t>
        </x:is>
      </x:c>
      <x:c r="E77" s="14" t="inlineStr">
        <x:is>
          <x:t xml:space="preserve">Season 4, Episode 4</x:t>
        </x:is>
      </x:c>
      <x:c r="F77" s="20" t="e">
        <x:f>HYPERLINK("https://www.starwars.com/tv-shows/clone-wars/shadow-warrior-episode-guide","Episode guide")</x:f>
        <x:v>HYPERLINK is not implemented. linkLocation=https://www.starwars.com/tv-shows/clone-wars/shadow-warrior-episode-guide, friendlyName=Episode guide</x:v>
      </x:c>
      <x:c r="G77" s="20" t="e">
        <x:f>HYPERLINK("https://www.disneyplus.com/video/794938c4-0700-4b1f-a6c3-20aff7ca1b39?cid=DTCI-Synergy-DDN-Site-Acquisition-StarWars-US-StarWars-StarWarsTheCloneWars-EN-BlogArticleEmbed-TCWChronological_StreamOnDisneyPlusCTA-NA","Watch")</x:f>
        <x:v>HYPERLINK is not implemented. linkLocation=https://www.disneyplus.com/video/794938c4-0700-4b1f-a6c3-20aff7ca1b39?cid=DTCI-Synergy-DDN-Site-Acquisition-StarWars-US-StarWars-StarWarsTheCloneWars-EN-BlogArticleEmbed-TCWChronological_StreamOnDisneyPlusCTA-NA, friendlyName=Watch</x:v>
      </x:c>
    </x:row>
    <x:row r="78" s="23" customFormat="1" ht="30" customHeight="1">
      <x:c r="A78" s="21" t="b">
        <x:v>0</x:v>
      </x:c>
      <x:c r="B78" s="21" t="n">
        <x:v>72</x:v>
      </x:c>
      <x:c r="C78" s="21" t="inlineStr">
        <x:is>
          <x:t xml:space="preserve">405</x:t>
        </x:is>
      </x:c>
      <x:c r="D78" s="14" t="inlineStr">
        <x:is>
          <x:t xml:space="preserve">Mercy Mission</x:t>
        </x:is>
      </x:c>
      <x:c r="E78" s="14" t="inlineStr">
        <x:is>
          <x:t xml:space="preserve">Season 4, Episode 5</x:t>
        </x:is>
      </x:c>
      <x:c r="F78" s="20" t="e">
        <x:f>HYPERLINK("https://www.starwars.com/tv-shows/clone-wars/mercy-mission-episode-guide","Episode guide")</x:f>
        <x:v>HYPERLINK is not implemented. linkLocation=https://www.starwars.com/tv-shows/clone-wars/mercy-mission-episode-guide, friendlyName=Episode guide</x:v>
      </x:c>
      <x:c r="G78" s="20" t="e">
        <x:f>HYPERLINK("https://www.disneyplus.com/video/1d717a67-fdce-4404-aed6-3cca361e0946?cid=DTCI-Synergy-DDN-Site-Acquisition-StarWars-US-StarWars-StarWarsTheCloneWars-EN-BlogArticleEmbed-TCWChronological_StreamOnDisneyPlusCTA-NA","Watch")</x:f>
        <x:v>HYPERLINK is not implemented. linkLocation=https://www.disneyplus.com/video/1d717a67-fdce-4404-aed6-3cca361e0946?cid=DTCI-Synergy-DDN-Site-Acquisition-StarWars-US-StarWars-StarWarsTheCloneWars-EN-BlogArticleEmbed-TCWChronological_StreamOnDisneyPlusCTA-NA, friendlyName=Watch</x:v>
      </x:c>
    </x:row>
    <x:row r="79" s="23" customFormat="1" ht="30" customHeight="1">
      <x:c r="A79" s="21" t="b">
        <x:v>0</x:v>
      </x:c>
      <x:c r="B79" s="21" t="n">
        <x:v>73</x:v>
      </x:c>
      <x:c r="C79" s="21" t="inlineStr">
        <x:is>
          <x:t xml:space="preserve">406</x:t>
        </x:is>
      </x:c>
      <x:c r="D79" s="14" t="inlineStr">
        <x:is>
          <x:t xml:space="preserve">Nomad Droids</x:t>
        </x:is>
      </x:c>
      <x:c r="E79" s="14" t="inlineStr">
        <x:is>
          <x:t xml:space="preserve">Season 4, Episode 6</x:t>
        </x:is>
      </x:c>
      <x:c r="F79" s="20" t="e">
        <x:f>HYPERLINK("https://www.starwars.com/tv-shows/clone-wars/nomad-droids-episode-guide","Episode guide")</x:f>
        <x:v>HYPERLINK is not implemented. linkLocation=https://www.starwars.com/tv-shows/clone-wars/nomad-droids-episode-guide, friendlyName=Episode guide</x:v>
      </x:c>
      <x:c r="G79" s="20" t="e">
        <x:f>HYPERLINK("https://www.disneyplus.com/video/70b7d424-fd27-4388-b934-b4bfad3f898d?cid=DTCI-Synergy-DDN-Site-Acquisition-StarWars-US-StarWars-StarWarsTheCloneWars-EN-BlogArticleEmbed-TCWChronological_StreamOnDisneyPlusCTA-NA","Watch")</x:f>
        <x:v>HYPERLINK is not implemented. linkLocation=https://www.disneyplus.com/video/70b7d424-fd27-4388-b934-b4bfad3f898d?cid=DTCI-Synergy-DDN-Site-Acquisition-StarWars-US-StarWars-StarWarsTheCloneWars-EN-BlogArticleEmbed-TCWChronological_StreamOnDisneyPlusCTA-NA, friendlyName=Watch</x:v>
      </x:c>
    </x:row>
    <x:row r="80" s="23" customFormat="1" ht="30" customHeight="1">
      <x:c r="A80" s="21" t="b">
        <x:v>0</x:v>
      </x:c>
      <x:c r="B80" s="21" t="n">
        <x:v>74</x:v>
      </x:c>
      <x:c r="C80" s="21" t="inlineStr">
        <x:is>
          <x:t xml:space="preserve">407</x:t>
        </x:is>
      </x:c>
      <x:c r="D80" s="14" t="inlineStr">
        <x:is>
          <x:t xml:space="preserve">Darkness on Umbara</x:t>
        </x:is>
      </x:c>
      <x:c r="E80" s="14" t="inlineStr">
        <x:is>
          <x:t xml:space="preserve">Season 4, Episode 7</x:t>
        </x:is>
      </x:c>
      <x:c r="F80" s="20" t="e">
        <x:f>HYPERLINK("https://www.starwars.com/tv-shows/clone-wars/darkness-on-umbara-episode-guide","Episode guide")</x:f>
        <x:v>HYPERLINK is not implemented. linkLocation=https://www.starwars.com/tv-shows/clone-wars/darkness-on-umbara-episode-guide, friendlyName=Episode guide</x:v>
      </x:c>
      <x:c r="G80" s="20" t="e">
        <x:f>HYPERLINK("https://www.disneyplus.com/video/f9bfac62-4bb9-443b-905c-db5d978df3f2?cid=DTCI-Synergy-DDN-Site-Acquisition-StarWars-US-StarWars-StarWarsTheCloneWars-EN-BlogArticleEmbed-TCWChronological_StreamOnDisneyPlusCTA-NA","Watch")</x:f>
        <x:v>HYPERLINK is not implemented. linkLocation=https://www.disneyplus.com/video/f9bfac62-4bb9-443b-905c-db5d978df3f2?cid=DTCI-Synergy-DDN-Site-Acquisition-StarWars-US-StarWars-StarWarsTheCloneWars-EN-BlogArticleEmbed-TCWChronological_StreamOnDisneyPlusCTA-NA, friendlyName=Watch</x:v>
      </x:c>
    </x:row>
    <x:row r="81" s="23" customFormat="1" ht="30" customHeight="1">
      <x:c r="A81" s="21" t="b">
        <x:v>0</x:v>
      </x:c>
      <x:c r="B81" s="21" t="n">
        <x:v>75</x:v>
      </x:c>
      <x:c r="C81" s="21" t="inlineStr">
        <x:is>
          <x:t xml:space="preserve">408</x:t>
        </x:is>
      </x:c>
      <x:c r="D81" s="14" t="inlineStr">
        <x:is>
          <x:t xml:space="preserve">The General</x:t>
        </x:is>
      </x:c>
      <x:c r="E81" s="14" t="inlineStr">
        <x:is>
          <x:t xml:space="preserve">Season 4, Episode 8</x:t>
        </x:is>
      </x:c>
      <x:c r="F81" s="20" t="e">
        <x:f>HYPERLINK("https://www.starwars.com/tv-shows/clone-wars/the-general-episode-guide","Episode guide")</x:f>
        <x:v>HYPERLINK is not implemented. linkLocation=https://www.starwars.com/tv-shows/clone-wars/the-general-episode-guide, friendlyName=Episode guide</x:v>
      </x:c>
      <x:c r="G81" s="20" t="e">
        <x:f>HYPERLINK("https://www.disneyplus.com/video/61e6b80b-ae44-431d-ae37-3ff46db6fdf6?cid=DTCI-Synergy-DDN-Site-Acquisition-StarWars-US-StarWars-StarWarsTheCloneWars-EN-BlogArticleEmbed-TCWChronological_StreamOnDisneyPlusCTA-NA","Watch")</x:f>
        <x:v>HYPERLINK is not implemented. linkLocation=https://www.disneyplus.com/video/61e6b80b-ae44-431d-ae37-3ff46db6fdf6?cid=DTCI-Synergy-DDN-Site-Acquisition-StarWars-US-StarWars-StarWarsTheCloneWars-EN-BlogArticleEmbed-TCWChronological_StreamOnDisneyPlusCTA-NA, friendlyName=Watch</x:v>
      </x:c>
    </x:row>
    <x:row r="82" s="23" customFormat="1" ht="30" customHeight="1">
      <x:c r="A82" s="21" t="b">
        <x:v>0</x:v>
      </x:c>
      <x:c r="B82" s="21" t="n">
        <x:v>76</x:v>
      </x:c>
      <x:c r="C82" s="21" t="inlineStr">
        <x:is>
          <x:t xml:space="preserve">409</x:t>
        </x:is>
      </x:c>
      <x:c r="D82" s="14" t="inlineStr">
        <x:is>
          <x:t xml:space="preserve">Plan of Dissent</x:t>
        </x:is>
      </x:c>
      <x:c r="E82" s="14" t="inlineStr">
        <x:is>
          <x:t xml:space="preserve">Season 4, Episode 9</x:t>
        </x:is>
      </x:c>
      <x:c r="F82" s="20" t="e">
        <x:f>HYPERLINK("https://www.starwars.com/tv-shows/clone-wars/plan-of-dissent-episode-guide","Episode guide")</x:f>
        <x:v>HYPERLINK is not implemented. linkLocation=https://www.starwars.com/tv-shows/clone-wars/plan-of-dissent-episode-guide, friendlyName=Episode guide</x:v>
      </x:c>
      <x:c r="G82" s="20" t="e">
        <x:f>HYPERLINK("https://www.disneyplus.com/video/5dfa03d3-ec0c-462e-96b9-9995bb5b7e1d?cid=DTCI-Synergy-DDN-Site-Acquisition-StarWars-US-StarWars-StarWarsTheCloneWars-EN-BlogArticleEmbed-TCWChronological_StreamOnDisneyPlusCTA-NA","Watch")</x:f>
        <x:v>HYPERLINK is not implemented. linkLocation=https://www.disneyplus.com/video/5dfa03d3-ec0c-462e-96b9-9995bb5b7e1d?cid=DTCI-Synergy-DDN-Site-Acquisition-StarWars-US-StarWars-StarWarsTheCloneWars-EN-BlogArticleEmbed-TCWChronological_StreamOnDisneyPlusCTA-NA, friendlyName=Watch</x:v>
      </x:c>
    </x:row>
    <x:row r="83" s="23" customFormat="1" ht="30" customHeight="1">
      <x:c r="A83" s="21" t="b">
        <x:v>0</x:v>
      </x:c>
      <x:c r="B83" s="21" t="n">
        <x:v>77</x:v>
      </x:c>
      <x:c r="C83" s="21" t="inlineStr">
        <x:is>
          <x:t xml:space="preserve">410</x:t>
        </x:is>
      </x:c>
      <x:c r="D83" s="14" t="inlineStr">
        <x:is>
          <x:t xml:space="preserve">Carnage of Krell</x:t>
        </x:is>
      </x:c>
      <x:c r="E83" s="14" t="inlineStr">
        <x:is>
          <x:t xml:space="preserve">Season 4, Episode 10</x:t>
        </x:is>
      </x:c>
      <x:c r="F83" s="20" t="e">
        <x:f>HYPERLINK("https://www.starwars.com/tv-shows/clone-wars/carnage-of-krell-episode-guide","Episode guide")</x:f>
        <x:v>HYPERLINK is not implemented. linkLocation=https://www.starwars.com/tv-shows/clone-wars/carnage-of-krell-episode-guide, friendlyName=Episode guide</x:v>
      </x:c>
      <x:c r="G83" s="20" t="e">
        <x:f>HYPERLINK("https://www.disneyplus.com/video/3ea87b6f-c298-4847-a69d-05d6ec748f59?cid=DTCI-Synergy-DDN-Site-Acquisition-StarWars-US-StarWars-StarWarsTheCloneWars-EN-BlogArticleEmbed-TCWChronological_StreamOnDisneyPlusCTA-NA","Watch")</x:f>
        <x:v>HYPERLINK is not implemented. linkLocation=https://www.disneyplus.com/video/3ea87b6f-c298-4847-a69d-05d6ec748f59?cid=DTCI-Synergy-DDN-Site-Acquisition-StarWars-US-StarWars-StarWarsTheCloneWars-EN-BlogArticleEmbed-TCWChronological_StreamOnDisneyPlusCTA-NA, friendlyName=Watch</x:v>
      </x:c>
    </x:row>
    <x:row r="84" s="23" customFormat="1" ht="30" customHeight="1">
      <x:c r="A84" s="21" t="b">
        <x:v>0</x:v>
      </x:c>
      <x:c r="B84" s="21" t="n">
        <x:v>78</x:v>
      </x:c>
      <x:c r="C84" s="21" t="inlineStr">
        <x:is>
          <x:t xml:space="preserve">411</x:t>
        </x:is>
      </x:c>
      <x:c r="D84" s="14" t="inlineStr">
        <x:is>
          <x:t xml:space="preserve">Kidnapped</x:t>
        </x:is>
      </x:c>
      <x:c r="E84" s="14" t="inlineStr">
        <x:is>
          <x:t xml:space="preserve">Season 4, Episode 11</x:t>
        </x:is>
      </x:c>
      <x:c r="F84" s="20" t="e">
        <x:f>HYPERLINK("https://www.starwars.com/tv-shows/clone-wars/kidnapped-episode-guide","Episode guide")</x:f>
        <x:v>HYPERLINK is not implemented. linkLocation=https://www.starwars.com/tv-shows/clone-wars/kidnapped-episode-guide, friendlyName=Episode guide</x:v>
      </x:c>
      <x:c r="G84" s="20" t="e">
        <x:f>HYPERLINK("https://www.disneyplus.com/video/02bd06fc-230f-4667-b9da-23fb11d66b70?cid=DTCI-Synergy-DDN-Site-Acquisition-StarWars-US-StarWars-StarWarsTheCloneWars-EN-BlogArticleEmbed-TCWChronological_StreamOnDisneyPlusCTA-NA","Watch")</x:f>
        <x:v>HYPERLINK is not implemented. linkLocation=https://www.disneyplus.com/video/02bd06fc-230f-4667-b9da-23fb11d66b70?cid=DTCI-Synergy-DDN-Site-Acquisition-StarWars-US-StarWars-StarWarsTheCloneWars-EN-BlogArticleEmbed-TCWChronological_StreamOnDisneyPlusCTA-NA, friendlyName=Watch</x:v>
      </x:c>
    </x:row>
    <x:row r="85" s="23" customFormat="1" ht="30" customHeight="1">
      <x:c r="A85" s="21" t="b">
        <x:v>0</x:v>
      </x:c>
      <x:c r="B85" s="21" t="n">
        <x:v>79</x:v>
      </x:c>
      <x:c r="C85" s="21" t="inlineStr">
        <x:is>
          <x:t xml:space="preserve">412</x:t>
        </x:is>
      </x:c>
      <x:c r="D85" s="14" t="inlineStr">
        <x:is>
          <x:t xml:space="preserve">Slaves of the Republic</x:t>
        </x:is>
      </x:c>
      <x:c r="E85" s="14" t="inlineStr">
        <x:is>
          <x:t xml:space="preserve">Season 4, Episode 12</x:t>
        </x:is>
      </x:c>
      <x:c r="F85" s="20" t="e">
        <x:f>HYPERLINK("https://www.starwars.com/tv-shows/clone-wars/slaves-of-the-republic-episode-guide","Episode guide")</x:f>
        <x:v>HYPERLINK is not implemented. linkLocation=https://www.starwars.com/tv-shows/clone-wars/slaves-of-the-republic-episode-guide, friendlyName=Episode guide</x:v>
      </x:c>
      <x:c r="G85" s="20" t="e">
        <x:f>HYPERLINK("https://www.disneyplus.com/video/22ffd322-9702-403f-93d3-47dc7780e062?cid=DTCI-Synergy-DDN-Site-Acquisition-StarWars-US-StarWars-StarWarsTheCloneWars-EN-BlogArticleEmbed-TCWChronological_StreamOnDisneyPlusCTA-NA","Watch")</x:f>
        <x:v>HYPERLINK is not implemented. linkLocation=https://www.disneyplus.com/video/22ffd322-9702-403f-93d3-47dc7780e062?cid=DTCI-Synergy-DDN-Site-Acquisition-StarWars-US-StarWars-StarWarsTheCloneWars-EN-BlogArticleEmbed-TCWChronological_StreamOnDisneyPlusCTA-NA, friendlyName=Watch</x:v>
      </x:c>
    </x:row>
    <x:row r="86" s="23" customFormat="1" ht="30" customHeight="1">
      <x:c r="A86" s="21" t="b">
        <x:v>0</x:v>
      </x:c>
      <x:c r="B86" s="21" t="n">
        <x:v>80</x:v>
      </x:c>
      <x:c r="C86" s="21" t="inlineStr">
        <x:is>
          <x:t xml:space="preserve">413</x:t>
        </x:is>
      </x:c>
      <x:c r="D86" s="14" t="inlineStr">
        <x:is>
          <x:t xml:space="preserve">Escape from Kadavo</x:t>
        </x:is>
      </x:c>
      <x:c r="E86" s="14" t="inlineStr">
        <x:is>
          <x:t xml:space="preserve">Season 4, Episode 13</x:t>
        </x:is>
      </x:c>
      <x:c r="F86" s="20" t="e">
        <x:f>HYPERLINK("https://www.starwars.com/tv-shows/clone-wars/escape-from-kadavo-episode-guide","Episode guide")</x:f>
        <x:v>HYPERLINK is not implemented. linkLocation=https://www.starwars.com/tv-shows/clone-wars/escape-from-kadavo-episode-guide, friendlyName=Episode guide</x:v>
      </x:c>
      <x:c r="G86" s="20" t="e">
        <x:f>HYPERLINK("https://www.disneyplus.com/video/b2e1fd41-8496-4860-9ef8-80bed1b92754?cid=DTCI-Synergy-DDN-Site-Acquisition-StarWars-US-StarWars-StarWarsTheCloneWars-EN-BlogArticleEmbed-TCWChronological_StreamOnDisneyPlusCTA-NA","Watch")</x:f>
        <x:v>HYPERLINK is not implemented. linkLocation=https://www.disneyplus.com/video/b2e1fd41-8496-4860-9ef8-80bed1b92754?cid=DTCI-Synergy-DDN-Site-Acquisition-StarWars-US-StarWars-StarWarsTheCloneWars-EN-BlogArticleEmbed-TCWChronological_StreamOnDisneyPlusCTA-NA, friendlyName=Watch</x:v>
      </x:c>
    </x:row>
    <x:row r="87" s="23" customFormat="1" ht="30" customHeight="1">
      <x:c r="A87" s="21" t="b">
        <x:v>0</x:v>
      </x:c>
      <x:c r="B87" s="21" t="n">
        <x:v>81</x:v>
      </x:c>
      <x:c r="C87" s="21" t="inlineStr">
        <x:is>
          <x:t xml:space="preserve">414</x:t>
        </x:is>
      </x:c>
      <x:c r="D87" s="14" t="inlineStr">
        <x:is>
          <x:t xml:space="preserve">A Friend in Need</x:t>
        </x:is>
      </x:c>
      <x:c r="E87" s="14" t="inlineStr">
        <x:is>
          <x:t xml:space="preserve">Season 4, Episode 14</x:t>
        </x:is>
      </x:c>
      <x:c r="F87" s="20" t="e">
        <x:f>HYPERLINK("https://www.starwars.com/series/clone-wars/-episode-guidea-friend-in-need","Episode guide")</x:f>
        <x:v>HYPERLINK is not implemented. linkLocation=https://www.starwars.com/series/clone-wars/-episode-guidea-friend-in-need, friendlyName=Episode guide</x:v>
      </x:c>
      <x:c r="G87" s="20" t="e">
        <x:f>HYPERLINK("https://www.disneyplus.com/video/916bff39-2aae-47db-b43a-e22f4179d093?cid=DTCI-Synergy-DDN-Site-Acquisition-StarWars-US-StarWars-StarWarsTheCloneWars-EN-BlogArticleEmbed-TCWChronological_StreamOnDisneyPlusCTA-NA","Watch")</x:f>
        <x:v>HYPERLINK is not implemented. linkLocation=https://www.disneyplus.com/video/916bff39-2aae-47db-b43a-e22f4179d093?cid=DTCI-Synergy-DDN-Site-Acquisition-StarWars-US-StarWars-StarWarsTheCloneWars-EN-BlogArticleEmbed-TCWChronological_StreamOnDisneyPlusCTA-NA, friendlyName=Watch</x:v>
      </x:c>
    </x:row>
    <x:row r="88" s="23" customFormat="1" ht="30" customHeight="1">
      <x:c r="A88" s="21" t="b">
        <x:v>0</x:v>
      </x:c>
      <x:c r="B88" s="21" t="n">
        <x:v>82</x:v>
      </x:c>
      <x:c r="C88" s="21" t="inlineStr">
        <x:is>
          <x:t xml:space="preserve">415</x:t>
        </x:is>
      </x:c>
      <x:c r="D88" s="14" t="inlineStr">
        <x:is>
          <x:t xml:space="preserve">Deception</x:t>
        </x:is>
      </x:c>
      <x:c r="E88" s="14" t="inlineStr">
        <x:is>
          <x:t xml:space="preserve">Season 4, Episode 15</x:t>
        </x:is>
      </x:c>
      <x:c r="F88" s="20" t="e">
        <x:f>HYPERLINK("https://www.starwars.com/series/clone-wars/deception-episode-guide","Episode guide")</x:f>
        <x:v>HYPERLINK is not implemented. linkLocation=https://www.starwars.com/series/clone-wars/deception-episode-guide, friendlyName=Episode guide</x:v>
      </x:c>
      <x:c r="G88" s="20" t="e">
        <x:f>HYPERLINK("https://www.disneyplus.com/video/c639cb21-5137-4090-a440-8f84a171d235?cid=DTCI-Synergy-DDN-Site-Acquisition-StarWars-US-StarWars-StarWarsTheCloneWars-EN-BlogArticleEmbed-TCWChronological_StreamOnDisneyPlusCTA-NA","Watch")</x:f>
        <x:v>HYPERLINK is not implemented. linkLocation=https://www.disneyplus.com/video/c639cb21-5137-4090-a440-8f84a171d235?cid=DTCI-Synergy-DDN-Site-Acquisition-StarWars-US-StarWars-StarWarsTheCloneWars-EN-BlogArticleEmbed-TCWChronological_StreamOnDisneyPlusCTA-NA, friendlyName=Watch</x:v>
      </x:c>
    </x:row>
    <x:row r="89" s="23" customFormat="1" ht="30" customHeight="1">
      <x:c r="A89" s="21" t="b">
        <x:v>0</x:v>
      </x:c>
      <x:c r="B89" s="21" t="n">
        <x:v>83</x:v>
      </x:c>
      <x:c r="C89" s="21" t="inlineStr">
        <x:is>
          <x:t xml:space="preserve">416</x:t>
        </x:is>
      </x:c>
      <x:c r="D89" s="14" t="inlineStr">
        <x:is>
          <x:t xml:space="preserve">Friends and Enemies</x:t>
        </x:is>
      </x:c>
      <x:c r="E89" s="14" t="inlineStr">
        <x:is>
          <x:t xml:space="preserve">Season 4, Episode 16</x:t>
        </x:is>
      </x:c>
      <x:c r="F89" s="20" t="e">
        <x:f>HYPERLINK("https://www.starwars.com/tv-shows/clone-wars/friends-and-enemies-episode-guide","Episode guide")</x:f>
        <x:v>HYPERLINK is not implemented. linkLocation=https://www.starwars.com/tv-shows/clone-wars/friends-and-enemies-episode-guide, friendlyName=Episode guide</x:v>
      </x:c>
      <x:c r="G89" s="20" t="e">
        <x:f>HYPERLINK("https://www.disneyplus.com/video/8fa14ce6-7c73-48b9-b271-16dffeb62fec?cid=DTCI-Synergy-DDN-Site-Acquisition-StarWars-US-StarWars-StarWarsTheCloneWars-EN-BlogArticleEmbed-TCWChronological_StreamOnDisneyPlusCTA-NA","Watch")</x:f>
        <x:v>HYPERLINK is not implemented. linkLocation=https://www.disneyplus.com/video/8fa14ce6-7c73-48b9-b271-16dffeb62fec?cid=DTCI-Synergy-DDN-Site-Acquisition-StarWars-US-StarWars-StarWarsTheCloneWars-EN-BlogArticleEmbed-TCWChronological_StreamOnDisneyPlusCTA-NA, friendlyName=Watch</x:v>
      </x:c>
    </x:row>
    <x:row r="90" s="23" customFormat="1" ht="30" customHeight="1">
      <x:c r="A90" s="21" t="b">
        <x:v>0</x:v>
      </x:c>
      <x:c r="B90" s="21" t="n">
        <x:v>84</x:v>
      </x:c>
      <x:c r="C90" s="21" t="inlineStr">
        <x:is>
          <x:t xml:space="preserve">417</x:t>
        </x:is>
      </x:c>
      <x:c r="D90" s="14" t="inlineStr">
        <x:is>
          <x:t xml:space="preserve">The Box</x:t>
        </x:is>
      </x:c>
      <x:c r="E90" s="14" t="inlineStr">
        <x:is>
          <x:t xml:space="preserve">Season 4, Episode 17</x:t>
        </x:is>
      </x:c>
      <x:c r="F90" s="20" t="e">
        <x:f>HYPERLINK("https://www.starwars.com/tv-shows/clone-wars/the-box-episode-guide","Episode guide")</x:f>
        <x:v>HYPERLINK is not implemented. linkLocation=https://www.starwars.com/tv-shows/clone-wars/the-box-episode-guide, friendlyName=Episode guide</x:v>
      </x:c>
      <x:c r="G90" s="20" t="e">
        <x:f>HYPERLINK("https://www.disneyplus.com/video/f95cb9de-abf7-4d7f-8a65-d9a731a60f47?cid=DTCI-Synergy-DDN-Site-Acquisition-StarWars-US-StarWars-StarWarsTheCloneWars-EN-BlogArticleEmbed-TCWChronological_StreamOnDisneyPlusCTA-NA","Watch")</x:f>
        <x:v>HYPERLINK is not implemented. linkLocation=https://www.disneyplus.com/video/f95cb9de-abf7-4d7f-8a65-d9a731a60f47?cid=DTCI-Synergy-DDN-Site-Acquisition-StarWars-US-StarWars-StarWarsTheCloneWars-EN-BlogArticleEmbed-TCWChronological_StreamOnDisneyPlusCTA-NA, friendlyName=Watch</x:v>
      </x:c>
    </x:row>
    <x:row r="91" s="23" customFormat="1" ht="30" customHeight="1">
      <x:c r="A91" s="21" t="b">
        <x:v>0</x:v>
      </x:c>
      <x:c r="B91" s="21" t="n">
        <x:v>85</x:v>
      </x:c>
      <x:c r="C91" s="21" t="inlineStr">
        <x:is>
          <x:t xml:space="preserve">418</x:t>
        </x:is>
      </x:c>
      <x:c r="D91" s="14" t="inlineStr">
        <x:is>
          <x:t xml:space="preserve">Crisis on Naboo</x:t>
        </x:is>
      </x:c>
      <x:c r="E91" s="14" t="inlineStr">
        <x:is>
          <x:t xml:space="preserve">Season 4, Episode 18</x:t>
        </x:is>
      </x:c>
      <x:c r="F91" s="20" t="e">
        <x:f>HYPERLINK("https://www.starwars.com/tv-shows/clone-wars/crisis-on-naboo-episode-guide","Episode guide")</x:f>
        <x:v>HYPERLINK is not implemented. linkLocation=https://www.starwars.com/tv-shows/clone-wars/crisis-on-naboo-episode-guide, friendlyName=Episode guide</x:v>
      </x:c>
      <x:c r="G91" s="20" t="e">
        <x:f>HYPERLINK("https://www.disneyplus.com/video/ca31a17c-8cb2-4b69-acf5-4f1e399abf5d?cid=DTCI-Synergy-DDN-Site-Acquisition-StarWars-US-StarWars-StarWarsTheCloneWars-EN-BlogArticleEmbed-TCWChronological_StreamOnDisneyPlusCTA-NA","Watch")</x:f>
        <x:v>HYPERLINK is not implemented. linkLocation=https://www.disneyplus.com/video/ca31a17c-8cb2-4b69-acf5-4f1e399abf5d?cid=DTCI-Synergy-DDN-Site-Acquisition-StarWars-US-StarWars-StarWarsTheCloneWars-EN-BlogArticleEmbed-TCWChronological_StreamOnDisneyPlusCTA-NA, friendlyName=Watch</x:v>
      </x:c>
    </x:row>
    <x:row r="92" s="23" customFormat="1" ht="30" customHeight="1">
      <x:c r="A92" s="21" t="b">
        <x:v>0</x:v>
      </x:c>
      <x:c r="B92" s="21" t="n">
        <x:v>86</x:v>
      </x:c>
      <x:c r="C92" s="21" t="inlineStr">
        <x:is>
          <x:t xml:space="preserve">419</x:t>
        </x:is>
      </x:c>
      <x:c r="D92" s="14" t="inlineStr">
        <x:is>
          <x:t xml:space="preserve">Massacre</x:t>
        </x:is>
      </x:c>
      <x:c r="E92" s="14" t="inlineStr">
        <x:is>
          <x:t xml:space="preserve">Season 4, Episode 19</x:t>
        </x:is>
      </x:c>
      <x:c r="F92" s="20" t="e">
        <x:f>HYPERLINK("https://www.starwars.com/tv-shows/clone-wars/massacre-episode-guide","Episode guide")</x:f>
        <x:v>HYPERLINK is not implemented. linkLocation=https://www.starwars.com/tv-shows/clone-wars/massacre-episode-guide, friendlyName=Episode guide</x:v>
      </x:c>
      <x:c r="G92" s="20" t="e">
        <x:f>HYPERLINK("https://www.disneyplus.com/video/2467b031-3144-40b8-a3c2-55160986820d?cid=DTCI-Synergy-DDN-Site-Acquisition-StarWars-US-StarWars-StarWarsTheCloneWars-EN-BlogArticleEmbed-TCWChronological_StreamOnDisneyPlusCTA-NA","Watch")</x:f>
        <x:v>HYPERLINK is not implemented. linkLocation=https://www.disneyplus.com/video/2467b031-3144-40b8-a3c2-55160986820d?cid=DTCI-Synergy-DDN-Site-Acquisition-StarWars-US-StarWars-StarWarsTheCloneWars-EN-BlogArticleEmbed-TCWChronological_StreamOnDisneyPlusCTA-NA, friendlyName=Watch</x:v>
      </x:c>
    </x:row>
    <x:row r="93" s="23" customFormat="1" ht="30" customHeight="1">
      <x:c r="A93" s="21" t="b">
        <x:v>0</x:v>
      </x:c>
      <x:c r="B93" s="21" t="n">
        <x:v>87</x:v>
      </x:c>
      <x:c r="C93" s="21" t="inlineStr">
        <x:is>
          <x:t xml:space="preserve">420</x:t>
        </x:is>
      </x:c>
      <x:c r="D93" s="14" t="inlineStr">
        <x:is>
          <x:t xml:space="preserve">Bounty</x:t>
        </x:is>
      </x:c>
      <x:c r="E93" s="14" t="inlineStr">
        <x:is>
          <x:t xml:space="preserve">Season 4, Episode 20</x:t>
        </x:is>
      </x:c>
      <x:c r="F93" s="20" t="e">
        <x:f>HYPERLINK("https://www.starwars.com/tv-shows/clone-wars/bounty-episode-guide","Episode guide")</x:f>
        <x:v>HYPERLINK is not implemented. linkLocation=https://www.starwars.com/tv-shows/clone-wars/bounty-episode-guide, friendlyName=Episode guide</x:v>
      </x:c>
      <x:c r="G93" s="20" t="e">
        <x:f>HYPERLINK("https://www.disneyplus.com/video/f7e92583-e67e-4ade-8da8-f64a2b38534a?cid=DTCI-Synergy-DDN-Site-Acquisition-StarWars-US-StarWars-StarWarsTheCloneWars-EN-BlogArticleEmbed-TCWChronological_StreamOnDisneyPlusCTA-NA","Watch")</x:f>
        <x:v>HYPERLINK is not implemented. linkLocation=https://www.disneyplus.com/video/f7e92583-e67e-4ade-8da8-f64a2b38534a?cid=DTCI-Synergy-DDN-Site-Acquisition-StarWars-US-StarWars-StarWarsTheCloneWars-EN-BlogArticleEmbed-TCWChronological_StreamOnDisneyPlusCTA-NA, friendlyName=Watch</x:v>
      </x:c>
    </x:row>
    <x:row r="94" s="23" customFormat="1" ht="30" customHeight="1">
      <x:c r="A94" s="21" t="b">
        <x:v>0</x:v>
      </x:c>
      <x:c r="B94" s="21" t="n">
        <x:v>88</x:v>
      </x:c>
      <x:c r="C94" s="21" t="inlineStr">
        <x:is>
          <x:t xml:space="preserve">421</x:t>
        </x:is>
      </x:c>
      <x:c r="D94" s="14" t="inlineStr">
        <x:is>
          <x:t xml:space="preserve">Brothers</x:t>
        </x:is>
      </x:c>
      <x:c r="E94" s="14" t="inlineStr">
        <x:is>
          <x:t xml:space="preserve">Season 4, Episode 21</x:t>
        </x:is>
      </x:c>
      <x:c r="F94" s="20" t="e">
        <x:f>HYPERLINK("https://www.starwars.com/tv-shows/clone-wars/brothers-episode-guide","Episode guide")</x:f>
        <x:v>HYPERLINK is not implemented. linkLocation=https://www.starwars.com/tv-shows/clone-wars/brothers-episode-guide, friendlyName=Episode guide</x:v>
      </x:c>
      <x:c r="G94" s="20" t="e">
        <x:f>HYPERLINK("https://www.disneyplus.com/video/ea059b38-a21c-4ff2-8e64-6c3bda2d6afc?cid=DTCI-Synergy-DDN-Site-Acquisition-StarWars-US-StarWars-StarWarsTheCloneWars-EN-BlogArticleEmbed-TCWChronological_StreamOnDisneyPlusCTA-NA","Watch")</x:f>
        <x:v>HYPERLINK is not implemented. linkLocation=https://www.disneyplus.com/video/ea059b38-a21c-4ff2-8e64-6c3bda2d6afc?cid=DTCI-Synergy-DDN-Site-Acquisition-StarWars-US-StarWars-StarWarsTheCloneWars-EN-BlogArticleEmbed-TCWChronological_StreamOnDisneyPlusCTA-NA, friendlyName=Watch</x:v>
      </x:c>
    </x:row>
    <x:row r="95" s="23" customFormat="1" ht="30" customHeight="1">
      <x:c r="A95" s="21" t="b">
        <x:v>0</x:v>
      </x:c>
      <x:c r="B95" s="21" t="n">
        <x:v>89</x:v>
      </x:c>
      <x:c r="C95" s="21" t="inlineStr">
        <x:is>
          <x:t xml:space="preserve">422</x:t>
        </x:is>
      </x:c>
      <x:c r="D95" s="14" t="inlineStr">
        <x:is>
          <x:t xml:space="preserve">Revenge</x:t>
        </x:is>
      </x:c>
      <x:c r="E95" s="14" t="inlineStr">
        <x:is>
          <x:t xml:space="preserve">Season 4, Episode 22</x:t>
        </x:is>
      </x:c>
      <x:c r="F95" s="20" t="e">
        <x:f>HYPERLINK("https://www.starwars.com/tv-shows/clone-wars/revenge-episode-guide","Episode guide")</x:f>
        <x:v>HYPERLINK is not implemented. linkLocation=https://www.starwars.com/tv-shows/clone-wars/revenge-episode-guide, friendlyName=Episode guide</x:v>
      </x:c>
      <x:c r="G95" s="20" t="e">
        <x:f>HYPERLINK("https://www.disneyplus.com/video/6a302c32-b9bb-4d73-b69d-7698df40ae54?cid=DTCI-Synergy-DDN-Site-Acquisition-StarWars-US-StarWars-StarWarsTheCloneWars-EN-BlogArticleEmbed-TCWChronological_StreamOnDisneyPlusCTA-NA","Watch")</x:f>
        <x:v>HYPERLINK is not implemented. linkLocation=https://www.disneyplus.com/video/6a302c32-b9bb-4d73-b69d-7698df40ae54?cid=DTCI-Synergy-DDN-Site-Acquisition-StarWars-US-StarWars-StarWarsTheCloneWars-EN-BlogArticleEmbed-TCWChronological_StreamOnDisneyPlusCTA-NA, friendlyName=Watch</x:v>
      </x:c>
    </x:row>
    <x:row r="96" s="23" customFormat="1" ht="30" customHeight="1">
      <x:c r="A96" s="21" t="b">
        <x:v>0</x:v>
      </x:c>
      <x:c r="B96" s="21" t="n">
        <x:v>90</x:v>
      </x:c>
      <x:c r="C96" s="21" t="inlineStr">
        <x:is>
          <x:t xml:space="preserve">502</x:t>
        </x:is>
      </x:c>
      <x:c r="D96" s="14" t="inlineStr">
        <x:is>
          <x:t xml:space="preserve">A War on Two Fronts</x:t>
        </x:is>
      </x:c>
      <x:c r="E96" s="14" t="inlineStr">
        <x:is>
          <x:t xml:space="preserve">Season 5, Episode 2</x:t>
        </x:is>
      </x:c>
      <x:c r="F96" s="20" t="e">
        <x:f>HYPERLINK("https://www.starwars.com/tv-shows/clone-wars/a-war-on-two-fronts-episode-guide","Episode guide")</x:f>
        <x:v>HYPERLINK is not implemented. linkLocation=https://www.starwars.com/tv-shows/clone-wars/a-war-on-two-fronts-episode-guide, friendlyName=Episode guide</x:v>
      </x:c>
      <x:c r="G96" s="20" t="e">
        <x:f>HYPERLINK("https://www.disneyplus.com/video/ede2e807-00f4-4c49-b634-16d7826ef47a?cid=DTCI-Synergy-DDN-Site-Acquisition-StarWars-US-StarWars-StarWarsTheCloneWars-EN-BlogArticleEmbed-TCWChronological_StreamOnDisneyPlusCTA-NA","Watch")</x:f>
        <x:v>HYPERLINK is not implemented. linkLocation=https://www.disneyplus.com/video/ede2e807-00f4-4c49-b634-16d7826ef47a?cid=DTCI-Synergy-DDN-Site-Acquisition-StarWars-US-StarWars-StarWarsTheCloneWars-EN-BlogArticleEmbed-TCWChronological_StreamOnDisneyPlusCTA-NA, friendlyName=Watch</x:v>
      </x:c>
    </x:row>
    <x:row r="97" s="23" customFormat="1" ht="30" customHeight="1">
      <x:c r="A97" s="21" t="b">
        <x:v>0</x:v>
      </x:c>
      <x:c r="B97" s="21" t="n">
        <x:v>91</x:v>
      </x:c>
      <x:c r="C97" s="21" t="inlineStr">
        <x:is>
          <x:t xml:space="preserve">503</x:t>
        </x:is>
      </x:c>
      <x:c r="D97" s="14" t="inlineStr">
        <x:is>
          <x:t xml:space="preserve">Front Runners</x:t>
        </x:is>
      </x:c>
      <x:c r="E97" s="14" t="inlineStr">
        <x:is>
          <x:t xml:space="preserve">Season 5, Episode 3</x:t>
        </x:is>
      </x:c>
      <x:c r="F97" s="20" t="e">
        <x:f>HYPERLINK("https://www.starwars.com/tv-shows/clone-wars/front-runners-episode-guide","Episode guide")</x:f>
        <x:v>HYPERLINK is not implemented. linkLocation=https://www.starwars.com/tv-shows/clone-wars/front-runners-episode-guide, friendlyName=Episode guide</x:v>
      </x:c>
      <x:c r="G97" s="20" t="e">
        <x:f>HYPERLINK("https://www.disneyplus.com/video/e834cd28-5335-43c7-a5f1-9814431f414c?cid=DTCI-Synergy-DDN-Site-Acquisition-StarWars-US-StarWars-StarWarsTheCloneWars-EN-BlogArticleEmbed-TCWChronological_StreamOnDisneyPlusCTA-NA","Watch")</x:f>
        <x:v>HYPERLINK is not implemented. linkLocation=https://www.disneyplus.com/video/e834cd28-5335-43c7-a5f1-9814431f414c?cid=DTCI-Synergy-DDN-Site-Acquisition-StarWars-US-StarWars-StarWarsTheCloneWars-EN-BlogArticleEmbed-TCWChronological_StreamOnDisneyPlusCTA-NA, friendlyName=Watch</x:v>
      </x:c>
    </x:row>
    <x:row r="98" s="23" customFormat="1" ht="30" customHeight="1">
      <x:c r="A98" s="21" t="b">
        <x:v>0</x:v>
      </x:c>
      <x:c r="B98" s="21" t="n">
        <x:v>92</x:v>
      </x:c>
      <x:c r="C98" s="21" t="inlineStr">
        <x:is>
          <x:t xml:space="preserve">504</x:t>
        </x:is>
      </x:c>
      <x:c r="D98" s="14" t="inlineStr">
        <x:is>
          <x:t xml:space="preserve">The Soft War</x:t>
        </x:is>
      </x:c>
      <x:c r="E98" s="14" t="inlineStr">
        <x:is>
          <x:t xml:space="preserve">Season 5, Episode 4</x:t>
        </x:is>
      </x:c>
      <x:c r="F98" s="20" t="e">
        <x:f>HYPERLINK("https://www.starwars.com/tv-shows/clone-wars/the-soft-war-episode-guide","Episode guide")</x:f>
        <x:v>HYPERLINK is not implemented. linkLocation=https://www.starwars.com/tv-shows/clone-wars/the-soft-war-episode-guide, friendlyName=Episode guide</x:v>
      </x:c>
      <x:c r="G98" s="20" t="e">
        <x:f>HYPERLINK("https://www.disneyplus.com/video/bda5b155-0414-458c-9c65-457697ae8fb5?cid=DTCI-Synergy-DDN-Site-Acquisition-StarWars-US-StarWars-StarWarsTheCloneWars-EN-BlogArticleEmbed-TCWChronological_StreamOnDisneyPlusCTA-NA","Watch")</x:f>
        <x:v>HYPERLINK is not implemented. linkLocation=https://www.disneyplus.com/video/bda5b155-0414-458c-9c65-457697ae8fb5?cid=DTCI-Synergy-DDN-Site-Acquisition-StarWars-US-StarWars-StarWarsTheCloneWars-EN-BlogArticleEmbed-TCWChronological_StreamOnDisneyPlusCTA-NA, friendlyName=Watch</x:v>
      </x:c>
    </x:row>
    <x:row r="99" s="23" customFormat="1" ht="30" customHeight="1">
      <x:c r="A99" s="21" t="b">
        <x:v>0</x:v>
      </x:c>
      <x:c r="B99" s="21" t="n">
        <x:v>93</x:v>
      </x:c>
      <x:c r="C99" s="21" t="inlineStr">
        <x:is>
          <x:t xml:space="preserve">505</x:t>
        </x:is>
      </x:c>
      <x:c r="D99" s="14" t="inlineStr">
        <x:is>
          <x:t xml:space="preserve">Tipping Points</x:t>
        </x:is>
      </x:c>
      <x:c r="E99" s="14" t="inlineStr">
        <x:is>
          <x:t xml:space="preserve">Season 5, Episode 5</x:t>
        </x:is>
      </x:c>
      <x:c r="F99" s="20" t="e">
        <x:f>HYPERLINK("https://www.starwars.com/tv-shows/clone-wars/tipping-points-episode-guide","Episode guide")</x:f>
        <x:v>HYPERLINK is not implemented. linkLocation=https://www.starwars.com/tv-shows/clone-wars/tipping-points-episode-guide, friendlyName=Episode guide</x:v>
      </x:c>
      <x:c r="G99" s="20" t="e">
        <x:f>HYPERLINK("https://www.disneyplus.com/video/682b3543-c8ae-4f19-99f9-411bb43a0467?cid=DTCI-Synergy-DDN-Site-Acquisition-StarWars-US-StarWars-StarWarsTheCloneWars-EN-BlogArticleEmbed-TCWChronological_StreamOnDisneyPlusCTA-NA","Watch")</x:f>
        <x:v>HYPERLINK is not implemented. linkLocation=https://www.disneyplus.com/video/682b3543-c8ae-4f19-99f9-411bb43a0467?cid=DTCI-Synergy-DDN-Site-Acquisition-StarWars-US-StarWars-StarWarsTheCloneWars-EN-BlogArticleEmbed-TCWChronological_StreamOnDisneyPlusCTA-NA, friendlyName=Watch</x:v>
      </x:c>
    </x:row>
    <x:row r="100" s="23" customFormat="1" ht="30" customHeight="1">
      <x:c r="A100" s="21" t="b">
        <x:v>0</x:v>
      </x:c>
      <x:c r="B100" s="21" t="n">
        <x:v>94</x:v>
      </x:c>
      <x:c r="C100" s="21" t="inlineStr">
        <x:is>
          <x:t xml:space="preserve">506</x:t>
        </x:is>
      </x:c>
      <x:c r="D100" s="14" t="inlineStr">
        <x:is>
          <x:t xml:space="preserve">The Gathering</x:t>
        </x:is>
      </x:c>
      <x:c r="E100" s="14" t="inlineStr">
        <x:is>
          <x:t xml:space="preserve">Season 5, Episode 6</x:t>
        </x:is>
      </x:c>
      <x:c r="F100" s="20" t="e">
        <x:f>HYPERLINK("https://www.starwars.com/tv-shows/clone-wars/the-gathering-episode-guide","Episode guide")</x:f>
        <x:v>HYPERLINK is not implemented. linkLocation=https://www.starwars.com/tv-shows/clone-wars/the-gathering-episode-guide, friendlyName=Episode guide</x:v>
      </x:c>
      <x:c r="G100" s="20" t="e">
        <x:f>HYPERLINK("https://www.disneyplus.com/video/dce32899-0e62-479d-b33a-37ca69ad9565?cid=DTCI-Synergy-DDN-Site-Acquisition-StarWars-US-StarWars-StarWarsTheCloneWars-EN-BlogArticleEmbed-TCWChronological_StreamOnDisneyPlusCTA-NA","Watch")</x:f>
        <x:v>HYPERLINK is not implemented. linkLocation=https://www.disneyplus.com/video/dce32899-0e62-479d-b33a-37ca69ad9565?cid=DTCI-Synergy-DDN-Site-Acquisition-StarWars-US-StarWars-StarWarsTheCloneWars-EN-BlogArticleEmbed-TCWChronological_StreamOnDisneyPlusCTA-NA, friendlyName=Watch</x:v>
      </x:c>
    </x:row>
    <x:row r="101" s="23" customFormat="1" ht="30" customHeight="1">
      <x:c r="A101" s="21" t="b">
        <x:v>0</x:v>
      </x:c>
      <x:c r="B101" s="21" t="n">
        <x:v>95</x:v>
      </x:c>
      <x:c r="C101" s="21" t="inlineStr">
        <x:is>
          <x:t xml:space="preserve">507</x:t>
        </x:is>
      </x:c>
      <x:c r="D101" s="14" t="inlineStr">
        <x:is>
          <x:t xml:space="preserve">A Test of Strength</x:t>
        </x:is>
      </x:c>
      <x:c r="E101" s="14" t="inlineStr">
        <x:is>
          <x:t xml:space="preserve">Season 5, Episode 7</x:t>
        </x:is>
      </x:c>
      <x:c r="F101" s="20" t="e">
        <x:f>HYPERLINK("https://www.starwars.com/tv-shows/clone-wars/a-test-of-strength-episode-guide","Episode guide")</x:f>
        <x:v>HYPERLINK is not implemented. linkLocation=https://www.starwars.com/tv-shows/clone-wars/a-test-of-strength-episode-guide, friendlyName=Episode guide</x:v>
      </x:c>
      <x:c r="G101" s="20" t="e">
        <x:f>HYPERLINK("https://www.disneyplus.com/video/da339c6c-de91-40f2-a091-09cb11a80f17?cid=DTCI-Synergy-DDN-Site-Acquisition-StarWars-US-StarWars-StarWarsTheCloneWars-EN-BlogArticleEmbed-TCWChronological_StreamOnDisneyPlusCTA-NA","Watch")</x:f>
        <x:v>HYPERLINK is not implemented. linkLocation=https://www.disneyplus.com/video/da339c6c-de91-40f2-a091-09cb11a80f17?cid=DTCI-Synergy-DDN-Site-Acquisition-StarWars-US-StarWars-StarWarsTheCloneWars-EN-BlogArticleEmbed-TCWChronological_StreamOnDisneyPlusCTA-NA, friendlyName=Watch</x:v>
      </x:c>
    </x:row>
    <x:row r="102" s="23" customFormat="1" ht="30" customHeight="1">
      <x:c r="A102" s="21" t="b">
        <x:v>0</x:v>
      </x:c>
      <x:c r="B102" s="21" t="n">
        <x:v>96</x:v>
      </x:c>
      <x:c r="C102" s="21" t="inlineStr">
        <x:is>
          <x:t xml:space="preserve">508</x:t>
        </x:is>
      </x:c>
      <x:c r="D102" s="14" t="inlineStr">
        <x:is>
          <x:t xml:space="preserve">Bound for Rescue</x:t>
        </x:is>
      </x:c>
      <x:c r="E102" s="14" t="inlineStr">
        <x:is>
          <x:t xml:space="preserve">Season 5, Episode 8</x:t>
        </x:is>
      </x:c>
      <x:c r="F102" s="20" t="e">
        <x:f>HYPERLINK("https://www.starwars.com/series/clone-wars/bound-for-rescue-episode-guide","Episode guide")</x:f>
        <x:v>HYPERLINK is not implemented. linkLocation=https://www.starwars.com/series/clone-wars/bound-for-rescue-episode-guide, friendlyName=Episode guide</x:v>
      </x:c>
      <x:c r="G102" s="20" t="e">
        <x:f>HYPERLINK("https://www.disneyplus.com/video/8cc2c6fb-ec6b-406e-a334-bb44f2fed008?cid=DTCI-Synergy-DDN-Site-Acquisition-StarWars-US-StarWars-StarWarsTheCloneWars-EN-BlogArticleEmbed-TCWChronological_StreamOnDisneyPlusCTA-NA","Watch")</x:f>
        <x:v>HYPERLINK is not implemented. linkLocation=https://www.disneyplus.com/video/8cc2c6fb-ec6b-406e-a334-bb44f2fed008?cid=DTCI-Synergy-DDN-Site-Acquisition-StarWars-US-StarWars-StarWarsTheCloneWars-EN-BlogArticleEmbed-TCWChronological_StreamOnDisneyPlusCTA-NA, friendlyName=Watch</x:v>
      </x:c>
    </x:row>
    <x:row r="103" s="23" customFormat="1" ht="30" customHeight="1">
      <x:c r="A103" s="21" t="b">
        <x:v>0</x:v>
      </x:c>
      <x:c r="B103" s="21" t="n">
        <x:v>97</x:v>
      </x:c>
      <x:c r="C103" s="21" t="inlineStr">
        <x:is>
          <x:t xml:space="preserve">509</x:t>
        </x:is>
      </x:c>
      <x:c r="D103" s="14" t="inlineStr">
        <x:is>
          <x:t xml:space="preserve">A Necessary Bond</x:t>
        </x:is>
      </x:c>
      <x:c r="E103" s="14" t="inlineStr">
        <x:is>
          <x:t xml:space="preserve">Season 5, Episode 9</x:t>
        </x:is>
      </x:c>
      <x:c r="F103" s="20" t="e">
        <x:f>HYPERLINK("https://www.starwars.com/series/clone-wars/a-necessary-bond-episode-guide","Episode guide")</x:f>
        <x:v>HYPERLINK is not implemented. linkLocation=https://www.starwars.com/series/clone-wars/a-necessary-bond-episode-guide, friendlyName=Episode guide</x:v>
      </x:c>
      <x:c r="G103" s="20" t="e">
        <x:f>HYPERLINK("https://www.disneyplus.com/video/06eb2462-5d0c-42a9-a1b4-acc9ccfd109e?cid=DTCI-Synergy-DDN-Site-Acquisition-StarWars-US-StarWars-StarWarsTheCloneWars-EN-BlogArticleEmbed-TCWChronological_StreamOnDisneyPlusCTA-NA","Watch")</x:f>
        <x:v>HYPERLINK is not implemented. linkLocation=https://www.disneyplus.com/video/06eb2462-5d0c-42a9-a1b4-acc9ccfd109e?cid=DTCI-Synergy-DDN-Site-Acquisition-StarWars-US-StarWars-StarWarsTheCloneWars-EN-BlogArticleEmbed-TCWChronological_StreamOnDisneyPlusCTA-NA, friendlyName=Watch</x:v>
      </x:c>
    </x:row>
    <x:row r="104" s="23" customFormat="1" ht="30" customHeight="1">
      <x:c r="A104" s="21" t="b">
        <x:v>0</x:v>
      </x:c>
      <x:c r="B104" s="21" t="n">
        <x:v>98</x:v>
      </x:c>
      <x:c r="C104" s="21" t="inlineStr">
        <x:is>
          <x:t xml:space="preserve">510</x:t>
        </x:is>
      </x:c>
      <x:c r="D104" s="14" t="inlineStr">
        <x:is>
          <x:t xml:space="preserve">Secret Weapons</x:t>
        </x:is>
      </x:c>
      <x:c r="E104" s="14" t="inlineStr">
        <x:is>
          <x:t xml:space="preserve">Season 5, Episode 10</x:t>
        </x:is>
      </x:c>
      <x:c r="F104" s="20" t="e">
        <x:f>HYPERLINK("https://www.starwars.com/tv-shows/clone-wars/secret-weapons-episode-guide","Episode guide")</x:f>
        <x:v>HYPERLINK is not implemented. linkLocation=https://www.starwars.com/tv-shows/clone-wars/secret-weapons-episode-guide, friendlyName=Episode guide</x:v>
      </x:c>
      <x:c r="G104" s="20" t="e">
        <x:f>HYPERLINK("https://www.disneyplus.com/video/29f4f86d-1c16-47b5-9f2c-9df1e58fc01f?cid=DTCI-Synergy-DDN-Site-Acquisition-StarWars-US-StarWars-StarWarsTheCloneWars-EN-BlogArticleEmbed-TCWChronological_StreamOnDisneyPlusCTA-NA","Watch")</x:f>
        <x:v>HYPERLINK is not implemented. linkLocation=https://www.disneyplus.com/video/29f4f86d-1c16-47b5-9f2c-9df1e58fc01f?cid=DTCI-Synergy-DDN-Site-Acquisition-StarWars-US-StarWars-StarWarsTheCloneWars-EN-BlogArticleEmbed-TCWChronological_StreamOnDisneyPlusCTA-NA, friendlyName=Watch</x:v>
      </x:c>
    </x:row>
    <x:row r="105" s="23" customFormat="1" ht="30" customHeight="1">
      <x:c r="A105" s="21" t="b">
        <x:v>0</x:v>
      </x:c>
      <x:c r="B105" s="21" t="n">
        <x:v>99</x:v>
      </x:c>
      <x:c r="C105" s="21" t="inlineStr">
        <x:is>
          <x:t xml:space="preserve">511</x:t>
        </x:is>
      </x:c>
      <x:c r="D105" s="14" t="inlineStr">
        <x:is>
          <x:t xml:space="preserve">A Sunny Day in the Void</x:t>
        </x:is>
      </x:c>
      <x:c r="E105" s="14" t="inlineStr">
        <x:is>
          <x:t xml:space="preserve">Season 5, Episode 11</x:t>
        </x:is>
      </x:c>
      <x:c r="F105" s="20" t="e">
        <x:f>HYPERLINK("https://www.starwars.com/tv-shows/clone-wars/a-sunny-day-in-the-void-episode-guide","Episode guide")</x:f>
        <x:v>HYPERLINK is not implemented. linkLocation=https://www.starwars.com/tv-shows/clone-wars/a-sunny-day-in-the-void-episode-guide, friendlyName=Episode guide</x:v>
      </x:c>
      <x:c r="G105" s="20" t="e">
        <x:f>HYPERLINK("https://www.disneyplus.com/video/9c96ac8c-2f1e-463e-8361-218fb2796aff?cid=DTCI-Synergy-DDN-Site-Acquisition-StarWars-US-StarWars-StarWarsTheCloneWars-EN-BlogArticleEmbed-TCWChronological_StreamOnDisneyPlusCTA-NA","Watch")</x:f>
        <x:v>HYPERLINK is not implemented. linkLocation=https://www.disneyplus.com/video/9c96ac8c-2f1e-463e-8361-218fb2796aff?cid=DTCI-Synergy-DDN-Site-Acquisition-StarWars-US-StarWars-StarWarsTheCloneWars-EN-BlogArticleEmbed-TCWChronological_StreamOnDisneyPlusCTA-NA, friendlyName=Watch</x:v>
      </x:c>
    </x:row>
    <x:row r="106" s="23" customFormat="1" ht="30" customHeight="1">
      <x:c r="A106" s="21" t="b">
        <x:v>0</x:v>
      </x:c>
      <x:c r="B106" s="21" t="n">
        <x:v>100</x:v>
      </x:c>
      <x:c r="C106" s="21" t="inlineStr">
        <x:is>
          <x:t xml:space="preserve">512</x:t>
        </x:is>
      </x:c>
      <x:c r="D106" s="14" t="inlineStr">
        <x:is>
          <x:t xml:space="preserve">Missing in Action</x:t>
        </x:is>
      </x:c>
      <x:c r="E106" s="14" t="inlineStr">
        <x:is>
          <x:t xml:space="preserve">Season 5, Episode 12</x:t>
        </x:is>
      </x:c>
      <x:c r="F106" s="20" t="e">
        <x:f>HYPERLINK("https://www.starwars.com/tv-shows/clone-wars/missing-in-action-episode-guide","Episode guide")</x:f>
        <x:v>HYPERLINK is not implemented. linkLocation=https://www.starwars.com/tv-shows/clone-wars/missing-in-action-episode-guide, friendlyName=Episode guide</x:v>
      </x:c>
      <x:c r="G106" s="20" t="e">
        <x:f>HYPERLINK("https://www.disneyplus.com/video/3f8328ff-925d-4554-808c-5dc2c03c5df7?cid=DTCI-Synergy-DDN-Site-Acquisition-StarWars-US-StarWars-StarWarsTheCloneWars-EN-BlogArticleEmbed-TCWChronological_StreamOnDisneyPlusCTA-NA","Watch")</x:f>
        <x:v>HYPERLINK is not implemented. linkLocation=https://www.disneyplus.com/video/3f8328ff-925d-4554-808c-5dc2c03c5df7?cid=DTCI-Synergy-DDN-Site-Acquisition-StarWars-US-StarWars-StarWarsTheCloneWars-EN-BlogArticleEmbed-TCWChronological_StreamOnDisneyPlusCTA-NA, friendlyName=Watch</x:v>
      </x:c>
    </x:row>
    <x:row r="107" s="23" customFormat="1" ht="30" customHeight="1">
      <x:c r="A107" s="21" t="b">
        <x:v>0</x:v>
      </x:c>
      <x:c r="B107" s="21" t="n">
        <x:v>101</x:v>
      </x:c>
      <x:c r="C107" s="21" t="inlineStr">
        <x:is>
          <x:t xml:space="preserve">513</x:t>
        </x:is>
      </x:c>
      <x:c r="D107" s="14" t="inlineStr">
        <x:is>
          <x:t xml:space="preserve">Point of No Return</x:t>
        </x:is>
      </x:c>
      <x:c r="E107" s="14" t="inlineStr">
        <x:is>
          <x:t xml:space="preserve">Season 5, Episode 13</x:t>
        </x:is>
      </x:c>
      <x:c r="F107" s="20" t="e">
        <x:f>HYPERLINK("https://www.starwars.com/tv-shows/clone-wars/point-of-no-return-episode-guide","Episode guide")</x:f>
        <x:v>HYPERLINK is not implemented. linkLocation=https://www.starwars.com/tv-shows/clone-wars/point-of-no-return-episode-guide, friendlyName=Episode guide</x:v>
      </x:c>
      <x:c r="G107" s="20" t="e">
        <x:f>HYPERLINK("https://www.disneyplus.com/video/7fd11383-337a-43ef-a633-94f357cc511a?cid=DTCI-Synergy-DDN-Site-Acquisition-StarWars-US-StarWars-StarWarsTheCloneWars-EN-BlogArticleEmbed-TCWChronological_StreamOnDisneyPlusCTA-NA","Watch")</x:f>
        <x:v>HYPERLINK is not implemented. linkLocation=https://www.disneyplus.com/video/7fd11383-337a-43ef-a633-94f357cc511a?cid=DTCI-Synergy-DDN-Site-Acquisition-StarWars-US-StarWars-StarWarsTheCloneWars-EN-BlogArticleEmbed-TCWChronological_StreamOnDisneyPlusCTA-NA, friendlyName=Watch</x:v>
      </x:c>
    </x:row>
    <x:row r="108" s="23" customFormat="1" ht="30" customHeight="1">
      <x:c r="A108" s="21" t="b">
        <x:v>0</x:v>
      </x:c>
      <x:c r="B108" s="21" t="n">
        <x:v>102</x:v>
      </x:c>
      <x:c r="C108" s="21" t="inlineStr">
        <x:is>
          <x:t xml:space="preserve">501</x:t>
        </x:is>
      </x:c>
      <x:c r="D108" s="14" t="inlineStr">
        <x:is>
          <x:t xml:space="preserve">Revival</x:t>
        </x:is>
      </x:c>
      <x:c r="E108" s="14" t="inlineStr">
        <x:is>
          <x:t xml:space="preserve">Season 5, Episode 1</x:t>
        </x:is>
      </x:c>
      <x:c r="F108" s="20" t="e">
        <x:f>HYPERLINK("https://www.starwars.com/tv-shows/clone-wars/revival-episode-guide","Episode guide")</x:f>
        <x:v>HYPERLINK is not implemented. linkLocation=https://www.starwars.com/tv-shows/clone-wars/revival-episode-guide, friendlyName=Episode guide</x:v>
      </x:c>
      <x:c r="G108" s="20" t="e">
        <x:f>HYPERLINK("https://www.disneyplus.com/video/46bf27c0-bc74-404a-98de-56bbe187d941?cid=DTCI-Synergy-DDN-Site-Acquisition-StarWars-US-StarWars-StarWarsTheCloneWars-EN-BlogArticleEmbed-TCWChronological_StreamOnDisneyPlusCTA-NA","Watch")</x:f>
        <x:v>HYPERLINK is not implemented. linkLocation=https://www.disneyplus.com/video/46bf27c0-bc74-404a-98de-56bbe187d941?cid=DTCI-Synergy-DDN-Site-Acquisition-StarWars-US-StarWars-StarWarsTheCloneWars-EN-BlogArticleEmbed-TCWChronological_StreamOnDisneyPlusCTA-NA, friendlyName=Watch</x:v>
      </x:c>
    </x:row>
    <x:row r="109" s="23" customFormat="1" ht="30" customHeight="1">
      <x:c r="A109" s="21" t="b">
        <x:v>0</x:v>
      </x:c>
      <x:c r="B109" s="21" t="n">
        <x:v>103</x:v>
      </x:c>
      <x:c r="C109" s="21" t="inlineStr">
        <x:is>
          <x:t xml:space="preserve">514</x:t>
        </x:is>
      </x:c>
      <x:c r="D109" s="14" t="inlineStr">
        <x:is>
          <x:t xml:space="preserve">Eminence</x:t>
        </x:is>
      </x:c>
      <x:c r="E109" s="14" t="inlineStr">
        <x:is>
          <x:t xml:space="preserve">Season 5, Episode 14</x:t>
        </x:is>
      </x:c>
      <x:c r="F109" s="20" t="e">
        <x:f>HYPERLINK("https://www.starwars.com/tv-shows/clone-wars/eminence-episode-guide","Episode guide")</x:f>
        <x:v>HYPERLINK is not implemented. linkLocation=https://www.starwars.com/tv-shows/clone-wars/eminence-episode-guide, friendlyName=Episode guide</x:v>
      </x:c>
      <x:c r="G109" s="20" t="e">
        <x:f>HYPERLINK("https://www.disneyplus.com/video/bce6b831-36ff-4ef7-9c85-7ae8030cdbcb?cid=DTCI-Synergy-DDN-Site-Acquisition-StarWars-US-StarWars-StarWarsTheCloneWars-EN-BlogArticleEmbed-TCWChronological_StreamOnDisneyPlusCTA-NA","Watch")</x:f>
        <x:v>HYPERLINK is not implemented. linkLocation=https://www.disneyplus.com/video/bce6b831-36ff-4ef7-9c85-7ae8030cdbcb?cid=DTCI-Synergy-DDN-Site-Acquisition-StarWars-US-StarWars-StarWarsTheCloneWars-EN-BlogArticleEmbed-TCWChronological_StreamOnDisneyPlusCTA-NA, friendlyName=Watch</x:v>
      </x:c>
    </x:row>
    <x:row r="110" s="23" customFormat="1" ht="30" customHeight="1">
      <x:c r="A110" s="21" t="b">
        <x:v>0</x:v>
      </x:c>
      <x:c r="B110" s="21" t="n">
        <x:v>104</x:v>
      </x:c>
      <x:c r="C110" s="21" t="inlineStr">
        <x:is>
          <x:t xml:space="preserve">515</x:t>
        </x:is>
      </x:c>
      <x:c r="D110" s="14" t="inlineStr">
        <x:is>
          <x:t xml:space="preserve">Shades of Reason</x:t>
        </x:is>
      </x:c>
      <x:c r="E110" s="14" t="inlineStr">
        <x:is>
          <x:t xml:space="preserve">Season 5, Episode 15</x:t>
        </x:is>
      </x:c>
      <x:c r="F110" s="20" t="e">
        <x:f>HYPERLINK("https://www.starwars.com/tv-shows/clone-wars/shades-of-reason-episode-guide","Episode guide")</x:f>
        <x:v>HYPERLINK is not implemented. linkLocation=https://www.starwars.com/tv-shows/clone-wars/shades-of-reason-episode-guide, friendlyName=Episode guide</x:v>
      </x:c>
      <x:c r="G110" s="20" t="e">
        <x:f>HYPERLINK("https://www.disneyplus.com/video/9fce5334-6a7b-4308-9d90-e50e579b5cbb?cid=DTCI-Synergy-DDN-Site-Acquisition-StarWars-US-StarWars-StarWarsTheCloneWars-EN-BlogArticleEmbed-TCWChronological_StreamOnDisneyPlusCTA-NA","Watch")</x:f>
        <x:v>HYPERLINK is not implemented. linkLocation=https://www.disneyplus.com/video/9fce5334-6a7b-4308-9d90-e50e579b5cbb?cid=DTCI-Synergy-DDN-Site-Acquisition-StarWars-US-StarWars-StarWarsTheCloneWars-EN-BlogArticleEmbed-TCWChronological_StreamOnDisneyPlusCTA-NA, friendlyName=Watch</x:v>
      </x:c>
    </x:row>
    <x:row r="111" s="23" customFormat="1" ht="30" customHeight="1">
      <x:c r="A111" s="21" t="b">
        <x:v>0</x:v>
      </x:c>
      <x:c r="B111" s="21" t="n">
        <x:v>105</x:v>
      </x:c>
      <x:c r="C111" s="21" t="inlineStr">
        <x:is>
          <x:t xml:space="preserve">516</x:t>
        </x:is>
      </x:c>
      <x:c r="D111" s="14" t="inlineStr">
        <x:is>
          <x:t xml:space="preserve">The Lawless</x:t>
        </x:is>
      </x:c>
      <x:c r="E111" s="14" t="inlineStr">
        <x:is>
          <x:t xml:space="preserve">Season 5, Episode 16</x:t>
        </x:is>
      </x:c>
      <x:c r="F111" s="20" t="e">
        <x:f>HYPERLINK("https://www.starwars.com/tv-shows/clone-wars/the-lawless-episode-guide","Episode guide")</x:f>
        <x:v>HYPERLINK is not implemented. linkLocation=https://www.starwars.com/tv-shows/clone-wars/the-lawless-episode-guide, friendlyName=Episode guide</x:v>
      </x:c>
      <x:c r="G111" s="20" t="e">
        <x:f>HYPERLINK("https://www.disneyplus.com/video/13bc0d23-46f6-4650-952c-57a19aac17bd?cid=DTCI-Synergy-DDN-Site-Acquisition-StarWars-US-StarWars-StarWarsTheCloneWars-EN-BlogArticleEmbed-TCWChronological_StreamOnDisneyPlusCTA-NA","Watch")</x:f>
        <x:v>HYPERLINK is not implemented. linkLocation=https://www.disneyplus.com/video/13bc0d23-46f6-4650-952c-57a19aac17bd?cid=DTCI-Synergy-DDN-Site-Acquisition-StarWars-US-StarWars-StarWarsTheCloneWars-EN-BlogArticleEmbed-TCWChronological_StreamOnDisneyPlusCTA-NA, friendlyName=Watch</x:v>
      </x:c>
    </x:row>
    <x:row r="112" s="23" customFormat="1" ht="30" customHeight="1">
      <x:c r="A112" s="21" t="b">
        <x:v>0</x:v>
      </x:c>
      <x:c r="B112" s="21" t="n">
        <x:v>106</x:v>
      </x:c>
      <x:c r="C112" s="21" t="inlineStr">
        <x:is>
          <x:t xml:space="preserve">517</x:t>
        </x:is>
      </x:c>
      <x:c r="D112" s="14" t="inlineStr">
        <x:is>
          <x:t xml:space="preserve">Sabotage</x:t>
        </x:is>
      </x:c>
      <x:c r="E112" s="14" t="inlineStr">
        <x:is>
          <x:t xml:space="preserve">Season 5, Episode 17</x:t>
        </x:is>
      </x:c>
      <x:c r="F112" s="20" t="e">
        <x:f>HYPERLINK("https://www.starwars.com/tv-shows/clone-wars/sabotage-episode-guide","Episode guide")</x:f>
        <x:v>HYPERLINK is not implemented. linkLocation=https://www.starwars.com/tv-shows/clone-wars/sabotage-episode-guide, friendlyName=Episode guide</x:v>
      </x:c>
      <x:c r="G112" s="20" t="e">
        <x:f>HYPERLINK("https://www.disneyplus.com/video/17176f47-85e5-4687-ae84-a3d7f6984415?cid=DTCI-Synergy-DDN-Site-Acquisition-StarWars-US-StarWars-StarWarsTheCloneWars-EN-BlogArticleEmbed-TCWChronological_StreamOnDisneyPlusCTA-NA","Watch")</x:f>
        <x:v>HYPERLINK is not implemented. linkLocation=https://www.disneyplus.com/video/17176f47-85e5-4687-ae84-a3d7f6984415?cid=DTCI-Synergy-DDN-Site-Acquisition-StarWars-US-StarWars-StarWarsTheCloneWars-EN-BlogArticleEmbed-TCWChronological_StreamOnDisneyPlusCTA-NA, friendlyName=Watch</x:v>
      </x:c>
    </x:row>
    <x:row r="113" s="23" customFormat="1" ht="30" customHeight="1">
      <x:c r="A113" s="21" t="b">
        <x:v>0</x:v>
      </x:c>
      <x:c r="B113" s="21" t="n">
        <x:v>107</x:v>
      </x:c>
      <x:c r="C113" s="21" t="inlineStr">
        <x:is>
          <x:t xml:space="preserve">518</x:t>
        </x:is>
      </x:c>
      <x:c r="D113" s="14" t="inlineStr">
        <x:is>
          <x:t xml:space="preserve">The Jedi Who Knew Too Much</x:t>
        </x:is>
      </x:c>
      <x:c r="E113" s="14" t="inlineStr">
        <x:is>
          <x:t xml:space="preserve">Season 5, Episode 18</x:t>
        </x:is>
      </x:c>
      <x:c r="F113" s="20" t="e">
        <x:f>HYPERLINK("https://www.starwars.com/tv-shows/clone-wars/the-jedi-who-knew-too-much-episode-guide","Episode guide")</x:f>
        <x:v>HYPERLINK is not implemented. linkLocation=https://www.starwars.com/tv-shows/clone-wars/the-jedi-who-knew-too-much-episode-guide, friendlyName=Episode guide</x:v>
      </x:c>
      <x:c r="G113" s="20" t="e">
        <x:f>HYPERLINK("https://www.disneyplus.com/video/a799d6f3-a50e-4be0-b8f2-8102f11c1bb7?cid=DTCI-Synergy-DDN-Site-Acquisition-StarWars-US-StarWars-StarWarsTheCloneWars-EN-BlogArticleEmbed-TCWChronological_StreamOnDisneyPlusCTA-NA","Watch")</x:f>
        <x:v>HYPERLINK is not implemented. linkLocation=https://www.disneyplus.com/video/a799d6f3-a50e-4be0-b8f2-8102f11c1bb7?cid=DTCI-Synergy-DDN-Site-Acquisition-StarWars-US-StarWars-StarWarsTheCloneWars-EN-BlogArticleEmbed-TCWChronological_StreamOnDisneyPlusCTA-NA, friendlyName=Watch</x:v>
      </x:c>
    </x:row>
    <x:row r="114" s="23" customFormat="1" ht="30" customHeight="1">
      <x:c r="A114" s="21" t="b">
        <x:v>0</x:v>
      </x:c>
      <x:c r="B114" s="21" t="n">
        <x:v>108</x:v>
      </x:c>
      <x:c r="C114" s="21" t="inlineStr">
        <x:is>
          <x:t xml:space="preserve">519</x:t>
        </x:is>
      </x:c>
      <x:c r="D114" s="14" t="inlineStr">
        <x:is>
          <x:t xml:space="preserve">To Catch a Jedi</x:t>
        </x:is>
      </x:c>
      <x:c r="E114" s="14" t="inlineStr">
        <x:is>
          <x:t xml:space="preserve">Season 5, Episode 19</x:t>
        </x:is>
      </x:c>
      <x:c r="F114" s="20" t="e">
        <x:f>HYPERLINK("https://www.starwars.com/tv-shows/clone-wars/to-catch-a-jedi-episode-guide","Episode guide")</x:f>
        <x:v>HYPERLINK is not implemented. linkLocation=https://www.starwars.com/tv-shows/clone-wars/to-catch-a-jedi-episode-guide, friendlyName=Episode guide</x:v>
      </x:c>
      <x:c r="G114" s="20" t="e">
        <x:f>HYPERLINK("https://www.disneyplus.com/video/d504b77e-8c64-44a4-b051-ca5e9300d4a9?cid=DTCI-Synergy-DDN-Site-Acquisition-StarWars-US-StarWars-StarWarsTheCloneWars-EN-BlogArticleEmbed-TCWChronological_StreamOnDisneyPlusCTA-NA","Watch")</x:f>
        <x:v>HYPERLINK is not implemented. linkLocation=https://www.disneyplus.com/video/d504b77e-8c64-44a4-b051-ca5e9300d4a9?cid=DTCI-Synergy-DDN-Site-Acquisition-StarWars-US-StarWars-StarWarsTheCloneWars-EN-BlogArticleEmbed-TCWChronological_StreamOnDisneyPlusCTA-NA, friendlyName=Watch</x:v>
      </x:c>
    </x:row>
    <x:row r="115" s="23" customFormat="1" ht="30" customHeight="1">
      <x:c r="A115" s="21" t="b">
        <x:v>0</x:v>
      </x:c>
      <x:c r="B115" s="21" t="n">
        <x:v>109</x:v>
      </x:c>
      <x:c r="C115" s="21" t="inlineStr">
        <x:is>
          <x:t xml:space="preserve">520</x:t>
        </x:is>
      </x:c>
      <x:c r="D115" s="14" t="inlineStr">
        <x:is>
          <x:t xml:space="preserve">The Wrong Jedi</x:t>
        </x:is>
      </x:c>
      <x:c r="E115" s="14" t="inlineStr">
        <x:is>
          <x:t xml:space="preserve">Season 5, Episode 20</x:t>
        </x:is>
      </x:c>
      <x:c r="F115" s="20" t="e">
        <x:f>HYPERLINK("https://www.starwars.com/tv-shows/clone-wars/the-wrong-jedi-episode-guide","Episode guide")</x:f>
        <x:v>HYPERLINK is not implemented. linkLocation=https://www.starwars.com/tv-shows/clone-wars/the-wrong-jedi-episode-guide, friendlyName=Episode guide</x:v>
      </x:c>
      <x:c r="G115" s="20" t="e">
        <x:f>HYPERLINK("https://www.disneyplus.com/video/c09fcde1-1b4d-40da-af52-5d8fa0611a53?cid=DTCI-Synergy-DDN-Site-Acquisition-StarWars-US-StarWars-StarWarsTheCloneWars-EN-BlogArticleEmbed-TCWChronological_StreamOnDisneyPlusCTA-NA","Watch")</x:f>
        <x:v>HYPERLINK is not implemented. linkLocation=https://www.disneyplus.com/video/c09fcde1-1b4d-40da-af52-5d8fa0611a53?cid=DTCI-Synergy-DDN-Site-Acquisition-StarWars-US-StarWars-StarWarsTheCloneWars-EN-BlogArticleEmbed-TCWChronological_StreamOnDisneyPlusCTA-NA, friendlyName=Watch</x:v>
      </x:c>
    </x:row>
    <x:row r="116" s="23" customFormat="1" ht="30" customHeight="1">
      <x:c r="A116" s="21" t="b">
        <x:v>0</x:v>
      </x:c>
      <x:c r="B116" s="21" t="n">
        <x:v>110</x:v>
      </x:c>
      <x:c r="C116" s="21" t="inlineStr">
        <x:is>
          <x:t xml:space="preserve">601</x:t>
        </x:is>
      </x:c>
      <x:c r="D116" s="14" t="inlineStr">
        <x:is>
          <x:t xml:space="preserve">The Unknown</x:t>
        </x:is>
      </x:c>
      <x:c r="E116" s="14" t="inlineStr">
        <x:is>
          <x:t xml:space="preserve">Season 6, Episode 1</x:t>
        </x:is>
      </x:c>
      <x:c r="F116" s="20" t="e">
        <x:f>HYPERLINK("https://www.starwars.com/tv-shows/clone-wars/the-unknown-episode-guide","Episode guide")</x:f>
        <x:v>HYPERLINK is not implemented. linkLocation=https://www.starwars.com/tv-shows/clone-wars/the-unknown-episode-guide, friendlyName=Episode guide</x:v>
      </x:c>
      <x:c r="G116" s="20" t="e">
        <x:f>HYPERLINK("https://www.disneyplus.com/video/ec135b2d-d990-4564-99d4-2e3a2ee866bd?cid=DTCI-Synergy-DDN-Site-Acquisition-StarWars-US-StarWars-StarWarsTheCloneWars-EN-BlogArticleEmbed-TCWChronological_StreamOnDisneyPlusCTA-NA","Watch")</x:f>
        <x:v>HYPERLINK is not implemented. linkLocation=https://www.disneyplus.com/video/ec135b2d-d990-4564-99d4-2e3a2ee866bd?cid=DTCI-Synergy-DDN-Site-Acquisition-StarWars-US-StarWars-StarWarsTheCloneWars-EN-BlogArticleEmbed-TCWChronological_StreamOnDisneyPlusCTA-NA, friendlyName=Watch</x:v>
      </x:c>
    </x:row>
    <x:row r="117" s="23" customFormat="1" ht="30" customHeight="1">
      <x:c r="A117" s="21" t="b">
        <x:v>0</x:v>
      </x:c>
      <x:c r="B117" s="21" t="n">
        <x:v>111</x:v>
      </x:c>
      <x:c r="C117" s="21" t="inlineStr">
        <x:is>
          <x:t xml:space="preserve">602</x:t>
        </x:is>
      </x:c>
      <x:c r="D117" s="14" t="inlineStr">
        <x:is>
          <x:t xml:space="preserve">Conspiracy</x:t>
        </x:is>
      </x:c>
      <x:c r="E117" s="14" t="inlineStr">
        <x:is>
          <x:t xml:space="preserve">Season 6, Episode 2</x:t>
        </x:is>
      </x:c>
      <x:c r="F117" s="20" t="e">
        <x:f>HYPERLINK("https://www.starwars.com/tv-shows/clone-wars/conspiracy-episode-guide","Episode guide")</x:f>
        <x:v>HYPERLINK is not implemented. linkLocation=https://www.starwars.com/tv-shows/clone-wars/conspiracy-episode-guide, friendlyName=Episode guide</x:v>
      </x:c>
      <x:c r="G117" s="20" t="e">
        <x:f>HYPERLINK("https://www.disneyplus.com/video/d4e8fd92-4d92-494d-8d49-d5b148bdcbb5?cid=DTCI-Synergy-DDN-Site-Acquisition-StarWars-US-StarWars-StarWarsTheCloneWars-EN-BlogArticleEmbed-TCWChronological_StreamOnDisneyPlusCTA-NA","Watch")</x:f>
        <x:v>HYPERLINK is not implemented. linkLocation=https://www.disneyplus.com/video/d4e8fd92-4d92-494d-8d49-d5b148bdcbb5?cid=DTCI-Synergy-DDN-Site-Acquisition-StarWars-US-StarWars-StarWarsTheCloneWars-EN-BlogArticleEmbed-TCWChronological_StreamOnDisneyPlusCTA-NA, friendlyName=Watch</x:v>
      </x:c>
    </x:row>
    <x:row r="118" s="23" customFormat="1" ht="30" customHeight="1">
      <x:c r="A118" s="21" t="b">
        <x:v>0</x:v>
      </x:c>
      <x:c r="B118" s="21" t="n">
        <x:v>112</x:v>
      </x:c>
      <x:c r="C118" s="21" t="inlineStr">
        <x:is>
          <x:t xml:space="preserve">603</x:t>
        </x:is>
      </x:c>
      <x:c r="D118" s="14" t="inlineStr">
        <x:is>
          <x:t xml:space="preserve">Fugitive</x:t>
        </x:is>
      </x:c>
      <x:c r="E118" s="14" t="inlineStr">
        <x:is>
          <x:t xml:space="preserve">Season 6, Episode 3</x:t>
        </x:is>
      </x:c>
      <x:c r="F118" s="20" t="e">
        <x:f>HYPERLINK("https://www.starwars.com/tv-shows/clone-wars/fugitive-episode-guide","Episode guide")</x:f>
        <x:v>HYPERLINK is not implemented. linkLocation=https://www.starwars.com/tv-shows/clone-wars/fugitive-episode-guide, friendlyName=Episode guide</x:v>
      </x:c>
      <x:c r="G118" s="20" t="e">
        <x:f>HYPERLINK("https://www.disneyplus.com/video/e3d63b2f-8e40-4064-9fe8-1f32299f17d3?cid=DTCI-Synergy-DDN-Site-Acquisition-StarWars-US-StarWars-StarWarsTheCloneWars-EN-BlogArticleEmbed-TCWChronological_StreamOnDisneyPlusCTA-NA","Watch")</x:f>
        <x:v>HYPERLINK is not implemented. linkLocation=https://www.disneyplus.com/video/e3d63b2f-8e40-4064-9fe8-1f32299f17d3?cid=DTCI-Synergy-DDN-Site-Acquisition-StarWars-US-StarWars-StarWarsTheCloneWars-EN-BlogArticleEmbed-TCWChronological_StreamOnDisneyPlusCTA-NA, friendlyName=Watch</x:v>
      </x:c>
    </x:row>
    <x:row r="119" s="23" customFormat="1" ht="30" customHeight="1">
      <x:c r="A119" s="21" t="b">
        <x:v>0</x:v>
      </x:c>
      <x:c r="B119" s="21" t="n">
        <x:v>113</x:v>
      </x:c>
      <x:c r="C119" s="21" t="inlineStr">
        <x:is>
          <x:t xml:space="preserve">604</x:t>
        </x:is>
      </x:c>
      <x:c r="D119" s="14" t="inlineStr">
        <x:is>
          <x:t xml:space="preserve">Orders</x:t>
        </x:is>
      </x:c>
      <x:c r="E119" s="14" t="inlineStr">
        <x:is>
          <x:t xml:space="preserve">Season 6, Episode 4</x:t>
        </x:is>
      </x:c>
      <x:c r="F119" s="20" t="e">
        <x:f>HYPERLINK("https://www.starwars.com/tv-shows/clone-wars/orders-episode-guide","Episode guide")</x:f>
        <x:v>HYPERLINK is not implemented. linkLocation=https://www.starwars.com/tv-shows/clone-wars/orders-episode-guide, friendlyName=Episode guide</x:v>
      </x:c>
      <x:c r="G119" s="20" t="e">
        <x:f>HYPERLINK("https://www.disneyplus.com/video/46c3decc-a11c-4d2e-a792-069ebe535003?cid=DTCI-Synergy-DDN-Site-Acquisition-StarWars-US-StarWars-StarWarsTheCloneWars-EN-BlogArticleEmbed-TCWChronological_StreamOnDisneyPlusCTA-NA","Watch")</x:f>
        <x:v>HYPERLINK is not implemented. linkLocation=https://www.disneyplus.com/video/46c3decc-a11c-4d2e-a792-069ebe535003?cid=DTCI-Synergy-DDN-Site-Acquisition-StarWars-US-StarWars-StarWarsTheCloneWars-EN-BlogArticleEmbed-TCWChronological_StreamOnDisneyPlusCTA-NA, friendlyName=Watch</x:v>
      </x:c>
    </x:row>
    <x:row r="120" s="23" customFormat="1" ht="30" customHeight="1">
      <x:c r="A120" s="21" t="b">
        <x:v>0</x:v>
      </x:c>
      <x:c r="B120" s="21" t="n">
        <x:v>114</x:v>
      </x:c>
      <x:c r="C120" s="21" t="inlineStr">
        <x:is>
          <x:t xml:space="preserve">605</x:t>
        </x:is>
      </x:c>
      <x:c r="D120" s="14" t="inlineStr">
        <x:is>
          <x:t xml:space="preserve">An Old Friend</x:t>
        </x:is>
      </x:c>
      <x:c r="E120" s="14" t="inlineStr">
        <x:is>
          <x:t xml:space="preserve">Season 6, Episode 5</x:t>
        </x:is>
      </x:c>
      <x:c r="F120" s="20" t="e">
        <x:f>HYPERLINK("https://www.starwars.com/tv-shows/clone-wars/an-old-friend-episode-guide","Episode guide")</x:f>
        <x:v>HYPERLINK is not implemented. linkLocation=https://www.starwars.com/tv-shows/clone-wars/an-old-friend-episode-guide, friendlyName=Episode guide</x:v>
      </x:c>
      <x:c r="G120" s="20" t="e">
        <x:f>HYPERLINK("https://www.disneyplus.com/video/64438a1c-f629-4085-b461-33fac7ea99ba?cid=DTCI-Synergy-DDN-Site-Acquisition-StarWars-US-StarWars-StarWarsTheCloneWars-EN-BlogArticleEmbed-TCWChronological_StreamOnDisneyPlusCTA-NA","Watch")</x:f>
        <x:v>HYPERLINK is not implemented. linkLocation=https://www.disneyplus.com/video/64438a1c-f629-4085-b461-33fac7ea99ba?cid=DTCI-Synergy-DDN-Site-Acquisition-StarWars-US-StarWars-StarWarsTheCloneWars-EN-BlogArticleEmbed-TCWChronological_StreamOnDisneyPlusCTA-NA, friendlyName=Watch</x:v>
      </x:c>
    </x:row>
    <x:row r="121" s="23" customFormat="1" ht="30" customHeight="1">
      <x:c r="A121" s="21" t="b">
        <x:v>0</x:v>
      </x:c>
      <x:c r="B121" s="21" t="n">
        <x:v>115</x:v>
      </x:c>
      <x:c r="C121" s="21" t="inlineStr">
        <x:is>
          <x:t xml:space="preserve">606</x:t>
        </x:is>
      </x:c>
      <x:c r="D121" s="14" t="inlineStr">
        <x:is>
          <x:t xml:space="preserve">The Rise of Clovis</x:t>
        </x:is>
      </x:c>
      <x:c r="E121" s="14" t="inlineStr">
        <x:is>
          <x:t xml:space="preserve">Season 6, Episode 6</x:t>
        </x:is>
      </x:c>
      <x:c r="F121" s="20" t="e">
        <x:f>HYPERLINK("https://www.starwars.com/tv-shows/clone-wars/the-rise-of-clovis-episode-guide","Episode guide")</x:f>
        <x:v>HYPERLINK is not implemented. linkLocation=https://www.starwars.com/tv-shows/clone-wars/the-rise-of-clovis-episode-guide, friendlyName=Episode guide</x:v>
      </x:c>
      <x:c r="G121" s="20" t="e">
        <x:f>HYPERLINK("https://www.disneyplus.com/video/cad54530-94eb-4b92-b380-b0a807d195c5?cid=DTCI-Synergy-DDN-Site-Acquisition-StarWars-US-StarWars-StarWarsTheCloneWars-EN-BlogArticleEmbed-TCWChronological_StreamOnDisneyPlusCTA-NA","Watch")</x:f>
        <x:v>HYPERLINK is not implemented. linkLocation=https://www.disneyplus.com/video/cad54530-94eb-4b92-b380-b0a807d195c5?cid=DTCI-Synergy-DDN-Site-Acquisition-StarWars-US-StarWars-StarWarsTheCloneWars-EN-BlogArticleEmbed-TCWChronological_StreamOnDisneyPlusCTA-NA, friendlyName=Watch</x:v>
      </x:c>
    </x:row>
    <x:row r="122" s="23" customFormat="1" ht="30" customHeight="1">
      <x:c r="A122" s="21" t="b">
        <x:v>0</x:v>
      </x:c>
      <x:c r="B122" s="21" t="n">
        <x:v>116</x:v>
      </x:c>
      <x:c r="C122" s="21" t="inlineStr">
        <x:is>
          <x:t xml:space="preserve">607</x:t>
        </x:is>
      </x:c>
      <x:c r="D122" s="14" t="inlineStr">
        <x:is>
          <x:t xml:space="preserve">Crisis at the Heart</x:t>
        </x:is>
      </x:c>
      <x:c r="E122" s="14" t="inlineStr">
        <x:is>
          <x:t xml:space="preserve">Season 6, Episode 7</x:t>
        </x:is>
      </x:c>
      <x:c r="F122" s="20" t="e">
        <x:f>HYPERLINK("https://www.starwars.com/tv-shows/clone-wars/crisis-at-the-heart-episode-guide","Episode guide")</x:f>
        <x:v>HYPERLINK is not implemented. linkLocation=https://www.starwars.com/tv-shows/clone-wars/crisis-at-the-heart-episode-guide, friendlyName=Episode guide</x:v>
      </x:c>
      <x:c r="G122" s="20" t="e">
        <x:f>HYPERLINK("https://www.disneyplus.com/video/2a2fc61d-3813-4cf8-88a7-cab1975cee35?cid=DTCI-Synergy-DDN-Site-Acquisition-StarWars-US-StarWars-StarWarsTheCloneWars-EN-BlogArticleEmbed-TCWChronological_StreamOnDisneyPlusCTA-NA","Watch")</x:f>
        <x:v>HYPERLINK is not implemented. linkLocation=https://www.disneyplus.com/video/2a2fc61d-3813-4cf8-88a7-cab1975cee35?cid=DTCI-Synergy-DDN-Site-Acquisition-StarWars-US-StarWars-StarWarsTheCloneWars-EN-BlogArticleEmbed-TCWChronological_StreamOnDisneyPlusCTA-NA, friendlyName=Watch</x:v>
      </x:c>
    </x:row>
    <x:row r="123" s="23" customFormat="1" ht="30" customHeight="1">
      <x:c r="A123" s="21" t="b">
        <x:v>0</x:v>
      </x:c>
      <x:c r="B123" s="21" t="n">
        <x:v>117</x:v>
      </x:c>
      <x:c r="C123" s="21" t="inlineStr">
        <x:is>
          <x:t xml:space="preserve">608</x:t>
        </x:is>
      </x:c>
      <x:c r="D123" s="14" t="inlineStr">
        <x:is>
          <x:t xml:space="preserve">The Disappeared</x:t>
        </x:is>
      </x:c>
      <x:c r="E123" s="14" t="inlineStr">
        <x:is>
          <x:t xml:space="preserve">Season 6, Episode 8</x:t>
        </x:is>
      </x:c>
      <x:c r="F123" s="20" t="e">
        <x:f>HYPERLINK("https://www.starwars.com/tv-shows/clone-wars/the-disappeared-part-i-episode-guide","Episode guide")</x:f>
        <x:v>HYPERLINK is not implemented. linkLocation=https://www.starwars.com/tv-shows/clone-wars/the-disappeared-part-i-episode-guide, friendlyName=Episode guide</x:v>
      </x:c>
      <x:c r="G123" s="20" t="e">
        <x:f>HYPERLINK("https://www.disneyplus.com/video/6173c7f8-b2d8-448c-8143-77eb71c73589?cid=DTCI-Synergy-DDN-Site-Acquisition-StarWars-US-StarWars-StarWarsTheCloneWars-EN-BlogArticleEmbed-TCWChronological_StreamOnDisneyPlusCTA-NA","Watch")</x:f>
        <x:v>HYPERLINK is not implemented. linkLocation=https://www.disneyplus.com/video/6173c7f8-b2d8-448c-8143-77eb71c73589?cid=DTCI-Synergy-DDN-Site-Acquisition-StarWars-US-StarWars-StarWarsTheCloneWars-EN-BlogArticleEmbed-TCWChronological_StreamOnDisneyPlusCTA-NA, friendlyName=Watch</x:v>
      </x:c>
    </x:row>
    <x:row r="124" s="23" customFormat="1" ht="30" customHeight="1">
      <x:c r="A124" s="21" t="b">
        <x:v>0</x:v>
      </x:c>
      <x:c r="B124" s="21" t="n">
        <x:v>118</x:v>
      </x:c>
      <x:c r="C124" s="21" t="inlineStr">
        <x:is>
          <x:t xml:space="preserve">609</x:t>
        </x:is>
      </x:c>
      <x:c r="D124" s="14" t="inlineStr">
        <x:is>
          <x:t xml:space="preserve">The Disappeared: Part II</x:t>
        </x:is>
      </x:c>
      <x:c r="E124" s="14" t="inlineStr">
        <x:is>
          <x:t xml:space="preserve">Season 6, Episode 9</x:t>
        </x:is>
      </x:c>
      <x:c r="F124" s="20" t="e">
        <x:f>HYPERLINK("https://www.starwars.com/tv-shows/clone-wars/the-disappeared-part-ii-episode-guide","Episode guide")</x:f>
        <x:v>HYPERLINK is not implemented. linkLocation=https://www.starwars.com/tv-shows/clone-wars/the-disappeared-part-ii-episode-guide, friendlyName=Episode guide</x:v>
      </x:c>
      <x:c r="G124" s="20" t="e">
        <x:f>HYPERLINK("https://www.disneyplus.com/video/2e4fe8fe-c7e3-40dc-87d7-bdb7e02eb896?cid=DTCI-Synergy-DDN-Site-Acquisition-StarWars-US-StarWars-StarWarsTheCloneWars-EN-BlogArticleEmbed-TCWChronological_StreamOnDisneyPlusCTA-NA","Watch")</x:f>
        <x:v>HYPERLINK is not implemented. linkLocation=https://www.disneyplus.com/video/2e4fe8fe-c7e3-40dc-87d7-bdb7e02eb896?cid=DTCI-Synergy-DDN-Site-Acquisition-StarWars-US-StarWars-StarWarsTheCloneWars-EN-BlogArticleEmbed-TCWChronological_StreamOnDisneyPlusCTA-NA, friendlyName=Watch</x:v>
      </x:c>
    </x:row>
    <x:row r="125" s="23" customFormat="1" ht="30" customHeight="1">
      <x:c r="A125" s="21" t="b">
        <x:v>0</x:v>
      </x:c>
      <x:c r="B125" s="21" t="n">
        <x:v>119</x:v>
      </x:c>
      <x:c r="C125" s="21" t="inlineStr">
        <x:is>
          <x:t xml:space="preserve">610</x:t>
        </x:is>
      </x:c>
      <x:c r="D125" s="14" t="inlineStr">
        <x:is>
          <x:t xml:space="preserve">The Lost One</x:t>
        </x:is>
      </x:c>
      <x:c r="E125" s="14" t="inlineStr">
        <x:is>
          <x:t xml:space="preserve">Season 6, Episode 10</x:t>
        </x:is>
      </x:c>
      <x:c r="F125" s="20" t="e">
        <x:f>HYPERLINK("https://www.starwars.com/tv-shows/clone-wars/the-lost-one-episode-guide","Episode guide")</x:f>
        <x:v>HYPERLINK is not implemented. linkLocation=https://www.starwars.com/tv-shows/clone-wars/the-lost-one-episode-guide, friendlyName=Episode guide</x:v>
      </x:c>
      <x:c r="G125" s="20" t="e">
        <x:f>HYPERLINK("https://www.disneyplus.com/video/f8d1131b-c197-4e8e-b1a5-9f9ad5e7cb9b?cid=DTCI-Synergy-DDN-Site-Acquisition-StarWars-US-StarWars-StarWarsTheCloneWars-EN-BlogArticleEmbed-TCWChronological_StreamOnDisneyPlusCTA-NA","Watch")</x:f>
        <x:v>HYPERLINK is not implemented. linkLocation=https://www.disneyplus.com/video/f8d1131b-c197-4e8e-b1a5-9f9ad5e7cb9b?cid=DTCI-Synergy-DDN-Site-Acquisition-StarWars-US-StarWars-StarWarsTheCloneWars-EN-BlogArticleEmbed-TCWChronological_StreamOnDisneyPlusCTA-NA, friendlyName=Watch</x:v>
      </x:c>
    </x:row>
    <x:row r="126" s="23" customFormat="1" ht="30" customHeight="1">
      <x:c r="A126" s="21" t="b">
        <x:v>0</x:v>
      </x:c>
      <x:c r="B126" s="21" t="n">
        <x:v>120</x:v>
      </x:c>
      <x:c r="C126" s="21" t="inlineStr">
        <x:is>
          <x:t xml:space="preserve">611</x:t>
        </x:is>
      </x:c>
      <x:c r="D126" s="14" t="inlineStr">
        <x:is>
          <x:t xml:space="preserve">Voices</x:t>
        </x:is>
      </x:c>
      <x:c r="E126" s="14" t="inlineStr">
        <x:is>
          <x:t xml:space="preserve">Season 6, Episode 11</x:t>
        </x:is>
      </x:c>
      <x:c r="F126" s="20" t="e">
        <x:f>HYPERLINK("https://www.starwars.com/tv-shows/clone-wars/voices-episode-guide","Episode guide")</x:f>
        <x:v>HYPERLINK is not implemented. linkLocation=https://www.starwars.com/tv-shows/clone-wars/voices-episode-guide, friendlyName=Episode guide</x:v>
      </x:c>
      <x:c r="G126" s="20" t="e">
        <x:f>HYPERLINK("https://www.disneyplus.com/video/ced4924c-6c39-4346-b07e-d22fb33de653?cid=DTCI-Synergy-DDN-Site-Acquisition-StarWars-US-StarWars-StarWarsTheCloneWars-EN-BlogArticleEmbed-TCWChronological_StreamOnDisneyPlusCTA-NA","Watch")</x:f>
        <x:v>HYPERLINK is not implemented. linkLocation=https://www.disneyplus.com/video/ced4924c-6c39-4346-b07e-d22fb33de653?cid=DTCI-Synergy-DDN-Site-Acquisition-StarWars-US-StarWars-StarWarsTheCloneWars-EN-BlogArticleEmbed-TCWChronological_StreamOnDisneyPlusCTA-NA, friendlyName=Watch</x:v>
      </x:c>
    </x:row>
    <x:row r="127" s="23" customFormat="1" ht="30" customHeight="1">
      <x:c r="A127" s="21" t="b">
        <x:v>0</x:v>
      </x:c>
      <x:c r="B127" s="21" t="n">
        <x:v>121</x:v>
      </x:c>
      <x:c r="C127" s="21" t="inlineStr">
        <x:is>
          <x:t xml:space="preserve">612</x:t>
        </x:is>
      </x:c>
      <x:c r="D127" s="14" t="inlineStr">
        <x:is>
          <x:t xml:space="preserve">Destiny</x:t>
        </x:is>
      </x:c>
      <x:c r="E127" s="14" t="inlineStr">
        <x:is>
          <x:t xml:space="preserve">Season 6, Episode 12</x:t>
        </x:is>
      </x:c>
      <x:c r="F127" s="20" t="e">
        <x:f>HYPERLINK("https://www.starwars.com/tv-shows/clone-wars/destiny-episode-guide","Episode guide")</x:f>
        <x:v>HYPERLINK is not implemented. linkLocation=https://www.starwars.com/tv-shows/clone-wars/destiny-episode-guide, friendlyName=Episode guide</x:v>
      </x:c>
      <x:c r="G127" s="20" t="e">
        <x:f>HYPERLINK("https://www.disneyplus.com/video/99e77e6b-d43a-4f6f-b07c-51d48ee4c3bd?cid=DTCI-Synergy-DDN-Site-Acquisition-StarWars-US-StarWars-StarWarsTheCloneWars-EN-BlogArticleEmbed-TCWChronological_StreamOnDisneyPlusCTA-NA","Watch")</x:f>
        <x:v>HYPERLINK is not implemented. linkLocation=https://www.disneyplus.com/video/99e77e6b-d43a-4f6f-b07c-51d48ee4c3bd?cid=DTCI-Synergy-DDN-Site-Acquisition-StarWars-US-StarWars-StarWarsTheCloneWars-EN-BlogArticleEmbed-TCWChronological_StreamOnDisneyPlusCTA-NA, friendlyName=Watch</x:v>
      </x:c>
    </x:row>
    <x:row r="128" s="23" customFormat="1" ht="30" customHeight="1">
      <x:c r="A128" s="21" t="b">
        <x:v>0</x:v>
      </x:c>
      <x:c r="B128" s="21" t="n">
        <x:v>122</x:v>
      </x:c>
      <x:c r="C128" s="21" t="inlineStr">
        <x:is>
          <x:t xml:space="preserve">613</x:t>
        </x:is>
      </x:c>
      <x:c r="D128" s="14" t="inlineStr">
        <x:is>
          <x:t xml:space="preserve">Sacrifice</x:t>
        </x:is>
      </x:c>
      <x:c r="E128" s="14" t="inlineStr">
        <x:is>
          <x:t xml:space="preserve">Season 6, Episode 13</x:t>
        </x:is>
      </x:c>
      <x:c r="F128" s="20" t="e">
        <x:f>HYPERLINK("https://www.starwars.com/tv-shows/clone-wars/sacrifice-episode-guide","Episode guide")</x:f>
        <x:v>HYPERLINK is not implemented. linkLocation=https://www.starwars.com/tv-shows/clone-wars/sacrifice-episode-guide, friendlyName=Episode guide</x:v>
      </x:c>
      <x:c r="G128" s="20" t="e">
        <x:f>HYPERLINK("https://www.disneyplus.com/video/37357ff9-88a7-4652-b16e-cda4808d1930?cid=DTCI-Synergy-DDN-Site-Acquisition-StarWars-US-StarWars-StarWarsTheCloneWars-EN-BlogArticleEmbed-TCWChronological_StreamOnDisneyPlusCTA-NA","Watch")</x:f>
        <x:v>HYPERLINK is not implemented. linkLocation=https://www.disneyplus.com/video/37357ff9-88a7-4652-b16e-cda4808d1930?cid=DTCI-Synergy-DDN-Site-Acquisition-StarWars-US-StarWars-StarWarsTheCloneWars-EN-BlogArticleEmbed-TCWChronological_StreamOnDisneyPlusCTA-NA, friendlyName=Watch</x:v>
      </x:c>
    </x:row>
    <x:row r="129" s="23" customFormat="1" ht="30" customHeight="1">
      <x:c r="A129" s="21" t="b">
        <x:v>0</x:v>
      </x:c>
      <x:c r="B129" s="21" t="n">
        <x:v>123</x:v>
      </x:c>
      <x:c r="C129" s="21" t="inlineStr">
        <x:is>
          <x:t xml:space="preserve">705</x:t>
        </x:is>
      </x:c>
      <x:c r="D129" s="14" t="inlineStr">
        <x:is>
          <x:t xml:space="preserve">Gone with a Trace</x:t>
        </x:is>
      </x:c>
      <x:c r="E129" s="14" t="inlineStr">
        <x:is>
          <x:t xml:space="preserve">Season 7, Episode 5</x:t>
        </x:is>
      </x:c>
      <x:c r="F129" s="20" t="e">
        <x:f>HYPERLINK("https://www.starwars.com/series/clone-wars/gone-with-a-trace-episode-guide","Episode guide")</x:f>
        <x:v>HYPERLINK is not implemented. linkLocation=https://www.starwars.com/series/clone-wars/gone-with-a-trace-episode-guide, friendlyName=Episode guide</x:v>
      </x:c>
      <x:c r="G129" s="20" t="e">
        <x:f>HYPERLINK("https://www.disneyplus.com/en-gb/video/a1dfba86-2134-41e9-8794-e8040896bef6?cid=DTCI-Synergy-DDN-Site-Acquisition-StarWars-US-StarWars-StarWarsTheCloneWars-EN-BlogArticleEmbed-TCWChronological_StreamOnDisneyPlusCTA-NA","Watch")</x:f>
        <x:v>HYPERLINK is not implemented. linkLocation=https://www.disneyplus.com/en-gb/video/a1dfba86-2134-41e9-8794-e8040896bef6?cid=DTCI-Synergy-DDN-Site-Acquisition-StarWars-US-StarWars-StarWarsTheCloneWars-EN-BlogArticleEmbed-TCWChronological_StreamOnDisneyPlusCTA-NA, friendlyName=Watch</x:v>
      </x:c>
    </x:row>
    <x:row r="130" s="23" customFormat="1" ht="30" customHeight="1">
      <x:c r="A130" s="21" t="b">
        <x:v>0</x:v>
      </x:c>
      <x:c r="B130" s="21" t="n">
        <x:v>124</x:v>
      </x:c>
      <x:c r="C130" s="21" t="inlineStr">
        <x:is>
          <x:t xml:space="preserve">706</x:t>
        </x:is>
      </x:c>
      <x:c r="D130" s="14" t="inlineStr">
        <x:is>
          <x:t xml:space="preserve">Deal No Deal</x:t>
        </x:is>
      </x:c>
      <x:c r="E130" s="14" t="inlineStr">
        <x:is>
          <x:t xml:space="preserve">Season 7, Episode 6</x:t>
        </x:is>
      </x:c>
      <x:c r="F130" s="20" t="e">
        <x:f>HYPERLINK("https://www.starwars.com/series/clone-wars/deal-no-deal-episode-guide","Episode guide")</x:f>
        <x:v>HYPERLINK is not implemented. linkLocation=https://www.starwars.com/series/clone-wars/deal-no-deal-episode-guide, friendlyName=Episode guide</x:v>
      </x:c>
      <x:c r="G130" s="20" t="e">
        <x:f>HYPERLINK("https://www.disneyplus.com/en-gb/video/7ed29bb0-bfff-462c-ae96-f89a4f3f89e2?cid=DTCI-Synergy-DDN-Site-Acquisition-StarWars-US-StarWars-StarWarsTheCloneWars-EN-BlogArticleEmbed-TCWChronological_StreamOnDisneyPlusCTA-NA","Watch")</x:f>
        <x:v>HYPERLINK is not implemented. linkLocation=https://www.disneyplus.com/en-gb/video/7ed29bb0-bfff-462c-ae96-f89a4f3f89e2?cid=DTCI-Synergy-DDN-Site-Acquisition-StarWars-US-StarWars-StarWarsTheCloneWars-EN-BlogArticleEmbed-TCWChronological_StreamOnDisneyPlusCTA-NA, friendlyName=Watch</x:v>
      </x:c>
    </x:row>
    <x:row r="131" s="23" customFormat="1" ht="30" customHeight="1">
      <x:c r="A131" s="21" t="b">
        <x:v>0</x:v>
      </x:c>
      <x:c r="B131" s="21" t="n">
        <x:v>125</x:v>
      </x:c>
      <x:c r="C131" s="21" t="inlineStr">
        <x:is>
          <x:t xml:space="preserve">707</x:t>
        </x:is>
      </x:c>
      <x:c r="D131" s="14" t="inlineStr">
        <x:is>
          <x:t xml:space="preserve">Dangerous Debt</x:t>
        </x:is>
      </x:c>
      <x:c r="E131" s="14" t="inlineStr">
        <x:is>
          <x:t xml:space="preserve">Season 7, Episode 7</x:t>
        </x:is>
      </x:c>
      <x:c r="F131" s="20" t="e">
        <x:f>HYPERLINK("https://www.starwars.com/series/clone-wars/dangerous-debt-episode-guide","Episode guide")</x:f>
        <x:v>HYPERLINK is not implemented. linkLocation=https://www.starwars.com/series/clone-wars/dangerous-debt-episode-guide, friendlyName=Episode guide</x:v>
      </x:c>
      <x:c r="G131" s="20" t="e">
        <x:f>HYPERLINK("https://www.disneyplus.com/video/468b341b-4d54-4adf-823f-8934ff05800b?cid=DTCI-Synergy-DDN-Site-Acquisition-StarWars-US-StarWars-StarWarsTheCloneWars-EN-BlogArticleEmbed-TCWChronological_StreamOnDisneyPlusCTA-NA","Watch")</x:f>
        <x:v>HYPERLINK is not implemented. linkLocation=https://www.disneyplus.com/video/468b341b-4d54-4adf-823f-8934ff05800b?cid=DTCI-Synergy-DDN-Site-Acquisition-StarWars-US-StarWars-StarWarsTheCloneWars-EN-BlogArticleEmbed-TCWChronological_StreamOnDisneyPlusCTA-NA, friendlyName=Watch</x:v>
      </x:c>
    </x:row>
    <x:row r="132" s="23" customFormat="1" ht="30" customHeight="1">
      <x:c r="A132" s="21" t="b">
        <x:v>0</x:v>
      </x:c>
      <x:c r="B132" s="21" t="n">
        <x:v>126</x:v>
      </x:c>
      <x:c r="C132" s="21" t="inlineStr">
        <x:is>
          <x:t xml:space="preserve">708</x:t>
        </x:is>
      </x:c>
      <x:c r="D132" s="14" t="inlineStr">
        <x:is>
          <x:t xml:space="preserve">Together Again</x:t>
        </x:is>
      </x:c>
      <x:c r="E132" s="14" t="inlineStr">
        <x:is>
          <x:t xml:space="preserve">Season 7, Episode 8</x:t>
        </x:is>
      </x:c>
      <x:c r="F132" s="20" t="e">
        <x:f>HYPERLINK("https://www.starwars.com/series/clone-wars/together-again-episode-guide","Episode guide")</x:f>
        <x:v>HYPERLINK is not implemented. linkLocation=https://www.starwars.com/series/clone-wars/together-again-episode-guide, friendlyName=Episode guide</x:v>
      </x:c>
      <x:c r="G132" s="20" t="e">
        <x:f>HYPERLINK("https://www.disneyplus.com/video/c59f5965-71d6-40e5-8650-ddf076125e0d?cid=DTCI-Synergy-DDN-Site-Acquisition-StarWars-US-StarWars-StarWarsTheCloneWars-EN-BlogArticleEmbed-TCWChronological_StreamOnDisneyPlusCTA-NA","Watch")</x:f>
        <x:v>HYPERLINK is not implemented. linkLocation=https://www.disneyplus.com/video/c59f5965-71d6-40e5-8650-ddf076125e0d?cid=DTCI-Synergy-DDN-Site-Acquisition-StarWars-US-StarWars-StarWarsTheCloneWars-EN-BlogArticleEmbed-TCWChronological_StreamOnDisneyPlusCTA-NA, friendlyName=Watch</x:v>
      </x:c>
    </x:row>
    <x:row r="133" s="23" customFormat="1" ht="30" customHeight="1">
      <x:c r="A133" s="21" t="b">
        <x:v>0</x:v>
      </x:c>
      <x:c r="B133" s="21" t="n">
        <x:v>127</x:v>
      </x:c>
      <x:c r="C133" s="21" t="inlineStr">
        <x:is>
          <x:t xml:space="preserve">701</x:t>
        </x:is>
      </x:c>
      <x:c r="D133" s="14" t="inlineStr">
        <x:is>
          <x:t xml:space="preserve">The Bad Batch</x:t>
        </x:is>
      </x:c>
      <x:c r="E133" s="14" t="inlineStr">
        <x:is>
          <x:t xml:space="preserve">Season 7, Episode 1</x:t>
        </x:is>
      </x:c>
      <x:c r="F133" s="20" t="e">
        <x:f>HYPERLINK("https://www.starwars.com/series/clone-wars/the-bad-batch-episode-guide","Episode guide")</x:f>
        <x:v>HYPERLINK is not implemented. linkLocation=https://www.starwars.com/series/clone-wars/the-bad-batch-episode-guide, friendlyName=Episode guide</x:v>
      </x:c>
      <x:c r="G133" s="20" t="e">
        <x:f>HYPERLINK("https://www.disneyplus.com/en-gb/video/9ee46453-c414-4c89-b3ef-b0d4d1c001fc?cid=DTCI-Synergy-DDN-Site-Acquisition-StarWars-US-StarWars-StarWarsTheCloneWars-EN-BlogArticleEmbed-TCWChronological_StreamOnDisneyPlusCTA-NA","Watch")</x:f>
        <x:v>HYPERLINK is not implemented. linkLocation=https://www.disneyplus.com/en-gb/video/9ee46453-c414-4c89-b3ef-b0d4d1c001fc?cid=DTCI-Synergy-DDN-Site-Acquisition-StarWars-US-StarWars-StarWarsTheCloneWars-EN-BlogArticleEmbed-TCWChronological_StreamOnDisneyPlusCTA-NA, friendlyName=Watch</x:v>
      </x:c>
    </x:row>
    <x:row r="134" s="23" customFormat="1" ht="30" customHeight="1">
      <x:c r="A134" s="21" t="b">
        <x:v>0</x:v>
      </x:c>
      <x:c r="B134" s="21" t="n">
        <x:v>128</x:v>
      </x:c>
      <x:c r="C134" s="21" t="inlineStr">
        <x:is>
          <x:t xml:space="preserve">702</x:t>
        </x:is>
      </x:c>
      <x:c r="D134" s="14" t="inlineStr">
        <x:is>
          <x:t xml:space="preserve">A Distant Echo</x:t>
        </x:is>
      </x:c>
      <x:c r="E134" s="14" t="inlineStr">
        <x:is>
          <x:t xml:space="preserve">Season 7, Episode 2</x:t>
        </x:is>
      </x:c>
      <x:c r="F134" s="20" t="e">
        <x:f>HYPERLINK("https://www.starwars.com/series/clone-wars/a-distant-echo-episode-guide","Episode guide")</x:f>
        <x:v>HYPERLINK is not implemented. linkLocation=https://www.starwars.com/series/clone-wars/a-distant-echo-episode-guide, friendlyName=Episode guide</x:v>
      </x:c>
      <x:c r="G134" s="20" t="e">
        <x:f>HYPERLINK("https://www.disneyplus.com/en-gb/video/cbcde944-1622-4f15-a136-47a85e7f75c1?cid=DTCI-Synergy-DDN-Site-Acquisition-StarWars-US-StarWars-StarWarsTheCloneWars-EN-BlogArticleEmbed-TCWChronological_StreamOnDisneyPlusCTA-NA","Watch")</x:f>
        <x:v>HYPERLINK is not implemented. linkLocation=https://www.disneyplus.com/en-gb/video/cbcde944-1622-4f15-a136-47a85e7f75c1?cid=DTCI-Synergy-DDN-Site-Acquisition-StarWars-US-StarWars-StarWarsTheCloneWars-EN-BlogArticleEmbed-TCWChronological_StreamOnDisneyPlusCTA-NA, friendlyName=Watch</x:v>
      </x:c>
    </x:row>
    <x:row r="135" s="23" customFormat="1" ht="30" customHeight="1">
      <x:c r="A135" s="21" t="b">
        <x:v>0</x:v>
      </x:c>
      <x:c r="B135" s="21" t="n">
        <x:v>129</x:v>
      </x:c>
      <x:c r="C135" s="21" t="inlineStr">
        <x:is>
          <x:t xml:space="preserve">703</x:t>
        </x:is>
      </x:c>
      <x:c r="D135" s="14" t="inlineStr">
        <x:is>
          <x:t xml:space="preserve">On the Wings of Keeradaks</x:t>
        </x:is>
      </x:c>
      <x:c r="E135" s="14" t="inlineStr">
        <x:is>
          <x:t xml:space="preserve">Season 7, Episode 3</x:t>
        </x:is>
      </x:c>
      <x:c r="F135" s="20" t="e">
        <x:f>HYPERLINK("https://www.starwars.com/series/clone-wars/on-the-wings-of-keeradaks-episode-guide","Episode guide")</x:f>
        <x:v>HYPERLINK is not implemented. linkLocation=https://www.starwars.com/series/clone-wars/on-the-wings-of-keeradaks-episode-guide, friendlyName=Episode guide</x:v>
      </x:c>
      <x:c r="G135" s="20" t="e">
        <x:f>HYPERLINK("https://www.disneyplus.com/en-gb/video/1df8336f-23c4-437a-a360-043e5cb26a41?cid=DTCI-Synergy-DDN-Site-Acquisition-StarWars-US-StarWars-StarWarsTheCloneWars-EN-BlogArticleEmbed-TCWChronological_StreamOnDisneyPlusCTA-NA","Watch")</x:f>
        <x:v>HYPERLINK is not implemented. linkLocation=https://www.disneyplus.com/en-gb/video/1df8336f-23c4-437a-a360-043e5cb26a41?cid=DTCI-Synergy-DDN-Site-Acquisition-StarWars-US-StarWars-StarWarsTheCloneWars-EN-BlogArticleEmbed-TCWChronological_StreamOnDisneyPlusCTA-NA, friendlyName=Watch</x:v>
      </x:c>
    </x:row>
    <x:row r="136" s="23" customFormat="1" ht="30" customHeight="1">
      <x:c r="A136" s="21" t="b">
        <x:v>0</x:v>
      </x:c>
      <x:c r="B136" s="21" t="n">
        <x:v>130</x:v>
      </x:c>
      <x:c r="C136" s="21" t="inlineStr">
        <x:is>
          <x:t xml:space="preserve">704</x:t>
        </x:is>
      </x:c>
      <x:c r="D136" s="14" t="inlineStr">
        <x:is>
          <x:t xml:space="preserve">Unfinished Business</x:t>
        </x:is>
      </x:c>
      <x:c r="E136" s="14" t="inlineStr">
        <x:is>
          <x:t xml:space="preserve">Season 7, Episode 4</x:t>
        </x:is>
      </x:c>
      <x:c r="F136" s="20" t="e">
        <x:f>HYPERLINK("https://www.starwars.com/series/clone-wars/unfinished-business-episode-guide","Episode guide")</x:f>
        <x:v>HYPERLINK is not implemented. linkLocation=https://www.starwars.com/series/clone-wars/unfinished-business-episode-guide, friendlyName=Episode guide</x:v>
      </x:c>
      <x:c r="G136" s="20" t="e">
        <x:f>HYPERLINK("https://www.disneyplus.com/en-gb/video/2aba28e0-4dbe-49ab-9512-fa856ff1e791?cid=DTCI-Synergy-DDN-Site-Acquisition-StarWars-US-StarWars-StarWarsTheCloneWars-EN-BlogArticleEmbed-TCWChronological_StreamOnDisneyPlusCTA-NA","Watch")</x:f>
        <x:v>HYPERLINK is not implemented. linkLocation=https://www.disneyplus.com/en-gb/video/2aba28e0-4dbe-49ab-9512-fa856ff1e791?cid=DTCI-Synergy-DDN-Site-Acquisition-StarWars-US-StarWars-StarWarsTheCloneWars-EN-BlogArticleEmbed-TCWChronological_StreamOnDisneyPlusCTA-NA, friendlyName=Watch</x:v>
      </x:c>
    </x:row>
    <x:row r="137" s="23" customFormat="1" ht="30" customHeight="1">
      <x:c r="A137" s="21" t="b">
        <x:v>0</x:v>
      </x:c>
      <x:c r="B137" s="21" t="n">
        <x:v>131</x:v>
      </x:c>
      <x:c r="C137" s="21" t="inlineStr">
        <x:is>
          <x:t xml:space="preserve">709</x:t>
        </x:is>
      </x:c>
      <x:c r="D137" s="14" t="inlineStr">
        <x:is>
          <x:t xml:space="preserve">Old Friends Not Forgotten</x:t>
        </x:is>
      </x:c>
      <x:c r="E137" s="14" t="inlineStr">
        <x:is>
          <x:t xml:space="preserve">Season 7, Episode 9</x:t>
        </x:is>
      </x:c>
      <x:c r="F137" s="20" t="e">
        <x:f>HYPERLINK("https://www.starwars.com/series/clone-wars/old-friends-not-forgotten-episode-guide","Episode guide")</x:f>
        <x:v>HYPERLINK is not implemented. linkLocation=https://www.starwars.com/series/clone-wars/old-friends-not-forgotten-episode-guide, friendlyName=Episode guide</x:v>
      </x:c>
      <x:c r="G137" s="20" t="e">
        <x:f>HYPERLINK("https://www.disneyplus.com/video/0626c961-a67c-4203-bee2-a8166e95b895?cid=DTCI-Synergy-DDN-Site-Acquisition-StarWars-US-StarWars-StarWarsTheCloneWars-EN-BlogArticleEmbed-TCWChronological_StreamOnDisneyPlusCTA-NA","Watch")</x:f>
        <x:v>HYPERLINK is not implemented. linkLocation=https://www.disneyplus.com/video/0626c961-a67c-4203-bee2-a8166e95b895?cid=DTCI-Synergy-DDN-Site-Acquisition-StarWars-US-StarWars-StarWarsTheCloneWars-EN-BlogArticleEmbed-TCWChronological_StreamOnDisneyPlusCTA-NA, friendlyName=Watch</x:v>
      </x:c>
    </x:row>
    <x:row r="138" s="23" customFormat="1" ht="30" customHeight="1">
      <x:c r="A138" s="21" t="b">
        <x:v>0</x:v>
      </x:c>
      <x:c r="B138" s="21" t="n">
        <x:v>132</x:v>
      </x:c>
      <x:c r="C138" s="21" t="inlineStr">
        <x:is>
          <x:t xml:space="preserve">710</x:t>
        </x:is>
      </x:c>
      <x:c r="D138" s="14" t="inlineStr">
        <x:is>
          <x:t xml:space="preserve">The Phantom Apprentice</x:t>
        </x:is>
      </x:c>
      <x:c r="E138" s="14" t="inlineStr">
        <x:is>
          <x:t xml:space="preserve">Season 7, Episode 10</x:t>
        </x:is>
      </x:c>
      <x:c r="F138" s="20" t="e">
        <x:f>HYPERLINK("https://www.starwars.com/series/clone-wars/the-phantom-apprentice-episode-guide","Episode guide")</x:f>
        <x:v>HYPERLINK is not implemented. linkLocation=https://www.starwars.com/series/clone-wars/the-phantom-apprentice-episode-guide, friendlyName=Episode guide</x:v>
      </x:c>
      <x:c r="G138" s="20" t="e">
        <x:f>HYPERLINK("https://www.disneyplus.com/video/24dd0033-1f7d-492e-9114-63a684fa4f78?cid=DTCI-Synergy-DDN-Site-Acquisition-StarWars-US-StarWars-StarWarsTheCloneWars-EN-BlogArticleEmbed-TCWChronological_StreamOnDisneyPlusCTA-NA","Watch")</x:f>
        <x:v>HYPERLINK is not implemented. linkLocation=https://www.disneyplus.com/video/24dd0033-1f7d-492e-9114-63a684fa4f78?cid=DTCI-Synergy-DDN-Site-Acquisition-StarWars-US-StarWars-StarWarsTheCloneWars-EN-BlogArticleEmbed-TCWChronological_StreamOnDisneyPlusCTA-NA, friendlyName=Watch</x:v>
      </x:c>
    </x:row>
    <x:row r="139" s="23" customFormat="1" ht="30" customHeight="1">
      <x:c r="A139" s="21" t="b">
        <x:v>0</x:v>
      </x:c>
      <x:c r="B139" s="21" t="n">
        <x:v>133</x:v>
      </x:c>
      <x:c r="C139" s="21" t="inlineStr">
        <x:is>
          <x:t xml:space="preserve">711</x:t>
        </x:is>
      </x:c>
      <x:c r="D139" s="14" t="inlineStr">
        <x:is>
          <x:t xml:space="preserve">Shattered</x:t>
        </x:is>
      </x:c>
      <x:c r="E139" s="14" t="inlineStr">
        <x:is>
          <x:t xml:space="preserve">Season 7, Episode 11</x:t>
        </x:is>
      </x:c>
      <x:c r="F139" s="20" t="e">
        <x:f>HYPERLINK("https://www.starwars.com/series/clone-wars/shattered-episode-guide","Episode guide")</x:f>
        <x:v>HYPERLINK is not implemented. linkLocation=https://www.starwars.com/series/clone-wars/shattered-episode-guide, friendlyName=Episode guide</x:v>
      </x:c>
      <x:c r="G139" s="20" t="e">
        <x:f>HYPERLINK("https://www.disneyplus.com/video/cfcd7267-d3d1-4e98-92d6-3129b4c8d686?cid=DTCI-Synergy-DDN-Site-Acquisition-StarWars-US-StarWars-StarWarsTheCloneWars-EN-BlogArticleEmbed-TCWChronological_StreamOnDisneyPlusCTA-NA","Watch")</x:f>
        <x:v>HYPERLINK is not implemented. linkLocation=https://www.disneyplus.com/video/cfcd7267-d3d1-4e98-92d6-3129b4c8d686?cid=DTCI-Synergy-DDN-Site-Acquisition-StarWars-US-StarWars-StarWarsTheCloneWars-EN-BlogArticleEmbed-TCWChronological_StreamOnDisneyPlusCTA-NA, friendlyName=Watch</x:v>
      </x:c>
    </x:row>
    <x:row r="140" s="23" customFormat="1" ht="30" customHeight="1">
      <x:c r="A140" s="21" t="b">
        <x:v>0</x:v>
      </x:c>
      <x:c r="B140" s="21" t="n">
        <x:v>134</x:v>
      </x:c>
      <x:c r="C140" s="21" t="inlineStr">
        <x:is>
          <x:t xml:space="preserve">712</x:t>
        </x:is>
      </x:c>
      <x:c r="D140" s="14" t="inlineStr">
        <x:is>
          <x:t xml:space="preserve">Victory and Death</x:t>
        </x:is>
      </x:c>
      <x:c r="E140" s="14" t="inlineStr">
        <x:is>
          <x:t xml:space="preserve">Season 7, Episode 12</x:t>
        </x:is>
      </x:c>
      <x:c r="F140" s="20" t="e">
        <x:f>HYPERLINK("https://www.starwars.com/series/clone-wars/victory-and-death-episode-guide","Episode guide")</x:f>
        <x:v>HYPERLINK is not implemented. linkLocation=https://www.starwars.com/series/clone-wars/victory-and-death-episode-guide, friendlyName=Episode guide</x:v>
      </x:c>
      <x:c r="G140" s="20" t="e">
        <x:f>HYPERLINK("https://www.disneyplus.com/video/f21bd5ab-d24d-4a4a-b09c-d09d4361148b?cid=DTCI-Synergy-DDN-Site-Acquisition-StarWars-US-StarWars-StarWarsTheCloneWars-EN-BlogArticleEmbed-TCWChronological_StreamOnDisneyPlusCTA-NA","Watch")</x:f>
        <x:v>HYPERLINK is not implemented. linkLocation=https://www.disneyplus.com/video/f21bd5ab-d24d-4a4a-b09c-d09d4361148b?cid=DTCI-Synergy-DDN-Site-Acquisition-StarWars-US-StarWars-StarWarsTheCloneWars-EN-BlogArticleEmbed-TCWChronological_StreamOnDisneyPlusCTA-NA, friendlyName=Watch</x:v>
      </x:c>
    </x:row>
    <x:row r="141" s="23" customFormat="1" ht="15.75" customHeight="1"/>
    <x:row r="142" s="23" customFormat="1" ht="15.75" customHeight="1"/>
    <x:row r="143" s="23" customFormat="1" ht="15.75" customHeight="1"/>
    <x:row r="144" s="23" customFormat="1" ht="15.75" customHeight="1"/>
    <x:row r="145" s="23" customFormat="1" ht="15.75" customHeight="1"/>
    <x:row r="146" s="23" customFormat="1" ht="15.75" customHeight="1"/>
    <x:row r="147" s="23" customFormat="1" ht="15.75" customHeight="1"/>
    <x:row r="148" s="23" customFormat="1" ht="15.75" customHeight="1"/>
    <x:row r="149" s="23" customFormat="1" ht="15.75" customHeight="1"/>
    <x:row r="150" s="23" customFormat="1" ht="15.75" customHeight="1"/>
    <x:row r="151" s="23" customFormat="1" ht="15.75" customHeight="1"/>
    <x:row r="152" s="23" customFormat="1" ht="15.75" customHeight="1"/>
    <x:row r="153" s="23" customFormat="1" ht="15.75" customHeight="1"/>
    <x:row r="154" s="23" customFormat="1" ht="15.75" customHeight="1"/>
    <x:row r="155" s="23" customFormat="1" ht="15.75" customHeight="1"/>
    <x:row r="156" s="23" customFormat="1" ht="15.75" customHeight="1"/>
    <x:row r="157" s="23" customFormat="1" ht="15.75" customHeight="1"/>
    <x:row r="158" s="23" customFormat="1" ht="15.75" customHeight="1"/>
    <x:row r="159" s="23" customFormat="1" ht="15.75" customHeight="1"/>
    <x:row r="160" s="23" customFormat="1" ht="15.75" customHeight="1"/>
    <x:row r="161" s="23" customFormat="1" ht="15.75" customHeight="1"/>
    <x:row r="162" s="23" customFormat="1" ht="15.75" customHeight="1"/>
    <x:row r="163" s="23" customFormat="1" ht="15.75" customHeight="1"/>
    <x:row r="164" s="23" customFormat="1" ht="15.75" customHeight="1"/>
    <x:row r="165" s="23" customFormat="1" ht="15.75" customHeight="1"/>
    <x:row r="166" s="23" customFormat="1" ht="15.75" customHeight="1"/>
    <x:row r="167" s="23" customFormat="1" ht="15.75" customHeight="1"/>
    <x:row r="168" s="23" customFormat="1" ht="15.75" customHeight="1"/>
    <x:row r="169" s="23" customFormat="1" ht="15.75" customHeight="1"/>
    <x:row r="170" s="23" customFormat="1" ht="15.75" customHeight="1"/>
    <x:row r="171" s="23" customFormat="1" ht="15.75" customHeight="1"/>
    <x:row r="172" s="23" customFormat="1" ht="15.75" customHeight="1"/>
    <x:row r="173" s="23" customFormat="1" ht="15.75" customHeight="1"/>
    <x:row r="174" s="23" customFormat="1" ht="15.75" customHeight="1"/>
    <x:row r="175" s="23" customFormat="1" ht="15.75" customHeight="1"/>
    <x:row r="176" s="23" customFormat="1" ht="15.75" customHeight="1"/>
    <x:row r="177" s="23" customFormat="1" ht="15.75" customHeight="1"/>
    <x:row r="178" s="23" customFormat="1" ht="15.75" customHeight="1"/>
    <x:row r="179" s="23" customFormat="1" ht="15.75" customHeight="1"/>
    <x:row r="180" s="23" customFormat="1" ht="15.75" customHeight="1"/>
    <x:row r="181" s="23" customFormat="1" ht="15.75" customHeight="1"/>
    <x:row r="182" s="23" customFormat="1" ht="15.75" customHeight="1"/>
    <x:row r="183" s="23" customFormat="1" ht="15.75" customHeight="1"/>
    <x:row r="184" s="23" customFormat="1" ht="15.75" customHeight="1"/>
    <x:row r="185" s="23" customFormat="1" ht="15.75" customHeight="1"/>
    <x:row r="186" s="23" customFormat="1" ht="15.75" customHeight="1"/>
    <x:row r="187" s="23" customFormat="1" ht="15.75" customHeight="1"/>
    <x:row r="188" s="23" customFormat="1" ht="15.75" customHeight="1"/>
    <x:row r="189" s="23" customFormat="1" ht="15.75" customHeight="1"/>
    <x:row r="190" s="23" customFormat="1" ht="15.75" customHeight="1"/>
    <x:row r="191" s="23" customFormat="1" ht="15.75" customHeight="1"/>
    <x:row r="192" s="23" customFormat="1" ht="15.75" customHeight="1"/>
    <x:row r="193" s="23" customFormat="1" ht="15.75" customHeight="1"/>
    <x:row r="194" s="23" customFormat="1" ht="15.75" customHeight="1"/>
    <x:row r="195" s="23" customFormat="1" ht="15.75" customHeight="1"/>
    <x:row r="196" s="23" customFormat="1" ht="15.75" customHeight="1"/>
    <x:row r="197" s="23" customFormat="1" ht="15.75" customHeight="1"/>
    <x:row r="198" s="23" customFormat="1" ht="15.75" customHeight="1"/>
    <x:row r="199" s="23" customFormat="1" ht="15.75" customHeight="1"/>
    <x:row r="200" s="23" customFormat="1" ht="15.75" customHeight="1"/>
    <x:row r="201" s="23" customFormat="1" ht="15.75" customHeight="1"/>
    <x:row r="202" s="23" customFormat="1" ht="15.75" customHeight="1"/>
    <x:row r="203" s="23" customFormat="1" ht="15.75" customHeight="1"/>
    <x:row r="204" s="23" customFormat="1" ht="15.75" customHeight="1"/>
    <x:row r="205" s="23" customFormat="1" ht="15.75" customHeight="1"/>
    <x:row r="206" s="23" customFormat="1" ht="15.75" customHeight="1"/>
    <x:row r="207" s="23" customFormat="1" ht="15.75" customHeight="1"/>
    <x:row r="208" s="23" customFormat="1" ht="15.75" customHeight="1"/>
    <x:row r="209" s="23" customFormat="1" ht="15.75" customHeight="1"/>
    <x:row r="210" s="23" customFormat="1" ht="15.75" customHeight="1"/>
    <x:row r="211" s="23" customFormat="1" ht="15.75" customHeight="1"/>
    <x:row r="212" s="23" customFormat="1" ht="15.75" customHeight="1"/>
    <x:row r="213" s="23" customFormat="1" ht="15.75" customHeight="1"/>
    <x:row r="214" s="23" customFormat="1" ht="15.75" customHeight="1"/>
    <x:row r="215" s="23" customFormat="1" ht="15.75" customHeight="1"/>
    <x:row r="216" s="23" customFormat="1" ht="15.75" customHeight="1"/>
    <x:row r="217" s="23" customFormat="1" ht="15.75" customHeight="1"/>
    <x:row r="218" s="23" customFormat="1" ht="15.75" customHeight="1"/>
    <x:row r="219" s="23" customFormat="1" ht="15.75" customHeight="1"/>
    <x:row r="220" s="23" customFormat="1" ht="15.75" customHeight="1"/>
    <x:row r="221" s="23" customFormat="1" ht="15.75" customHeight="1"/>
    <x:row r="222" s="23" customFormat="1" ht="15.75" customHeight="1"/>
    <x:row r="223" s="23" customFormat="1" ht="15.75" customHeight="1"/>
    <x:row r="224" s="23" customFormat="1" ht="15.75" customHeight="1"/>
    <x:row r="225" s="23" customFormat="1" ht="15.75" customHeight="1"/>
    <x:row r="226" s="23" customFormat="1" ht="15.75" customHeight="1"/>
    <x:row r="227" s="23" customFormat="1" ht="15.75" customHeight="1"/>
    <x:row r="228" s="23" customFormat="1" ht="15.75" customHeight="1"/>
    <x:row r="229" s="23" customFormat="1" ht="15.75" customHeight="1"/>
    <x:row r="230" s="23" customFormat="1" ht="15.75" customHeight="1"/>
    <x:row r="231" s="23" customFormat="1" ht="15.75" customHeight="1"/>
    <x:row r="232" s="23" customFormat="1" ht="15.75" customHeight="1"/>
    <x:row r="233" s="23" customFormat="1" ht="15.75" customHeight="1"/>
    <x:row r="234" s="23" customFormat="1" ht="15.75" customHeight="1"/>
    <x:row r="235" s="23" customFormat="1" ht="15.75" customHeight="1"/>
    <x:row r="236" s="23" customFormat="1" ht="15.75" customHeight="1"/>
    <x:row r="237" s="23" customFormat="1" ht="15.75" customHeight="1"/>
    <x:row r="238" s="23" customFormat="1" ht="15.75" customHeight="1"/>
    <x:row r="239" s="23" customFormat="1" ht="15.75" customHeight="1"/>
    <x:row r="240" s="23" customFormat="1" ht="15.75" customHeight="1"/>
    <x:row r="241" s="23" customFormat="1" ht="15.75" customHeight="1"/>
    <x:row r="242" s="23" customFormat="1" ht="15.75" customHeight="1"/>
    <x:row r="243" s="23" customFormat="1" ht="15.75" customHeight="1"/>
    <x:row r="244" s="23" customFormat="1" ht="15.75" customHeight="1"/>
    <x:row r="245" s="23" customFormat="1" ht="15.75" customHeight="1"/>
    <x:row r="246" s="23" customFormat="1" ht="15.75" customHeight="1"/>
    <x:row r="247" s="23" customFormat="1" ht="15.75" customHeight="1"/>
    <x:row r="248" s="23" customFormat="1" ht="15.75" customHeight="1"/>
    <x:row r="249" s="23" customFormat="1" ht="15.75" customHeight="1"/>
    <x:row r="250" s="23" customFormat="1" ht="15.75" customHeight="1"/>
    <x:row r="251" s="23" customFormat="1" ht="15.75" customHeight="1"/>
    <x:row r="252" s="23" customFormat="1" ht="15.75" customHeight="1"/>
    <x:row r="253" s="23" customFormat="1" ht="15.75" customHeight="1"/>
    <x:row r="254" s="23" customFormat="1" ht="15.75" customHeight="1"/>
    <x:row r="255" s="23" customFormat="1" ht="15.75" customHeight="1"/>
    <x:row r="256" s="23" customFormat="1" ht="15.75" customHeight="1"/>
    <x:row r="257" s="23" customFormat="1" ht="15.75" customHeight="1"/>
    <x:row r="258" s="23" customFormat="1" ht="15.75" customHeight="1"/>
    <x:row r="259" s="23" customFormat="1" ht="15.75" customHeight="1"/>
    <x:row r="260" s="23" customFormat="1" ht="15.75" customHeight="1"/>
    <x:row r="261" s="23" customFormat="1" ht="15.75" customHeight="1"/>
    <x:row r="262" s="23" customFormat="1" ht="15.75" customHeight="1"/>
    <x:row r="263" s="23" customFormat="1" ht="15.75" customHeight="1"/>
    <x:row r="264" s="23" customFormat="1" ht="15.75" customHeight="1"/>
    <x:row r="265" s="23" customFormat="1" ht="15.75" customHeight="1"/>
    <x:row r="266" s="23" customFormat="1" ht="15.75" customHeight="1"/>
    <x:row r="267" s="23" customFormat="1" ht="15.75" customHeight="1"/>
    <x:row r="268" s="23" customFormat="1" ht="15.75" customHeight="1"/>
    <x:row r="269" s="23" customFormat="1" ht="15.75" customHeight="1"/>
    <x:row r="270" s="23" customFormat="1" ht="15.75" customHeight="1"/>
    <x:row r="271" s="23" customFormat="1" ht="15.75" customHeight="1"/>
    <x:row r="272" s="23" customFormat="1" ht="15.75" customHeight="1"/>
    <x:row r="273" s="23" customFormat="1" ht="15.75" customHeight="1"/>
    <x:row r="274" s="23" customFormat="1" ht="15.75" customHeight="1"/>
    <x:row r="275" s="23" customFormat="1" ht="15.75" customHeight="1"/>
    <x:row r="276" s="23" customFormat="1" ht="15.75" customHeight="1"/>
    <x:row r="277" s="23" customFormat="1" ht="15.75" customHeight="1"/>
    <x:row r="278" s="23" customFormat="1" ht="15.75" customHeight="1"/>
    <x:row r="279" s="23" customFormat="1" ht="15.75" customHeight="1"/>
    <x:row r="280" s="23" customFormat="1" ht="15.75" customHeight="1"/>
    <x:row r="281" s="23" customFormat="1" ht="15.75" customHeight="1"/>
    <x:row r="282" s="23" customFormat="1" ht="15.75" customHeight="1"/>
    <x:row r="283" s="23" customFormat="1" ht="15.75" customHeight="1"/>
    <x:row r="284" s="23" customFormat="1" ht="15.75" customHeight="1"/>
    <x:row r="285" s="23" customFormat="1" ht="15.75" customHeight="1"/>
    <x:row r="286" s="23" customFormat="1" ht="15.75" customHeight="1"/>
    <x:row r="287" s="23" customFormat="1" ht="15.75" customHeight="1"/>
    <x:row r="288" s="23" customFormat="1" ht="15.75" customHeight="1"/>
    <x:row r="289" s="23" customFormat="1" ht="15.75" customHeight="1"/>
    <x:row r="290" s="23" customFormat="1" ht="15.75" customHeight="1"/>
    <x:row r="291" s="23" customFormat="1" ht="15.75" customHeight="1"/>
    <x:row r="292" s="23" customFormat="1" ht="15.75" customHeight="1"/>
    <x:row r="293" s="23" customFormat="1" ht="15.75" customHeight="1"/>
    <x:row r="294" s="23" customFormat="1" ht="15.75" customHeight="1"/>
    <x:row r="295" s="23" customFormat="1" ht="15.75" customHeight="1"/>
    <x:row r="296" s="23" customFormat="1" ht="15.75" customHeight="1"/>
    <x:row r="297" s="23" customFormat="1" ht="15.75" customHeight="1"/>
    <x:row r="298" s="23" customFormat="1" ht="15.75" customHeight="1"/>
    <x:row r="299" s="23" customFormat="1" ht="15.75" customHeight="1"/>
    <x:row r="300" s="23" customFormat="1" ht="15.75" customHeight="1"/>
    <x:row r="301" s="23" customFormat="1" ht="15.75" customHeight="1"/>
    <x:row r="302" s="23" customFormat="1" ht="15.75" customHeight="1"/>
    <x:row r="303" s="23" customFormat="1" ht="15.75" customHeight="1"/>
    <x:row r="304" s="23" customFormat="1" ht="15.75" customHeight="1"/>
    <x:row r="305" s="23" customFormat="1" ht="15.75" customHeight="1"/>
    <x:row r="306" s="23" customFormat="1" ht="15.75" customHeight="1"/>
    <x:row r="307" s="23" customFormat="1" ht="15.75" customHeight="1"/>
    <x:row r="308" s="23" customFormat="1" ht="15.75" customHeight="1"/>
    <x:row r="309" s="23" customFormat="1" ht="15.75" customHeight="1"/>
    <x:row r="310" s="23" customFormat="1" ht="15.75" customHeight="1"/>
    <x:row r="311" s="23" customFormat="1" ht="15.75" customHeight="1"/>
    <x:row r="312" s="23" customFormat="1" ht="15.75" customHeight="1"/>
    <x:row r="313" s="23" customFormat="1" ht="15.75" customHeight="1"/>
    <x:row r="314" s="23" customFormat="1" ht="15.75" customHeight="1"/>
    <x:row r="315" s="23" customFormat="1" ht="15.75" customHeight="1"/>
    <x:row r="316" s="23" customFormat="1" ht="15.75" customHeight="1"/>
    <x:row r="317" s="23" customFormat="1" ht="15.75" customHeight="1"/>
    <x:row r="318" s="23" customFormat="1" ht="15.75" customHeight="1"/>
    <x:row r="319" s="23" customFormat="1" ht="15.75" customHeight="1"/>
    <x:row r="320" s="23" customFormat="1" ht="15.75" customHeight="1"/>
    <x:row r="321" s="23" customFormat="1" ht="15.75" customHeight="1"/>
    <x:row r="322" s="23" customFormat="1" ht="15.75" customHeight="1"/>
    <x:row r="323" s="23" customFormat="1" ht="15.75" customHeight="1"/>
    <x:row r="324" s="23" customFormat="1" ht="15.75" customHeight="1"/>
    <x:row r="325" s="23" customFormat="1" ht="15.75" customHeight="1"/>
    <x:row r="326" s="23" customFormat="1" ht="15.75" customHeight="1"/>
    <x:row r="327" s="23" customFormat="1" ht="15.75" customHeight="1"/>
    <x:row r="328" s="23" customFormat="1" ht="15.75" customHeight="1"/>
    <x:row r="329" s="23" customFormat="1" ht="15.75" customHeight="1"/>
    <x:row r="330" s="23" customFormat="1" ht="15.75" customHeight="1"/>
    <x:row r="331" s="23" customFormat="1" ht="15.75" customHeight="1"/>
    <x:row r="332" s="23" customFormat="1" ht="15.75" customHeight="1"/>
    <x:row r="333" s="23" customFormat="1" ht="15.75" customHeight="1"/>
    <x:row r="334" s="23" customFormat="1" ht="15.75" customHeight="1"/>
    <x:row r="335" s="23" customFormat="1" ht="15.75" customHeight="1"/>
    <x:row r="336" s="23" customFormat="1" ht="15.75" customHeight="1"/>
    <x:row r="337" s="23" customFormat="1" ht="15.75" customHeight="1"/>
    <x:row r="338" s="23" customFormat="1" ht="15.75" customHeight="1"/>
    <x:row r="339" s="23" customFormat="1" ht="15.75" customHeight="1"/>
    <x:row r="340" s="23" customFormat="1" ht="15.75" customHeight="1"/>
    <x:row r="341" s="23" customFormat="1" ht="15.75" customHeight="1"/>
    <x:row r="342" s="23" customFormat="1" ht="15.75" customHeight="1"/>
    <x:row r="343" s="23" customFormat="1" ht="15.75" customHeight="1"/>
    <x:row r="344" s="23" customFormat="1" ht="15.75" customHeight="1"/>
    <x:row r="345" s="23" customFormat="1" ht="15.75" customHeight="1"/>
    <x:row r="346" s="23" customFormat="1" ht="15.75" customHeight="1"/>
    <x:row r="347" s="23" customFormat="1" ht="15.75" customHeight="1"/>
    <x:row r="348" s="23" customFormat="1" ht="15.75" customHeight="1"/>
    <x:row r="349" s="23" customFormat="1" ht="15.75" customHeight="1"/>
    <x:row r="350" s="23" customFormat="1" ht="15.75" customHeight="1"/>
    <x:row r="351" s="23" customFormat="1" ht="15.75" customHeight="1"/>
    <x:row r="352" s="23" customFormat="1" ht="15.75" customHeight="1"/>
    <x:row r="353" s="23" customFormat="1" ht="15.75" customHeight="1"/>
    <x:row r="354" s="23" customFormat="1" ht="15.75" customHeight="1"/>
    <x:row r="355" s="23" customFormat="1" ht="15.75" customHeight="1"/>
    <x:row r="356" s="23" customFormat="1" ht="15.75" customHeight="1"/>
    <x:row r="357" s="23" customFormat="1" ht="15.75" customHeight="1"/>
    <x:row r="358" s="23" customFormat="1" ht="15.75" customHeight="1"/>
    <x:row r="359" s="23" customFormat="1" ht="15.75" customHeight="1"/>
    <x:row r="360" s="23" customFormat="1" ht="15.75" customHeight="1"/>
    <x:row r="361" s="23" customFormat="1" ht="15.75" customHeight="1"/>
    <x:row r="362" s="23" customFormat="1" ht="15.75" customHeight="1"/>
    <x:row r="363" s="23" customFormat="1" ht="15.75" customHeight="1"/>
    <x:row r="364" s="23" customFormat="1" ht="15.75" customHeight="1"/>
    <x:row r="365" s="23" customFormat="1" ht="15.75" customHeight="1"/>
    <x:row r="366" s="23" customFormat="1" ht="15.75" customHeight="1"/>
    <x:row r="367" s="23" customFormat="1" ht="15.75" customHeight="1"/>
    <x:row r="368" s="23" customFormat="1" ht="15.75" customHeight="1"/>
    <x:row r="369" s="23" customFormat="1" ht="15.75" customHeight="1"/>
    <x:row r="370" s="23" customFormat="1" ht="15.75" customHeight="1"/>
    <x:row r="371" s="23" customFormat="1" ht="15.75" customHeight="1"/>
    <x:row r="372" s="23" customFormat="1" ht="15.75" customHeight="1"/>
    <x:row r="373" s="23" customFormat="1" ht="15.75" customHeight="1"/>
    <x:row r="374" s="23" customFormat="1" ht="15.75" customHeight="1"/>
    <x:row r="375" s="23" customFormat="1" ht="15.75" customHeight="1"/>
    <x:row r="376" s="23" customFormat="1" ht="15.75" customHeight="1"/>
    <x:row r="377" s="23" customFormat="1" ht="15.75" customHeight="1"/>
    <x:row r="378" s="23" customFormat="1" ht="15.75" customHeight="1"/>
    <x:row r="379" s="23" customFormat="1" ht="15.75" customHeight="1"/>
    <x:row r="380" s="23" customFormat="1" ht="15.75" customHeight="1"/>
    <x:row r="381" s="23" customFormat="1" ht="15.75" customHeight="1"/>
    <x:row r="382" s="23" customFormat="1" ht="15.75" customHeight="1"/>
    <x:row r="383" s="23" customFormat="1" ht="15.75" customHeight="1"/>
    <x:row r="384" s="23" customFormat="1" ht="15.75" customHeight="1"/>
    <x:row r="385" s="23" customFormat="1" ht="15.75" customHeight="1"/>
    <x:row r="386" s="23" customFormat="1" ht="15.75" customHeight="1"/>
    <x:row r="387" s="23" customFormat="1" ht="15.75" customHeight="1"/>
    <x:row r="388" s="23" customFormat="1" ht="15.75" customHeight="1"/>
    <x:row r="389" s="23" customFormat="1" ht="15.75" customHeight="1"/>
    <x:row r="390" s="23" customFormat="1" ht="15.75" customHeight="1"/>
    <x:row r="391" s="23" customFormat="1" ht="15.75" customHeight="1"/>
    <x:row r="392" s="23" customFormat="1" ht="15.75" customHeight="1"/>
    <x:row r="393" s="23" customFormat="1" ht="15.75" customHeight="1"/>
    <x:row r="394" s="23" customFormat="1" ht="15.75" customHeight="1"/>
    <x:row r="395" s="23" customFormat="1" ht="15.75" customHeight="1"/>
    <x:row r="396" s="23" customFormat="1" ht="15.75" customHeight="1"/>
    <x:row r="397" s="23" customFormat="1" ht="15.75" customHeight="1"/>
    <x:row r="398" s="23" customFormat="1" ht="15.75" customHeight="1"/>
    <x:row r="399" s="23" customFormat="1" ht="15.75" customHeight="1"/>
    <x:row r="400" s="23" customFormat="1" ht="15.75" customHeight="1"/>
    <x:row r="401" s="23" customFormat="1" ht="15.75" customHeight="1"/>
    <x:row r="402" s="23" customFormat="1" ht="15.75" customHeight="1"/>
    <x:row r="403" s="23" customFormat="1" ht="15.75" customHeight="1"/>
    <x:row r="404" s="23" customFormat="1" ht="15.75" customHeight="1"/>
    <x:row r="405" s="23" customFormat="1" ht="15.75" customHeight="1"/>
    <x:row r="406" s="23" customFormat="1" ht="15.75" customHeight="1"/>
    <x:row r="407" s="23" customFormat="1" ht="15.75" customHeight="1"/>
    <x:row r="408" s="23" customFormat="1" ht="15.75" customHeight="1"/>
    <x:row r="409" s="23" customFormat="1" ht="15.75" customHeight="1"/>
    <x:row r="410" s="23" customFormat="1" ht="15.75" customHeight="1"/>
    <x:row r="411" s="23" customFormat="1" ht="15.75" customHeight="1"/>
    <x:row r="412" s="23" customFormat="1" ht="15.75" customHeight="1"/>
    <x:row r="413" s="23" customFormat="1" ht="15.75" customHeight="1"/>
    <x:row r="414" s="23" customFormat="1" ht="15.75" customHeight="1"/>
    <x:row r="415" s="23" customFormat="1" ht="15.75" customHeight="1"/>
    <x:row r="416" s="23" customFormat="1" ht="15.75" customHeight="1"/>
    <x:row r="417" s="23" customFormat="1" ht="15.75" customHeight="1"/>
    <x:row r="418" s="23" customFormat="1" ht="15.75" customHeight="1"/>
    <x:row r="419" s="23" customFormat="1" ht="15.75" customHeight="1"/>
    <x:row r="420" s="23" customFormat="1" ht="15.75" customHeight="1"/>
    <x:row r="421" s="23" customFormat="1" ht="15.75" customHeight="1"/>
    <x:row r="422" s="23" customFormat="1" ht="15.75" customHeight="1"/>
    <x:row r="423" s="23" customFormat="1" ht="15.75" customHeight="1"/>
    <x:row r="424" s="23" customFormat="1" ht="15.75" customHeight="1"/>
    <x:row r="425" s="23" customFormat="1" ht="15.75" customHeight="1"/>
    <x:row r="426" s="23" customFormat="1" ht="15.75" customHeight="1"/>
    <x:row r="427" s="23" customFormat="1" ht="15.75" customHeight="1"/>
    <x:row r="428" s="23" customFormat="1" ht="15.75" customHeight="1"/>
    <x:row r="429" s="23" customFormat="1" ht="15.75" customHeight="1"/>
    <x:row r="430" s="23" customFormat="1" ht="15.75" customHeight="1"/>
    <x:row r="431" s="23" customFormat="1" ht="15.75" customHeight="1"/>
    <x:row r="432" s="23" customFormat="1" ht="15.75" customHeight="1"/>
    <x:row r="433" s="23" customFormat="1" ht="15.75" customHeight="1"/>
    <x:row r="434" s="23" customFormat="1" ht="15.75" customHeight="1"/>
    <x:row r="435" s="23" customFormat="1" ht="15.75" customHeight="1"/>
    <x:row r="436" s="23" customFormat="1" ht="15.75" customHeight="1"/>
    <x:row r="437" s="23" customFormat="1" ht="15.75" customHeight="1"/>
    <x:row r="438" s="23" customFormat="1" ht="15.75" customHeight="1"/>
    <x:row r="439" s="23" customFormat="1" ht="15.75" customHeight="1"/>
    <x:row r="440" s="23" customFormat="1" ht="15.75" customHeight="1"/>
    <x:row r="441" s="23" customFormat="1" ht="15.75" customHeight="1"/>
    <x:row r="442" s="23" customFormat="1" ht="15.75" customHeight="1"/>
    <x:row r="443" s="23" customFormat="1" ht="15.75" customHeight="1"/>
    <x:row r="444" s="23" customFormat="1" ht="15.75" customHeight="1"/>
    <x:row r="445" s="23" customFormat="1" ht="15.75" customHeight="1"/>
    <x:row r="446" s="23" customFormat="1" ht="15.75" customHeight="1"/>
    <x:row r="447" s="23" customFormat="1" ht="15.75" customHeight="1"/>
    <x:row r="448" s="23" customFormat="1" ht="15.75" customHeight="1"/>
    <x:row r="449" s="23" customFormat="1" ht="15.75" customHeight="1"/>
    <x:row r="450" s="23" customFormat="1" ht="15.75" customHeight="1"/>
    <x:row r="451" s="23" customFormat="1" ht="15.75" customHeight="1"/>
    <x:row r="452" s="23" customFormat="1" ht="15.75" customHeight="1"/>
    <x:row r="453" s="23" customFormat="1" ht="15.75" customHeight="1"/>
    <x:row r="454" s="23" customFormat="1" ht="15.75" customHeight="1"/>
    <x:row r="455" s="23" customFormat="1" ht="15.75" customHeight="1"/>
    <x:row r="456" s="23" customFormat="1" ht="15.75" customHeight="1"/>
    <x:row r="457" s="23" customFormat="1" ht="15.75" customHeight="1"/>
    <x:row r="458" s="23" customFormat="1" ht="15.75" customHeight="1"/>
    <x:row r="459" s="23" customFormat="1" ht="15.75" customHeight="1"/>
    <x:row r="460" s="23" customFormat="1" ht="15.75" customHeight="1"/>
    <x:row r="461" s="23" customFormat="1" ht="15.75" customHeight="1"/>
    <x:row r="462" s="23" customFormat="1" ht="15.75" customHeight="1"/>
    <x:row r="463" s="23" customFormat="1" ht="15.75" customHeight="1"/>
    <x:row r="464" s="23" customFormat="1" ht="15.75" customHeight="1"/>
    <x:row r="465" s="23" customFormat="1" ht="15.75" customHeight="1"/>
    <x:row r="466" s="23" customFormat="1" ht="15.75" customHeight="1"/>
    <x:row r="467" s="23" customFormat="1" ht="15.75" customHeight="1"/>
    <x:row r="468" s="23" customFormat="1" ht="15.75" customHeight="1"/>
    <x:row r="469" s="23" customFormat="1" ht="15.75" customHeight="1"/>
    <x:row r="470" s="23" customFormat="1" ht="15.75" customHeight="1"/>
    <x:row r="471" s="23" customFormat="1" ht="15.75" customHeight="1"/>
    <x:row r="472" s="23" customFormat="1" ht="15.75" customHeight="1"/>
    <x:row r="473" s="23" customFormat="1" ht="15.75" customHeight="1"/>
    <x:row r="474" s="23" customFormat="1" ht="15.75" customHeight="1"/>
    <x:row r="475" s="23" customFormat="1" ht="15.75" customHeight="1"/>
    <x:row r="476" s="23" customFormat="1" ht="15.75" customHeight="1"/>
    <x:row r="477" s="23" customFormat="1" ht="15.75" customHeight="1"/>
    <x:row r="478" s="23" customFormat="1" ht="15.75" customHeight="1"/>
    <x:row r="479" s="23" customFormat="1" ht="15.75" customHeight="1"/>
    <x:row r="480" s="23" customFormat="1" ht="15.75" customHeight="1"/>
    <x:row r="481" s="23" customFormat="1" ht="15.75" customHeight="1"/>
    <x:row r="482" s="23" customFormat="1" ht="15.75" customHeight="1"/>
    <x:row r="483" s="23" customFormat="1" ht="15.75" customHeight="1"/>
    <x:row r="484" s="23" customFormat="1" ht="15.75" customHeight="1"/>
    <x:row r="485" s="23" customFormat="1" ht="15.75" customHeight="1"/>
    <x:row r="486" s="23" customFormat="1" ht="15.75" customHeight="1"/>
    <x:row r="487" s="23" customFormat="1" ht="15.75" customHeight="1"/>
    <x:row r="488" s="23" customFormat="1" ht="15.75" customHeight="1"/>
    <x:row r="489" s="23" customFormat="1" ht="15.75" customHeight="1"/>
    <x:row r="490" s="23" customFormat="1" ht="15.75" customHeight="1"/>
    <x:row r="491" s="23" customFormat="1" ht="15.75" customHeight="1"/>
    <x:row r="492" s="23" customFormat="1" ht="15.75" customHeight="1"/>
    <x:row r="493" s="23" customFormat="1" ht="15.75" customHeight="1"/>
    <x:row r="494" s="23" customFormat="1" ht="15.75" customHeight="1"/>
    <x:row r="495" s="23" customFormat="1" ht="15.75" customHeight="1"/>
    <x:row r="496" s="23" customFormat="1" ht="15.75" customHeight="1"/>
    <x:row r="497" s="23" customFormat="1" ht="15.75" customHeight="1"/>
    <x:row r="498" s="23" customFormat="1" ht="15.75" customHeight="1"/>
    <x:row r="499" s="23" customFormat="1" ht="15.75" customHeight="1"/>
    <x:row r="500" s="23" customFormat="1" ht="15.75" customHeight="1"/>
    <x:row r="501" s="23" customFormat="1" ht="15.75" customHeight="1"/>
    <x:row r="502" s="23" customFormat="1" ht="15.75" customHeight="1"/>
    <x:row r="503" s="23" customFormat="1" ht="15.75" customHeight="1"/>
    <x:row r="504" s="23" customFormat="1" ht="15.75" customHeight="1"/>
    <x:row r="505" s="23" customFormat="1" ht="15.75" customHeight="1"/>
    <x:row r="506" s="23" customFormat="1" ht="15.75" customHeight="1"/>
    <x:row r="507" s="23" customFormat="1" ht="15.75" customHeight="1"/>
    <x:row r="508" s="23" customFormat="1" ht="15.75" customHeight="1"/>
    <x:row r="509" s="23" customFormat="1" ht="15.75" customHeight="1"/>
    <x:row r="510" s="23" customFormat="1" ht="15.75" customHeight="1"/>
    <x:row r="511" s="23" customFormat="1" ht="15.75" customHeight="1"/>
    <x:row r="512" s="23" customFormat="1" ht="15.75" customHeight="1"/>
    <x:row r="513" s="23" customFormat="1" ht="15.75" customHeight="1"/>
    <x:row r="514" s="23" customFormat="1" ht="15.75" customHeight="1"/>
    <x:row r="515" s="23" customFormat="1" ht="15.75" customHeight="1"/>
    <x:row r="516" s="23" customFormat="1" ht="15.75" customHeight="1"/>
    <x:row r="517" s="23" customFormat="1" ht="15.75" customHeight="1"/>
    <x:row r="518" s="23" customFormat="1" ht="15.75" customHeight="1"/>
    <x:row r="519" s="23" customFormat="1" ht="15.75" customHeight="1"/>
    <x:row r="520" s="23" customFormat="1" ht="15.75" customHeight="1"/>
    <x:row r="521" s="23" customFormat="1" ht="15.75" customHeight="1"/>
    <x:row r="522" s="23" customFormat="1" ht="15.75" customHeight="1"/>
    <x:row r="523" s="23" customFormat="1" ht="15.75" customHeight="1"/>
    <x:row r="524" s="23" customFormat="1" ht="15.75" customHeight="1"/>
    <x:row r="525" s="23" customFormat="1" ht="15.75" customHeight="1"/>
    <x:row r="526" s="23" customFormat="1" ht="15.75" customHeight="1"/>
    <x:row r="527" s="23" customFormat="1" ht="15.75" customHeight="1"/>
    <x:row r="528" s="23" customFormat="1" ht="15.75" customHeight="1"/>
    <x:row r="529" s="23" customFormat="1" ht="15.75" customHeight="1"/>
    <x:row r="530" s="23" customFormat="1" ht="15.75" customHeight="1"/>
    <x:row r="531" s="23" customFormat="1" ht="15.75" customHeight="1"/>
    <x:row r="532" s="23" customFormat="1" ht="15.75" customHeight="1"/>
    <x:row r="533" s="23" customFormat="1" ht="15.75" customHeight="1"/>
    <x:row r="534" s="23" customFormat="1" ht="15.75" customHeight="1"/>
    <x:row r="535" s="23" customFormat="1" ht="15.75" customHeight="1"/>
    <x:row r="536" s="23" customFormat="1" ht="15.75" customHeight="1"/>
    <x:row r="537" s="23" customFormat="1" ht="15.75" customHeight="1"/>
    <x:row r="538" s="23" customFormat="1" ht="15.75" customHeight="1"/>
    <x:row r="539" s="23" customFormat="1" ht="15.75" customHeight="1"/>
    <x:row r="540" s="23" customFormat="1" ht="15.75" customHeight="1"/>
    <x:row r="541" s="23" customFormat="1" ht="15.75" customHeight="1"/>
    <x:row r="542" s="23" customFormat="1" ht="15.75" customHeight="1"/>
    <x:row r="543" s="23" customFormat="1" ht="15.75" customHeight="1"/>
    <x:row r="544" s="23" customFormat="1" ht="15.75" customHeight="1"/>
    <x:row r="545" s="23" customFormat="1" ht="15.75" customHeight="1"/>
    <x:row r="546" s="23" customFormat="1" ht="15.75" customHeight="1"/>
    <x:row r="547" s="23" customFormat="1" ht="15.75" customHeight="1"/>
    <x:row r="548" s="23" customFormat="1" ht="15.75" customHeight="1"/>
    <x:row r="549" s="23" customFormat="1" ht="15.75" customHeight="1"/>
    <x:row r="550" s="23" customFormat="1" ht="15.75" customHeight="1"/>
    <x:row r="551" s="23" customFormat="1" ht="15.75" customHeight="1"/>
    <x:row r="552" s="23" customFormat="1" ht="15.75" customHeight="1"/>
    <x:row r="553" s="23" customFormat="1" ht="15.75" customHeight="1"/>
    <x:row r="554" s="23" customFormat="1" ht="15.75" customHeight="1"/>
    <x:row r="555" s="23" customFormat="1" ht="15.75" customHeight="1"/>
    <x:row r="556" s="23" customFormat="1" ht="15.75" customHeight="1"/>
    <x:row r="557" s="23" customFormat="1" ht="15.75" customHeight="1"/>
    <x:row r="558" s="23" customFormat="1" ht="15.75" customHeight="1"/>
    <x:row r="559" s="23" customFormat="1" ht="15.75" customHeight="1"/>
    <x:row r="560" s="23" customFormat="1" ht="15.75" customHeight="1"/>
    <x:row r="561" s="23" customFormat="1" ht="15.75" customHeight="1"/>
    <x:row r="562" s="23" customFormat="1" ht="15.75" customHeight="1"/>
    <x:row r="563" s="23" customFormat="1" ht="15.75" customHeight="1"/>
    <x:row r="564" s="23" customFormat="1" ht="15.75" customHeight="1"/>
    <x:row r="565" s="23" customFormat="1" ht="15.75" customHeight="1"/>
    <x:row r="566" s="23" customFormat="1" ht="15.75" customHeight="1"/>
    <x:row r="567" s="23" customFormat="1" ht="15.75" customHeight="1"/>
    <x:row r="568" s="23" customFormat="1" ht="15.75" customHeight="1"/>
    <x:row r="569" s="23" customFormat="1" ht="15.75" customHeight="1"/>
    <x:row r="570" s="23" customFormat="1" ht="15.75" customHeight="1"/>
    <x:row r="571" s="23" customFormat="1" ht="15.75" customHeight="1"/>
    <x:row r="572" s="23" customFormat="1" ht="15.75" customHeight="1"/>
    <x:row r="573" s="23" customFormat="1" ht="15.75" customHeight="1"/>
    <x:row r="574" s="23" customFormat="1" ht="15.75" customHeight="1"/>
    <x:row r="575" s="23" customFormat="1" ht="15.75" customHeight="1"/>
    <x:row r="576" s="23" customFormat="1" ht="15.75" customHeight="1"/>
    <x:row r="577" s="23" customFormat="1" ht="15.75" customHeight="1"/>
    <x:row r="578" s="23" customFormat="1" ht="15.75" customHeight="1"/>
    <x:row r="579" s="23" customFormat="1" ht="15.75" customHeight="1"/>
    <x:row r="580" s="23" customFormat="1" ht="15.75" customHeight="1"/>
    <x:row r="581" s="23" customFormat="1" ht="15.75" customHeight="1"/>
    <x:row r="582" s="23" customFormat="1" ht="15.75" customHeight="1"/>
    <x:row r="583" s="23" customFormat="1" ht="15.75" customHeight="1"/>
    <x:row r="584" s="23" customFormat="1" ht="15.75" customHeight="1"/>
    <x:row r="585" s="23" customFormat="1" ht="15.75" customHeight="1"/>
    <x:row r="586" s="23" customFormat="1" ht="15.75" customHeight="1"/>
    <x:row r="587" s="23" customFormat="1" ht="15.75" customHeight="1"/>
    <x:row r="588" s="23" customFormat="1" ht="15.75" customHeight="1"/>
    <x:row r="589" s="23" customFormat="1" ht="15.75" customHeight="1"/>
    <x:row r="590" s="23" customFormat="1" ht="15.75" customHeight="1"/>
    <x:row r="591" s="23" customFormat="1" ht="15.75" customHeight="1"/>
    <x:row r="592" s="23" customFormat="1" ht="15.75" customHeight="1"/>
    <x:row r="593" s="23" customFormat="1" ht="15.75" customHeight="1"/>
    <x:row r="594" s="23" customFormat="1" ht="15.75" customHeight="1"/>
    <x:row r="595" s="23" customFormat="1" ht="15.75" customHeight="1"/>
    <x:row r="596" s="23" customFormat="1" ht="15.75" customHeight="1"/>
    <x:row r="597" s="23" customFormat="1" ht="15.75" customHeight="1"/>
    <x:row r="598" s="23" customFormat="1" ht="15.75" customHeight="1"/>
    <x:row r="599" s="23" customFormat="1" ht="15.75" customHeight="1"/>
    <x:row r="600" s="23" customFormat="1" ht="15.75" customHeight="1"/>
    <x:row r="601" s="23" customFormat="1" ht="15.75" customHeight="1"/>
    <x:row r="602" s="23" customFormat="1" ht="15.75" customHeight="1"/>
    <x:row r="603" s="23" customFormat="1" ht="15.75" customHeight="1"/>
    <x:row r="604" s="23" customFormat="1" ht="15.75" customHeight="1"/>
    <x:row r="605" s="23" customFormat="1" ht="15.75" customHeight="1"/>
    <x:row r="606" s="23" customFormat="1" ht="15.75" customHeight="1"/>
    <x:row r="607" s="23" customFormat="1" ht="15.75" customHeight="1"/>
    <x:row r="608" s="23" customFormat="1" ht="15.75" customHeight="1"/>
    <x:row r="609" s="23" customFormat="1" ht="15.75" customHeight="1"/>
    <x:row r="610" s="23" customFormat="1" ht="15.75" customHeight="1"/>
    <x:row r="611" s="23" customFormat="1" ht="15.75" customHeight="1"/>
    <x:row r="612" s="23" customFormat="1" ht="15.75" customHeight="1"/>
    <x:row r="613" s="23" customFormat="1" ht="15.75" customHeight="1"/>
    <x:row r="614" s="23" customFormat="1" ht="15.75" customHeight="1"/>
    <x:row r="615" s="23" customFormat="1" ht="15.75" customHeight="1"/>
    <x:row r="616" s="23" customFormat="1" ht="15.75" customHeight="1"/>
    <x:row r="617" s="23" customFormat="1" ht="15.75" customHeight="1"/>
    <x:row r="618" s="23" customFormat="1" ht="15.75" customHeight="1"/>
    <x:row r="619" s="23" customFormat="1" ht="15.75" customHeight="1"/>
    <x:row r="620" s="23" customFormat="1" ht="15.75" customHeight="1"/>
    <x:row r="621" s="23" customFormat="1" ht="15.75" customHeight="1"/>
    <x:row r="622" s="23" customFormat="1" ht="15.75" customHeight="1"/>
    <x:row r="623" s="23" customFormat="1" ht="15.75" customHeight="1"/>
    <x:row r="624" s="23" customFormat="1" ht="15.75" customHeight="1"/>
    <x:row r="625" s="23" customFormat="1" ht="15.75" customHeight="1"/>
    <x:row r="626" s="23" customFormat="1" ht="15.75" customHeight="1"/>
    <x:row r="627" s="23" customFormat="1" ht="15.75" customHeight="1"/>
    <x:row r="628" s="23" customFormat="1" ht="15.75" customHeight="1"/>
    <x:row r="629" s="23" customFormat="1" ht="15.75" customHeight="1"/>
    <x:row r="630" s="23" customFormat="1" ht="15.75" customHeight="1"/>
    <x:row r="631" s="23" customFormat="1" ht="15.75" customHeight="1"/>
    <x:row r="632" s="23" customFormat="1" ht="15.75" customHeight="1"/>
    <x:row r="633" s="23" customFormat="1" ht="15.75" customHeight="1"/>
    <x:row r="634" s="23" customFormat="1" ht="15.75" customHeight="1"/>
    <x:row r="635" s="23" customFormat="1" ht="15.75" customHeight="1"/>
    <x:row r="636" s="23" customFormat="1" ht="15.75" customHeight="1"/>
    <x:row r="637" s="23" customFormat="1" ht="15.75" customHeight="1"/>
    <x:row r="638" s="23" customFormat="1" ht="15.75" customHeight="1"/>
    <x:row r="639" s="23" customFormat="1" ht="15.75" customHeight="1"/>
    <x:row r="640" s="23" customFormat="1" ht="15.75" customHeight="1"/>
    <x:row r="641" s="23" customFormat="1" ht="15.75" customHeight="1"/>
    <x:row r="642" s="23" customFormat="1" ht="15.75" customHeight="1"/>
    <x:row r="643" s="23" customFormat="1" ht="15.75" customHeight="1"/>
    <x:row r="644" s="23" customFormat="1" ht="15.75" customHeight="1"/>
    <x:row r="645" s="23" customFormat="1" ht="15.75" customHeight="1"/>
    <x:row r="646" s="23" customFormat="1" ht="15.75" customHeight="1"/>
    <x:row r="647" s="23" customFormat="1" ht="15.75" customHeight="1"/>
    <x:row r="648" s="23" customFormat="1" ht="15.75" customHeight="1"/>
    <x:row r="649" s="23" customFormat="1" ht="15.75" customHeight="1"/>
    <x:row r="650" s="23" customFormat="1" ht="15.75" customHeight="1"/>
    <x:row r="651" s="23" customFormat="1" ht="15.75" customHeight="1"/>
    <x:row r="652" s="23" customFormat="1" ht="15.75" customHeight="1"/>
    <x:row r="653" s="23" customFormat="1" ht="15.75" customHeight="1"/>
    <x:row r="654" s="23" customFormat="1" ht="15.75" customHeight="1"/>
    <x:row r="655" s="23" customFormat="1" ht="15.75" customHeight="1"/>
    <x:row r="656" s="23" customFormat="1" ht="15.75" customHeight="1"/>
    <x:row r="657" s="23" customFormat="1" ht="15.75" customHeight="1"/>
    <x:row r="658" s="23" customFormat="1" ht="15.75" customHeight="1"/>
    <x:row r="659" s="23" customFormat="1" ht="15.75" customHeight="1"/>
    <x:row r="660" s="23" customFormat="1" ht="15.75" customHeight="1"/>
    <x:row r="661" s="23" customFormat="1" ht="15.75" customHeight="1"/>
    <x:row r="662" s="23" customFormat="1" ht="15.75" customHeight="1"/>
    <x:row r="663" s="23" customFormat="1" ht="15.75" customHeight="1"/>
    <x:row r="664" s="23" customFormat="1" ht="15.75" customHeight="1"/>
    <x:row r="665" s="23" customFormat="1" ht="15.75" customHeight="1"/>
    <x:row r="666" s="23" customFormat="1" ht="15.75" customHeight="1"/>
    <x:row r="667" s="23" customFormat="1" ht="15.75" customHeight="1"/>
    <x:row r="668" s="23" customFormat="1" ht="15.75" customHeight="1"/>
    <x:row r="669" s="23" customFormat="1" ht="15.75" customHeight="1"/>
    <x:row r="670" s="23" customFormat="1" ht="15.75" customHeight="1"/>
    <x:row r="671" s="23" customFormat="1" ht="15.75" customHeight="1"/>
    <x:row r="672" s="23" customFormat="1" ht="15.75" customHeight="1"/>
    <x:row r="673" s="23" customFormat="1" ht="15.75" customHeight="1"/>
    <x:row r="674" s="23" customFormat="1" ht="15.75" customHeight="1"/>
    <x:row r="675" s="23" customFormat="1" ht="15.75" customHeight="1"/>
    <x:row r="676" s="23" customFormat="1" ht="15.75" customHeight="1"/>
    <x:row r="677" s="23" customFormat="1" ht="15.75" customHeight="1"/>
    <x:row r="678" s="23" customFormat="1" ht="15.75" customHeight="1"/>
    <x:row r="679" s="23" customFormat="1" ht="15.75" customHeight="1"/>
    <x:row r="680" s="23" customFormat="1" ht="15.75" customHeight="1"/>
    <x:row r="681" s="23" customFormat="1" ht="15.75" customHeight="1"/>
    <x:row r="682" s="23" customFormat="1" ht="15.75" customHeight="1"/>
    <x:row r="683" s="23" customFormat="1" ht="15.75" customHeight="1"/>
    <x:row r="684" s="23" customFormat="1" ht="15.75" customHeight="1"/>
    <x:row r="685" s="23" customFormat="1" ht="15.75" customHeight="1"/>
    <x:row r="686" s="23" customFormat="1" ht="15.75" customHeight="1"/>
    <x:row r="687" s="23" customFormat="1" ht="15.75" customHeight="1"/>
    <x:row r="688" s="23" customFormat="1" ht="15.75" customHeight="1"/>
    <x:row r="689" s="23" customFormat="1" ht="15.75" customHeight="1"/>
    <x:row r="690" s="23" customFormat="1" ht="15.75" customHeight="1"/>
    <x:row r="691" s="23" customFormat="1" ht="15.75" customHeight="1"/>
    <x:row r="692" s="23" customFormat="1" ht="15.75" customHeight="1"/>
    <x:row r="693" s="23" customFormat="1" ht="15.75" customHeight="1"/>
    <x:row r="694" s="23" customFormat="1" ht="15.75" customHeight="1"/>
    <x:row r="695" s="23" customFormat="1" ht="15.75" customHeight="1"/>
    <x:row r="696" s="23" customFormat="1" ht="15.75" customHeight="1"/>
    <x:row r="697" s="23" customFormat="1" ht="15.75" customHeight="1"/>
    <x:row r="698" s="23" customFormat="1" ht="15.75" customHeight="1"/>
    <x:row r="699" s="23" customFormat="1" ht="15.75" customHeight="1"/>
    <x:row r="700" s="23" customFormat="1" ht="15.75" customHeight="1"/>
    <x:row r="701" s="23" customFormat="1" ht="15.75" customHeight="1"/>
    <x:row r="702" s="23" customFormat="1" ht="15.75" customHeight="1"/>
    <x:row r="703" s="23" customFormat="1" ht="15.75" customHeight="1"/>
    <x:row r="704" s="23" customFormat="1" ht="15.75" customHeight="1"/>
    <x:row r="705" s="23" customFormat="1" ht="15.75" customHeight="1"/>
    <x:row r="706" s="23" customFormat="1" ht="15.75" customHeight="1"/>
    <x:row r="707" s="23" customFormat="1" ht="15.75" customHeight="1"/>
    <x:row r="708" s="23" customFormat="1" ht="15.75" customHeight="1"/>
    <x:row r="709" s="23" customFormat="1" ht="15.75" customHeight="1"/>
    <x:row r="710" s="23" customFormat="1" ht="15.75" customHeight="1"/>
    <x:row r="711" s="23" customFormat="1" ht="15.75" customHeight="1"/>
    <x:row r="712" s="23" customFormat="1" ht="15.75" customHeight="1"/>
    <x:row r="713" s="23" customFormat="1" ht="15.75" customHeight="1"/>
    <x:row r="714" s="23" customFormat="1" ht="15.75" customHeight="1"/>
    <x:row r="715" s="23" customFormat="1" ht="15.75" customHeight="1"/>
    <x:row r="716" s="23" customFormat="1" ht="15.75" customHeight="1"/>
    <x:row r="717" s="23" customFormat="1" ht="15.75" customHeight="1"/>
    <x:row r="718" s="23" customFormat="1" ht="15.75" customHeight="1"/>
    <x:row r="719" s="23" customFormat="1" ht="15.75" customHeight="1"/>
    <x:row r="720" s="23" customFormat="1" ht="15.75" customHeight="1"/>
    <x:row r="721" s="23" customFormat="1" ht="15.75" customHeight="1"/>
    <x:row r="722" s="23" customFormat="1" ht="15.75" customHeight="1"/>
    <x:row r="723" s="23" customFormat="1" ht="15.75" customHeight="1"/>
    <x:row r="724" s="23" customFormat="1" ht="15.75" customHeight="1"/>
    <x:row r="725" s="23" customFormat="1" ht="15.75" customHeight="1"/>
    <x:row r="726" s="23" customFormat="1" ht="15.75" customHeight="1"/>
    <x:row r="727" s="23" customFormat="1" ht="15.75" customHeight="1"/>
    <x:row r="728" s="23" customFormat="1" ht="15.75" customHeight="1"/>
    <x:row r="729" s="23" customFormat="1" ht="15.75" customHeight="1"/>
    <x:row r="730" s="23" customFormat="1" ht="15.75" customHeight="1"/>
    <x:row r="731" s="23" customFormat="1" ht="15.75" customHeight="1"/>
    <x:row r="732" s="23" customFormat="1" ht="15.75" customHeight="1"/>
    <x:row r="733" s="23" customFormat="1" ht="15.75" customHeight="1"/>
    <x:row r="734" s="23" customFormat="1" ht="15.75" customHeight="1"/>
    <x:row r="735" s="23" customFormat="1" ht="15.75" customHeight="1"/>
    <x:row r="736" s="23" customFormat="1" ht="15.75" customHeight="1"/>
    <x:row r="737" s="23" customFormat="1" ht="15.75" customHeight="1"/>
    <x:row r="738" s="23" customFormat="1" ht="15.75" customHeight="1"/>
    <x:row r="739" s="23" customFormat="1" ht="15.75" customHeight="1"/>
    <x:row r="740" s="23" customFormat="1" ht="15.75" customHeight="1"/>
    <x:row r="741" s="23" customFormat="1" ht="15.75" customHeight="1"/>
    <x:row r="742" s="23" customFormat="1" ht="15.75" customHeight="1"/>
    <x:row r="743" s="23" customFormat="1" ht="15.75" customHeight="1"/>
    <x:row r="744" s="23" customFormat="1" ht="15.75" customHeight="1"/>
    <x:row r="745" s="23" customFormat="1" ht="15.75" customHeight="1"/>
    <x:row r="746" s="23" customFormat="1" ht="15.75" customHeight="1"/>
    <x:row r="747" s="23" customFormat="1" ht="15.75" customHeight="1"/>
    <x:row r="748" s="23" customFormat="1" ht="15.75" customHeight="1"/>
    <x:row r="749" s="23" customFormat="1" ht="15.75" customHeight="1"/>
    <x:row r="750" s="23" customFormat="1" ht="15.75" customHeight="1"/>
    <x:row r="751" s="23" customFormat="1" ht="15.75" customHeight="1"/>
    <x:row r="752" s="23" customFormat="1" ht="15.75" customHeight="1"/>
    <x:row r="753" s="23" customFormat="1" ht="15.75" customHeight="1"/>
    <x:row r="754" s="23" customFormat="1" ht="15.75" customHeight="1"/>
    <x:row r="755" s="23" customFormat="1" ht="15.75" customHeight="1"/>
    <x:row r="756" s="23" customFormat="1" ht="15.75" customHeight="1"/>
    <x:row r="757" s="23" customFormat="1" ht="15.75" customHeight="1"/>
    <x:row r="758" s="23" customFormat="1" ht="15.75" customHeight="1"/>
    <x:row r="759" s="23" customFormat="1" ht="15.75" customHeight="1"/>
    <x:row r="760" s="23" customFormat="1" ht="15.75" customHeight="1"/>
    <x:row r="761" s="23" customFormat="1" ht="15.75" customHeight="1"/>
    <x:row r="762" s="23" customFormat="1" ht="15.75" customHeight="1"/>
    <x:row r="763" s="23" customFormat="1" ht="15.75" customHeight="1"/>
    <x:row r="764" s="23" customFormat="1" ht="15.75" customHeight="1"/>
    <x:row r="765" s="23" customFormat="1" ht="15.75" customHeight="1"/>
    <x:row r="766" s="23" customFormat="1" ht="15.75" customHeight="1"/>
    <x:row r="767" s="23" customFormat="1" ht="15.75" customHeight="1"/>
    <x:row r="768" s="23" customFormat="1" ht="15.75" customHeight="1"/>
    <x:row r="769" s="23" customFormat="1" ht="15.75" customHeight="1"/>
    <x:row r="770" s="23" customFormat="1" ht="15.75" customHeight="1"/>
    <x:row r="771" s="23" customFormat="1" ht="15.75" customHeight="1"/>
    <x:row r="772" s="23" customFormat="1" ht="15.75" customHeight="1"/>
    <x:row r="773" s="23" customFormat="1" ht="15.75" customHeight="1"/>
    <x:row r="774" s="23" customFormat="1" ht="15.75" customHeight="1"/>
    <x:row r="775" s="23" customFormat="1" ht="15.75" customHeight="1"/>
    <x:row r="776" s="23" customFormat="1" ht="15.75" customHeight="1"/>
    <x:row r="777" s="23" customFormat="1" ht="15.75" customHeight="1"/>
    <x:row r="778" s="23" customFormat="1" ht="15.75" customHeight="1"/>
    <x:row r="779" s="23" customFormat="1" ht="15.75" customHeight="1"/>
    <x:row r="780" s="23" customFormat="1" ht="15.75" customHeight="1"/>
    <x:row r="781" s="23" customFormat="1" ht="15.75" customHeight="1"/>
    <x:row r="782" s="23" customFormat="1" ht="15.75" customHeight="1"/>
    <x:row r="783" s="23" customFormat="1" ht="15.75" customHeight="1"/>
    <x:row r="784" s="23" customFormat="1" ht="15.75" customHeight="1"/>
    <x:row r="785" s="23" customFormat="1" ht="15.75" customHeight="1"/>
    <x:row r="786" s="23" customFormat="1" ht="15.75" customHeight="1"/>
    <x:row r="787" s="23" customFormat="1" ht="15.75" customHeight="1"/>
    <x:row r="788" s="23" customFormat="1" ht="15.75" customHeight="1"/>
    <x:row r="789" s="23" customFormat="1" ht="15.75" customHeight="1"/>
    <x:row r="790" s="23" customFormat="1" ht="15.75" customHeight="1"/>
    <x:row r="791" s="23" customFormat="1" ht="15.75" customHeight="1"/>
    <x:row r="792" s="23" customFormat="1" ht="15.75" customHeight="1"/>
    <x:row r="793" s="23" customFormat="1" ht="15.75" customHeight="1"/>
    <x:row r="794" s="23" customFormat="1" ht="15.75" customHeight="1"/>
    <x:row r="795" s="23" customFormat="1" ht="15.75" customHeight="1"/>
    <x:row r="796" s="23" customFormat="1" ht="15.75" customHeight="1"/>
    <x:row r="797" s="23" customFormat="1" ht="15.75" customHeight="1"/>
    <x:row r="798" s="23" customFormat="1" ht="15.75" customHeight="1"/>
    <x:row r="799" s="23" customFormat="1" ht="15.75" customHeight="1"/>
    <x:row r="800" s="23" customFormat="1" ht="15.75" customHeight="1"/>
    <x:row r="801" s="23" customFormat="1" ht="15.75" customHeight="1"/>
    <x:row r="802" s="23" customFormat="1" ht="15.75" customHeight="1"/>
    <x:row r="803" s="23" customFormat="1" ht="15.75" customHeight="1"/>
    <x:row r="804" s="23" customFormat="1" ht="15.75" customHeight="1"/>
    <x:row r="805" s="23" customFormat="1" ht="15.75" customHeight="1"/>
    <x:row r="806" s="23" customFormat="1" ht="15.75" customHeight="1"/>
    <x:row r="807" s="23" customFormat="1" ht="15.75" customHeight="1"/>
    <x:row r="808" s="23" customFormat="1" ht="15.75" customHeight="1"/>
    <x:row r="809" s="23" customFormat="1" ht="15.75" customHeight="1"/>
    <x:row r="810" s="23" customFormat="1" ht="15.75" customHeight="1"/>
    <x:row r="811" s="23" customFormat="1" ht="15.75" customHeight="1"/>
    <x:row r="812" s="23" customFormat="1" ht="15.75" customHeight="1"/>
    <x:row r="813" s="23" customFormat="1" ht="15.75" customHeight="1"/>
    <x:row r="814" s="23" customFormat="1" ht="15.75" customHeight="1"/>
    <x:row r="815" s="23" customFormat="1" ht="15.75" customHeight="1"/>
    <x:row r="816" s="23" customFormat="1" ht="15.75" customHeight="1"/>
    <x:row r="817" s="23" customFormat="1" ht="15.75" customHeight="1"/>
    <x:row r="818" s="23" customFormat="1" ht="15.75" customHeight="1"/>
    <x:row r="819" s="23" customFormat="1" ht="15.75" customHeight="1"/>
    <x:row r="820" s="23" customFormat="1" ht="15.75" customHeight="1"/>
    <x:row r="821" s="23" customFormat="1" ht="15.75" customHeight="1"/>
    <x:row r="822" s="23" customFormat="1" ht="15.75" customHeight="1"/>
    <x:row r="823" s="23" customFormat="1" ht="15.75" customHeight="1"/>
    <x:row r="824" s="23" customFormat="1" ht="15.75" customHeight="1"/>
    <x:row r="825" s="23" customFormat="1" ht="15.75" customHeight="1"/>
    <x:row r="826" s="23" customFormat="1" ht="15.75" customHeight="1"/>
    <x:row r="827" s="23" customFormat="1" ht="15.75" customHeight="1"/>
    <x:row r="828" s="23" customFormat="1" ht="15.75" customHeight="1"/>
    <x:row r="829" s="23" customFormat="1" ht="15.75" customHeight="1"/>
    <x:row r="830" s="23" customFormat="1" ht="15.75" customHeight="1"/>
    <x:row r="831" s="23" customFormat="1" ht="15.75" customHeight="1"/>
    <x:row r="832" s="23" customFormat="1" ht="15.75" customHeight="1"/>
    <x:row r="833" s="23" customFormat="1" ht="15.75" customHeight="1"/>
    <x:row r="834" s="23" customFormat="1" ht="15.75" customHeight="1"/>
    <x:row r="835" s="23" customFormat="1" ht="15.75" customHeight="1"/>
    <x:row r="836" s="23" customFormat="1" ht="15.75" customHeight="1"/>
    <x:row r="837" s="23" customFormat="1" ht="15.75" customHeight="1"/>
    <x:row r="838" s="23" customFormat="1" ht="15.75" customHeight="1"/>
    <x:row r="839" s="23" customFormat="1" ht="15.75" customHeight="1"/>
    <x:row r="840" s="23" customFormat="1" ht="15.75" customHeight="1"/>
    <x:row r="841" s="23" customFormat="1" ht="15.75" customHeight="1"/>
    <x:row r="842" s="23" customFormat="1" ht="15.75" customHeight="1"/>
    <x:row r="843" s="23" customFormat="1" ht="15.75" customHeight="1"/>
    <x:row r="844" s="23" customFormat="1" ht="15.75" customHeight="1"/>
    <x:row r="845" s="23" customFormat="1" ht="15.75" customHeight="1"/>
    <x:row r="846" s="23" customFormat="1" ht="15.75" customHeight="1"/>
    <x:row r="847" s="23" customFormat="1" ht="15.75" customHeight="1"/>
    <x:row r="848" s="23" customFormat="1" ht="15.75" customHeight="1"/>
    <x:row r="849" s="23" customFormat="1" ht="15.75" customHeight="1"/>
    <x:row r="850" s="23" customFormat="1" ht="15.75" customHeight="1"/>
    <x:row r="851" s="23" customFormat="1" ht="15.75" customHeight="1"/>
    <x:row r="852" s="23" customFormat="1" ht="15.75" customHeight="1"/>
    <x:row r="853" s="23" customFormat="1" ht="15.75" customHeight="1"/>
    <x:row r="854" s="23" customFormat="1" ht="15.75" customHeight="1"/>
    <x:row r="855" s="23" customFormat="1" ht="15.75" customHeight="1"/>
    <x:row r="856" s="23" customFormat="1" ht="15.75" customHeight="1"/>
    <x:row r="857" s="23" customFormat="1" ht="15.75" customHeight="1"/>
    <x:row r="858" s="23" customFormat="1" ht="15.75" customHeight="1"/>
    <x:row r="859" s="23" customFormat="1" ht="15.75" customHeight="1"/>
    <x:row r="860" s="23" customFormat="1" ht="15.75" customHeight="1"/>
    <x:row r="861" s="23" customFormat="1" ht="15.75" customHeight="1"/>
    <x:row r="862" s="23" customFormat="1" ht="15.75" customHeight="1"/>
    <x:row r="863" s="23" customFormat="1" ht="15.75" customHeight="1"/>
    <x:row r="864" s="23" customFormat="1" ht="15.75" customHeight="1"/>
    <x:row r="865" s="23" customFormat="1" ht="15.75" customHeight="1"/>
    <x:row r="866" s="23" customFormat="1" ht="15.75" customHeight="1"/>
    <x:row r="867" s="23" customFormat="1" ht="15.75" customHeight="1"/>
    <x:row r="868" s="23" customFormat="1" ht="15.75" customHeight="1"/>
    <x:row r="869" s="23" customFormat="1" ht="15.75" customHeight="1"/>
    <x:row r="870" s="23" customFormat="1" ht="15.75" customHeight="1"/>
    <x:row r="871" s="23" customFormat="1" ht="15.75" customHeight="1"/>
    <x:row r="872" s="23" customFormat="1" ht="15.75" customHeight="1"/>
    <x:row r="873" s="23" customFormat="1" ht="15.75" customHeight="1"/>
    <x:row r="874" s="23" customFormat="1" ht="15.75" customHeight="1"/>
    <x:row r="875" s="23" customFormat="1" ht="15.75" customHeight="1"/>
    <x:row r="876" s="23" customFormat="1" ht="15.75" customHeight="1"/>
    <x:row r="877" s="23" customFormat="1" ht="15.75" customHeight="1"/>
    <x:row r="878" s="23" customFormat="1" ht="15.75" customHeight="1"/>
    <x:row r="879" s="23" customFormat="1" ht="15.75" customHeight="1"/>
    <x:row r="880" s="23" customFormat="1" ht="15.75" customHeight="1"/>
    <x:row r="881" s="23" customFormat="1" ht="15.75" customHeight="1"/>
    <x:row r="882" s="23" customFormat="1" ht="15.75" customHeight="1"/>
    <x:row r="883" s="23" customFormat="1" ht="15.75" customHeight="1"/>
    <x:row r="884" s="23" customFormat="1" ht="15.75" customHeight="1"/>
    <x:row r="885" s="23" customFormat="1" ht="15.75" customHeight="1"/>
    <x:row r="886" s="23" customFormat="1" ht="15.75" customHeight="1"/>
    <x:row r="887" s="23" customFormat="1" ht="15.75" customHeight="1"/>
    <x:row r="888" s="23" customFormat="1" ht="15.75" customHeight="1"/>
    <x:row r="889" s="23" customFormat="1" ht="15.75" customHeight="1"/>
    <x:row r="890" s="23" customFormat="1" ht="15.75" customHeight="1"/>
    <x:row r="891" s="23" customFormat="1" ht="15.75" customHeight="1"/>
    <x:row r="892" s="23" customFormat="1" ht="15.75" customHeight="1"/>
    <x:row r="893" s="23" customFormat="1" ht="15.75" customHeight="1"/>
    <x:row r="894" s="23" customFormat="1" ht="15.75" customHeight="1"/>
    <x:row r="895" s="23" customFormat="1" ht="15.75" customHeight="1"/>
    <x:row r="896" s="23" customFormat="1" ht="15.75" customHeight="1"/>
    <x:row r="897" s="23" customFormat="1" ht="15.75" customHeight="1"/>
    <x:row r="898" s="23" customFormat="1" ht="15.75" customHeight="1"/>
    <x:row r="899" s="23" customFormat="1" ht="15.75" customHeight="1"/>
    <x:row r="900" s="23" customFormat="1" ht="15.75" customHeight="1"/>
    <x:row r="901" s="23" customFormat="1" ht="15.75" customHeight="1"/>
    <x:row r="902" s="23" customFormat="1" ht="15.75" customHeight="1"/>
    <x:row r="903" s="23" customFormat="1" ht="15.75" customHeight="1"/>
    <x:row r="904" s="23" customFormat="1" ht="15.75" customHeight="1"/>
    <x:row r="905" s="23" customFormat="1" ht="15.75" customHeight="1"/>
    <x:row r="906" s="23" customFormat="1" ht="15.75" customHeight="1"/>
    <x:row r="907" s="23" customFormat="1" ht="15.75" customHeight="1"/>
    <x:row r="908" s="23" customFormat="1" ht="15.75" customHeight="1"/>
    <x:row r="909" s="23" customFormat="1" ht="15.75" customHeight="1"/>
    <x:row r="910" s="23" customFormat="1" ht="15.75" customHeight="1"/>
    <x:row r="911" s="23" customFormat="1" ht="15.75" customHeight="1"/>
    <x:row r="912" s="23" customFormat="1" ht="15.75" customHeight="1"/>
    <x:row r="913" s="23" customFormat="1" ht="15.75" customHeight="1"/>
    <x:row r="914" s="23" customFormat="1" ht="15.75" customHeight="1"/>
    <x:row r="915" s="23" customFormat="1" ht="15.75" customHeight="1"/>
    <x:row r="916" s="23" customFormat="1" ht="15.75" customHeight="1"/>
    <x:row r="917" s="23" customFormat="1" ht="15.75" customHeight="1"/>
    <x:row r="918" s="23" customFormat="1" ht="15.75" customHeight="1"/>
    <x:row r="919" s="23" customFormat="1" ht="15.75" customHeight="1"/>
    <x:row r="920" s="23" customFormat="1" ht="15.75" customHeight="1"/>
    <x:row r="921" s="23" customFormat="1" ht="15.75" customHeight="1"/>
    <x:row r="922" s="23" customFormat="1" ht="15.75" customHeight="1"/>
    <x:row r="923" s="23" customFormat="1" ht="15.75" customHeight="1"/>
    <x:row r="924" s="23" customFormat="1" ht="15.75" customHeight="1"/>
    <x:row r="925" s="23" customFormat="1" ht="15.75" customHeight="1"/>
    <x:row r="926" s="23" customFormat="1" ht="15.75" customHeight="1"/>
    <x:row r="927" s="23" customFormat="1" ht="15.75" customHeight="1"/>
    <x:row r="928" s="23" customFormat="1" ht="15.75" customHeight="1"/>
    <x:row r="929" s="23" customFormat="1" ht="15.75" customHeight="1"/>
    <x:row r="930" s="23" customFormat="1" ht="15.75" customHeight="1"/>
    <x:row r="931" s="23" customFormat="1" ht="15.75" customHeight="1"/>
    <x:row r="932" s="23" customFormat="1" ht="15.75" customHeight="1"/>
    <x:row r="933" s="23" customFormat="1" ht="15.75" customHeight="1"/>
    <x:row r="934" s="23" customFormat="1" ht="15.75" customHeight="1"/>
    <x:row r="935" s="23" customFormat="1" ht="15.75" customHeight="1"/>
    <x:row r="936" s="23" customFormat="1" ht="15.75" customHeight="1"/>
    <x:row r="937" s="23" customFormat="1" ht="15.75" customHeight="1"/>
    <x:row r="938" s="23" customFormat="1" ht="15.75" customHeight="1"/>
    <x:row r="939" s="23" customFormat="1" ht="15.75" customHeight="1"/>
    <x:row r="940" s="23" customFormat="1" ht="15.75" customHeight="1"/>
    <x:row r="941" s="23" customFormat="1" ht="15.75" customHeight="1"/>
    <x:row r="942" s="23" customFormat="1" ht="15.75" customHeight="1"/>
    <x:row r="943" s="23" customFormat="1" ht="15.75" customHeight="1"/>
    <x:row r="944" s="23" customFormat="1" ht="15.75" customHeight="1"/>
    <x:row r="945" s="23" customFormat="1" ht="15.75" customHeight="1"/>
    <x:row r="946" s="23" customFormat="1" ht="15.75" customHeight="1"/>
    <x:row r="947" s="23" customFormat="1" ht="15.75" customHeight="1"/>
    <x:row r="948" s="23" customFormat="1" ht="15.75" customHeight="1"/>
    <x:row r="949" s="23" customFormat="1" ht="15.75" customHeight="1"/>
    <x:row r="950" s="23" customFormat="1" ht="15.75" customHeight="1"/>
    <x:row r="951" s="23" customFormat="1" ht="15.75" customHeight="1"/>
    <x:row r="952" s="23" customFormat="1" ht="15.75" customHeight="1"/>
    <x:row r="953" s="23" customFormat="1" ht="15.75" customHeight="1"/>
    <x:row r="954" s="23" customFormat="1" ht="15.75" customHeight="1"/>
    <x:row r="955" s="23" customFormat="1" ht="15.75" customHeight="1"/>
    <x:row r="956" s="23" customFormat="1" ht="15.75" customHeight="1"/>
    <x:row r="957" s="23" customFormat="1" ht="15.75" customHeight="1"/>
    <x:row r="958" s="23" customFormat="1" ht="15.75" customHeight="1"/>
    <x:row r="959" s="23" customFormat="1" ht="15.75" customHeight="1"/>
    <x:row r="960" s="23" customFormat="1" ht="15.75" customHeight="1"/>
    <x:row r="961" s="23" customFormat="1" ht="15.75" customHeight="1"/>
    <x:row r="962" s="23" customFormat="1" ht="15.75" customHeight="1"/>
    <x:row r="963" s="23" customFormat="1" ht="15.75" customHeight="1"/>
    <x:row r="964" s="23" customFormat="1" ht="15.75" customHeight="1"/>
    <x:row r="965" s="23" customFormat="1" ht="15.75" customHeight="1"/>
    <x:row r="966" s="23" customFormat="1" ht="15.75" customHeight="1"/>
    <x:row r="967" s="23" customFormat="1" ht="15.75" customHeight="1"/>
    <x:row r="968" s="23" customFormat="1" ht="15.75" customHeight="1"/>
    <x:row r="969" s="23" customFormat="1" ht="15.75" customHeight="1"/>
    <x:row r="970" s="23" customFormat="1" ht="15.75" customHeight="1"/>
    <x:row r="971" s="23" customFormat="1" ht="15.75" customHeight="1"/>
    <x:row r="972" s="23" customFormat="1" ht="15.75" customHeight="1"/>
    <x:row r="973" s="23" customFormat="1" ht="15.75" customHeight="1"/>
    <x:row r="974" s="23" customFormat="1" ht="15.75" customHeight="1"/>
    <x:row r="975" s="23" customFormat="1" ht="15.75" customHeight="1"/>
    <x:row r="976" s="23" customFormat="1" ht="15.75" customHeight="1"/>
    <x:row r="977" s="23" customFormat="1" ht="15.75" customHeight="1"/>
    <x:row r="978" s="23" customFormat="1" ht="15.75" customHeight="1"/>
    <x:row r="979" s="23" customFormat="1" ht="15.75" customHeight="1"/>
    <x:row r="980" s="23" customFormat="1" ht="15.75" customHeight="1"/>
    <x:row r="981" s="23" customFormat="1" ht="15.75" customHeight="1"/>
    <x:row r="982" s="23" customFormat="1" ht="15.75" customHeight="1"/>
    <x:row r="983" s="23" customFormat="1" ht="15.75" customHeight="1"/>
    <x:row r="984" s="23" customFormat="1" ht="15.75" customHeight="1"/>
    <x:row r="985" s="23" customFormat="1" ht="15.75" customHeight="1"/>
    <x:row r="986" s="23" customFormat="1" ht="15.75" customHeight="1"/>
    <x:row r="987" s="23" customFormat="1" ht="15.75" customHeight="1"/>
    <x:row r="988" s="23" customFormat="1" ht="15.75" customHeight="1"/>
    <x:row r="989" s="23" customFormat="1" ht="15.75" customHeight="1"/>
    <x:row r="990" s="23" customFormat="1" ht="15.75" customHeight="1"/>
    <x:row r="991" s="23" customFormat="1" ht="15.75" customHeight="1"/>
    <x:row r="992" s="23" customFormat="1" ht="15.75" customHeight="1"/>
    <x:row r="993" s="23" customFormat="1" ht="15.75" customHeight="1"/>
    <x:row r="994" s="23" customFormat="1" ht="15.75" customHeight="1"/>
    <x:row r="995" s="23" customFormat="1" ht="15.75" customHeight="1"/>
    <x:row r="996" s="23" customFormat="1" ht="15.75" customHeight="1"/>
    <x:row r="997" s="23" customFormat="1" ht="15.75" customHeight="1"/>
    <x:row r="998" s="23" customFormat="1" ht="15.75" customHeight="1"/>
    <x:row r="999" s="23" customFormat="1" ht="15.75" customHeight="1"/>
    <x:row r="1000" s="23" customFormat="1" ht="15.75" customHeight="1"/>
  </x:sheetData>
  <x:conditionalFormatting sqref="A7:G140">
    <x:cfRule type="expression" dxfId="0" priority="1">
      <x:formula>$A7=TRUE</x:formula>
    </x:cfRule>
  </x:conditionalFormatting>
  <x:pageMargins left="0.7" right="0.7" top="0.75" bottom="0.75" header="0.3" footer="0.3"/>
</x:worksheet>
</file>