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rathon Tracker" sheetId="1" state="visible" r:id="rId1"/>
    <sheet xmlns:r="http://schemas.openxmlformats.org/officeDocument/2006/relationships" name="Forces of Destiny" sheetId="2" state="hidden" r:id="rId2"/>
    <sheet xmlns:r="http://schemas.openxmlformats.org/officeDocument/2006/relationships" name="Clone Wars Order" sheetId="3" state="hidden" r:id="rId3"/>
  </sheets>
  <definedNames>
    <definedName name="_xlnm._FilterDatabase" localSheetId="0" hidden="1">'Marathon Tracker'!$A$6:$K$382</definedName>
    <definedName name="_xlnm._FilterDatabase" localSheetId="1" hidden="1">'Forces of Destiny'!$A$6:$G$38</definedName>
    <definedName name="_xlnm._FilterDatabase" localSheetId="2" hidden="1">'Clone Wars Order'!$A$6:$G$140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rlito"/>
      <color rgb="FF000000"/>
      <sz val="11"/>
      <scheme val="minor"/>
    </font>
    <font>
      <name val="Arial"/>
      <color rgb="FF111827"/>
      <sz val="10"/>
    </font>
    <font>
      <name val="Arial"/>
      <b val="1"/>
      <color rgb="FF111827"/>
      <sz val="16"/>
    </font>
    <font>
      <name val="Arial"/>
      <i val="1"/>
      <color rgb="FF6B7280"/>
      <sz val="10"/>
    </font>
    <font>
      <name val="Arial"/>
      <b val="1"/>
      <color rgb="FF111827"/>
      <sz val="10"/>
    </font>
    <font>
      <name val="Arial"/>
      <color rgb="FF2563EB"/>
      <sz val="9"/>
      <u val="single"/>
    </font>
    <font>
      <name val="Arial"/>
      <color rgb="FF2563EB"/>
      <sz val="9"/>
    </font>
    <font>
      <name val="Arial"/>
      <color rgb="FF2563EB"/>
      <sz val="9"/>
      <u val="single"/>
    </font>
    <font>
      <name val="Arial"/>
      <color rgb="FF111827"/>
      <sz val="10"/>
      <u val="single"/>
    </font>
  </fonts>
  <fills count="3">
    <fill>
      <patternFill/>
    </fill>
    <fill>
      <patternFill patternType="lightGray"/>
    </fill>
    <fill>
      <patternFill patternType="solid">
        <fgColor rgb="FFE5E7EB"/>
        <bgColor rgb="FFE5E7EB"/>
      </patternFill>
    </fill>
  </fills>
  <borders count="2">
    <border/>
    <border>
      <left/>
      <right/>
      <top/>
      <bottom style="medium">
        <color rgb="FFD1D5DB"/>
      </bottom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1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1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/>
  </cellStyles>
  <dxfs count="1">
    <dxf>
      <font>
        <color rgb="FF166534"/>
      </font>
      <fill>
        <patternFill patternType="solid">
          <fgColor rgb="FFDCFCE7"/>
          <bgColor rgb="FFDCFCE7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2937"/>
    <outlinePr summaryBelow="1" summaryRight="1"/>
    <pageSetUpPr/>
  </sheetPr>
  <dimension ref="A1:K382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" customHeight="1" outlineLevelCol="0"/>
  <cols>
    <col width="8" customWidth="1" style="23" min="1" max="2"/>
    <col width="24" customWidth="1" style="23" min="3" max="3"/>
    <col width="42" customWidth="1" style="23" min="4" max="4"/>
    <col width="18.25" customWidth="1" style="23" min="5" max="5"/>
    <col width="24" customWidth="1" style="23" min="6" max="6"/>
    <col width="18" customWidth="1" style="23" min="7" max="8"/>
    <col width="22" customWidth="1" style="23" min="9" max="9"/>
    <col width="11.38" customWidth="1" style="23" min="10" max="10"/>
    <col width="54" customWidth="1" style="23" min="11" max="11"/>
    <col width="8.630000000000001" customWidth="1" style="23" min="12" max="27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>
      <c r="A2" s="2" t="inlineStr">
        <is>
          <t>Star Wars Chronological Marathon Tracker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5" t="inlineStr">
        <is>
          <t>One unified chronological checklist, including every Clone Wars episode, Forces of Destiny short, and Skywalker Stories fan film</t>
        </is>
      </c>
      <c r="B3" s="4" t="inlineStr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7" t="inlineStr">
        <is>
          <t>Completed</t>
        </is>
      </c>
      <c r="B4" s="7">
        <f>COUNTIF(A7:A382,TRUE)</f>
        <v/>
      </c>
      <c r="C4" s="7" t="inlineStr">
        <is>
          <t>Total</t>
        </is>
      </c>
      <c r="D4" s="7">
        <f>COUNTA(D7:D382)</f>
        <v/>
      </c>
      <c r="E4" s="7" t="n"/>
      <c r="F4" s="7" t="inlineStr">
        <is>
          <t>Progress</t>
        </is>
      </c>
      <c r="G4" s="8">
        <f>IF(D4=0,0,B4/D4)</f>
        <v/>
      </c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2" t="inlineStr">
        <is>
          <t>Done</t>
        </is>
      </c>
      <c r="B6" s="12" t="inlineStr">
        <is>
          <t>#</t>
        </is>
      </c>
      <c r="C6" s="12" t="inlineStr">
        <is>
          <t>Era</t>
        </is>
      </c>
      <c r="D6" s="12" t="inlineStr">
        <is>
          <t>Title</t>
        </is>
      </c>
      <c r="E6" s="12" t="inlineStr">
        <is>
          <t>Season / Episode</t>
        </is>
      </c>
      <c r="F6" s="12" t="inlineStr">
        <is>
          <t>Release date</t>
        </is>
      </c>
      <c r="G6" s="12" t="inlineStr">
        <is>
          <t>Continuity</t>
        </is>
      </c>
      <c r="H6" s="12" t="inlineStr">
        <is>
          <t>Format</t>
        </is>
      </c>
      <c r="I6" s="12" t="inlineStr">
        <is>
          <t>Where to watch</t>
        </is>
      </c>
      <c r="J6" s="12" t="inlineStr">
        <is>
          <t>Link</t>
        </is>
      </c>
      <c r="K6" s="12" t="inlineStr">
        <is>
          <t>Notes</t>
        </is>
      </c>
    </row>
    <row r="7" ht="36" customHeight="1" s="23">
      <c r="A7" s="21" t="b">
        <v>0</v>
      </c>
      <c r="B7" s="21" t="n">
        <v>1</v>
      </c>
      <c r="C7" s="14" t="inlineStr">
        <is>
          <t>Old Republic and High Republic</t>
        </is>
      </c>
      <c r="D7" s="15" t="inlineStr">
        <is>
          <t>Knights of the Old Republic</t>
        </is>
      </c>
      <c r="E7" s="16" t="inlineStr"/>
      <c r="F7" s="17" t="inlineStr">
        <is>
          <t>July 15, 2003</t>
        </is>
      </c>
      <c r="G7" s="15" t="inlineStr">
        <is>
          <t>Legends</t>
        </is>
      </c>
      <c r="H7" s="15" t="inlineStr">
        <is>
          <t>Game movie</t>
        </is>
      </c>
      <c r="I7" s="15" t="inlineStr">
        <is>
          <t>YouTube</t>
        </is>
      </c>
      <c r="J7" s="18">
        <f>HYPERLINK("https://www.youtube.com/watch?v=9N_Banq8Kuc","Open")</f>
        <v/>
      </c>
      <c r="K7" s="15" t="inlineStr">
        <is>
          <t>Full game movie, about 15 hours</t>
        </is>
      </c>
    </row>
    <row r="8" ht="36" customHeight="1" s="23">
      <c r="A8" s="21" t="b">
        <v>0</v>
      </c>
      <c r="B8" s="21" t="n">
        <v>2</v>
      </c>
      <c r="C8" s="14" t="inlineStr">
        <is>
          <t>Old Republic and High Republic</t>
        </is>
      </c>
      <c r="D8" s="15" t="inlineStr">
        <is>
          <t>Knights of the Old Republic II: The Sith Lords</t>
        </is>
      </c>
      <c r="E8" s="16" t="inlineStr"/>
      <c r="F8" s="17" t="inlineStr">
        <is>
          <t>December 6, 2004</t>
        </is>
      </c>
      <c r="G8" s="15" t="inlineStr">
        <is>
          <t>Legends</t>
        </is>
      </c>
      <c r="H8" s="15" t="inlineStr">
        <is>
          <t>Game movie</t>
        </is>
      </c>
      <c r="I8" s="15" t="inlineStr">
        <is>
          <t>YouTube</t>
        </is>
      </c>
      <c r="J8" s="18">
        <f>HYPERLINK("https://www.youtube.com/watch?v=Ut6qGIEkLx8","Open")</f>
        <v/>
      </c>
      <c r="K8" s="15" t="inlineStr">
        <is>
          <t>Restored Content version; choices change the story</t>
        </is>
      </c>
    </row>
    <row r="9" ht="36" customHeight="1" s="23">
      <c r="A9" s="21" t="b">
        <v>0</v>
      </c>
      <c r="B9" s="21" t="n">
        <v>3</v>
      </c>
      <c r="C9" s="14" t="inlineStr">
        <is>
          <t>Old Republic and High Republic</t>
        </is>
      </c>
      <c r="D9" s="15" t="inlineStr">
        <is>
          <t>Star Wars: The Old Republic</t>
        </is>
      </c>
      <c r="E9" s="16" t="inlineStr"/>
      <c r="F9" s="17" t="inlineStr">
        <is>
          <t>December 20, 2011</t>
        </is>
      </c>
      <c r="G9" s="15" t="inlineStr">
        <is>
          <t>Legends</t>
        </is>
      </c>
      <c r="H9" s="15" t="inlineStr">
        <is>
          <t>Game / cinematics</t>
        </is>
      </c>
      <c r="I9" s="15" t="inlineStr">
        <is>
          <t>YouTube / SWTOR</t>
        </is>
      </c>
      <c r="J9" s="18">
        <f>HYPERLINK("https://www.youtube.com/watch?v=nfjWANrhl5g","Open")</f>
        <v/>
      </c>
      <c r="K9" s="15" t="inlineStr">
        <is>
          <t>Start with the cinematic trailers, then choose class-story compilations</t>
        </is>
      </c>
    </row>
    <row r="10" ht="36" customHeight="1" s="23">
      <c r="A10" s="21" t="b">
        <v>0</v>
      </c>
      <c r="B10" s="21" t="n">
        <v>4</v>
      </c>
      <c r="C10" s="14" t="inlineStr">
        <is>
          <t>Old Republic and High Republic</t>
        </is>
      </c>
      <c r="D10" s="15" t="inlineStr">
        <is>
          <t>Star Wars: Fate of the Old Republic teaser</t>
        </is>
      </c>
      <c r="E10" s="16" t="inlineStr"/>
      <c r="F10" s="17" t="inlineStr">
        <is>
          <t>December 11, 2025</t>
        </is>
      </c>
      <c r="G10" s="15" t="inlineStr">
        <is>
          <t>Unreleased</t>
        </is>
      </c>
      <c r="H10" s="15" t="inlineStr">
        <is>
          <t>Trailer</t>
        </is>
      </c>
      <c r="I10" s="15" t="inlineStr">
        <is>
          <t>YouTube</t>
        </is>
      </c>
      <c r="J10" s="18">
        <f>HYPERLINK("https://www.youtube.com/watch?v=lAmkl1jL0fo","Open")</f>
        <v/>
      </c>
      <c r="K10" s="15" t="inlineStr">
        <is>
          <t>Game unreleased; timeline placement provisional</t>
        </is>
      </c>
    </row>
    <row r="11" ht="36" customHeight="1" s="23">
      <c r="A11" s="21" t="b">
        <v>0</v>
      </c>
      <c r="B11" s="21" t="n">
        <v>5</v>
      </c>
      <c r="C11" s="14" t="inlineStr">
        <is>
          <t>Old Republic and High Republic</t>
        </is>
      </c>
      <c r="D11" s="15" t="inlineStr">
        <is>
          <t>Young Jedi Adventures shorts</t>
        </is>
      </c>
      <c r="E11" s="16" t="inlineStr"/>
      <c r="F11" s="15" t="inlineStr">
        <is>
          <t>March 27, 2023; August 2, 2024</t>
        </is>
      </c>
      <c r="G11" s="15" t="inlineStr">
        <is>
          <t>Canon</t>
        </is>
      </c>
      <c r="H11" s="15" t="inlineStr">
        <is>
          <t>Shorts</t>
        </is>
      </c>
      <c r="I11" s="15" t="inlineStr">
        <is>
          <t>Disney+ / Star Wars Kids</t>
        </is>
      </c>
      <c r="J11" s="19" t="inlineStr"/>
      <c r="K11" s="15" t="inlineStr"/>
    </row>
    <row r="12" ht="36" customHeight="1" s="23">
      <c r="A12" s="21" t="b">
        <v>0</v>
      </c>
      <c r="B12" s="21" t="n">
        <v>6</v>
      </c>
      <c r="C12" s="14" t="inlineStr">
        <is>
          <t>Old Republic and High Republic</t>
        </is>
      </c>
      <c r="D12" s="15" t="inlineStr">
        <is>
          <t>Young Jedi Adventures</t>
        </is>
      </c>
      <c r="E12" s="16" t="inlineStr"/>
      <c r="F12" s="15" t="inlineStr">
        <is>
          <t>S1 May 4, 2023; S2 Aug. 14, 2024; S3 Dec. 8, 2025</t>
        </is>
      </c>
      <c r="G12" s="15" t="inlineStr">
        <is>
          <t>Canon</t>
        </is>
      </c>
      <c r="H12" s="15" t="inlineStr">
        <is>
          <t>Series</t>
        </is>
      </c>
      <c r="I12" s="15" t="inlineStr">
        <is>
          <t>Disney+</t>
        </is>
      </c>
      <c r="J12" s="19" t="inlineStr"/>
      <c r="K12" s="15" t="inlineStr"/>
    </row>
    <row r="13" ht="36" customHeight="1" s="23">
      <c r="A13" s="21" t="b">
        <v>0</v>
      </c>
      <c r="B13" s="21" t="n">
        <v>7</v>
      </c>
      <c r="C13" s="14" t="inlineStr">
        <is>
          <t>Old Republic and High Republic</t>
        </is>
      </c>
      <c r="D13" s="15" t="inlineStr">
        <is>
          <t>Star Wars Eclipse reveal trailer</t>
        </is>
      </c>
      <c r="E13" s="16" t="inlineStr"/>
      <c r="F13" s="17" t="inlineStr">
        <is>
          <t>December 9, 2021</t>
        </is>
      </c>
      <c r="G13" s="15" t="inlineStr">
        <is>
          <t>Unreleased</t>
        </is>
      </c>
      <c r="H13" s="15" t="inlineStr">
        <is>
          <t>Trailer</t>
        </is>
      </c>
      <c r="I13" s="15" t="inlineStr">
        <is>
          <t>YouTube</t>
        </is>
      </c>
      <c r="J13" s="18">
        <f>HYPERLINK("https://www.youtube.com/watch?v=4cJpiOPKH14","Open")</f>
        <v/>
      </c>
      <c r="K13" s="15" t="inlineStr">
        <is>
          <t>Game unreleased; precise placement provisional</t>
        </is>
      </c>
    </row>
    <row r="14" ht="36" customHeight="1" s="23">
      <c r="A14" s="21" t="b">
        <v>1</v>
      </c>
      <c r="B14" s="21" t="n">
        <v>8</v>
      </c>
      <c r="C14" s="14" t="inlineStr">
        <is>
          <t>Old Republic and High Republic</t>
        </is>
      </c>
      <c r="D14" s="15" t="inlineStr">
        <is>
          <t>The Acolyte</t>
        </is>
      </c>
      <c r="E14" s="16" t="inlineStr"/>
      <c r="F14" s="15" t="inlineStr">
        <is>
          <t>June 4–July 16, 2024</t>
        </is>
      </c>
      <c r="G14" s="15" t="inlineStr">
        <is>
          <t>Canon</t>
        </is>
      </c>
      <c r="H14" s="15" t="inlineStr">
        <is>
          <t>Series</t>
        </is>
      </c>
      <c r="I14" s="15" t="inlineStr">
        <is>
          <t>Disney+</t>
        </is>
      </c>
      <c r="J14" s="19" t="inlineStr"/>
      <c r="K14" s="15" t="inlineStr"/>
    </row>
    <row r="15" ht="36" customHeight="1" s="23">
      <c r="A15" s="21" t="b">
        <v>1</v>
      </c>
      <c r="B15" s="21" t="n">
        <v>9</v>
      </c>
      <c r="C15" s="14" t="inlineStr">
        <is>
          <t>Fall of the Jedi</t>
        </is>
      </c>
      <c r="D15" s="15" t="inlineStr">
        <is>
          <t>Tales of the Jedi: Justice</t>
        </is>
      </c>
      <c r="E15" s="16" t="inlineStr"/>
      <c r="F15" s="17" t="inlineStr">
        <is>
          <t>October 26, 2022</t>
        </is>
      </c>
      <c r="G15" s="15" t="inlineStr">
        <is>
          <t>Canon</t>
        </is>
      </c>
      <c r="H15" s="15" t="inlineStr">
        <is>
          <t>Episode</t>
        </is>
      </c>
      <c r="I15" s="15" t="inlineStr">
        <is>
          <t>Disney+</t>
        </is>
      </c>
      <c r="J15" s="19" t="inlineStr"/>
      <c r="K15" s="15" t="inlineStr"/>
    </row>
    <row r="16" ht="36" customHeight="1" s="23">
      <c r="A16" s="21" t="b">
        <v>1</v>
      </c>
      <c r="B16" s="21" t="n">
        <v>10</v>
      </c>
      <c r="C16" s="14" t="inlineStr">
        <is>
          <t>Fall of the Jedi</t>
        </is>
      </c>
      <c r="D16" s="15" t="inlineStr">
        <is>
          <t>Tales of the Jedi: Choices</t>
        </is>
      </c>
      <c r="E16" s="16" t="inlineStr"/>
      <c r="F16" s="17" t="inlineStr">
        <is>
          <t>October 26, 2022</t>
        </is>
      </c>
      <c r="G16" s="15" t="inlineStr">
        <is>
          <t>Canon</t>
        </is>
      </c>
      <c r="H16" s="15" t="inlineStr">
        <is>
          <t>Episode</t>
        </is>
      </c>
      <c r="I16" s="15" t="inlineStr">
        <is>
          <t>Disney+</t>
        </is>
      </c>
      <c r="J16" s="19" t="inlineStr"/>
      <c r="K16" s="15" t="inlineStr"/>
    </row>
    <row r="17" ht="36" customHeight="1" s="23">
      <c r="A17" s="21" t="b">
        <v>1</v>
      </c>
      <c r="B17" s="21" t="n">
        <v>11</v>
      </c>
      <c r="C17" s="14" t="inlineStr">
        <is>
          <t>Fall of the Jedi</t>
        </is>
      </c>
      <c r="D17" s="15" t="inlineStr">
        <is>
          <t>Tales of the Jedi: Life and Death</t>
        </is>
      </c>
      <c r="E17" s="16" t="inlineStr"/>
      <c r="F17" s="17" t="inlineStr">
        <is>
          <t>October 26, 2022</t>
        </is>
      </c>
      <c r="G17" s="15" t="inlineStr">
        <is>
          <t>Canon</t>
        </is>
      </c>
      <c r="H17" s="15" t="inlineStr">
        <is>
          <t>Episode</t>
        </is>
      </c>
      <c r="I17" s="15" t="inlineStr">
        <is>
          <t>Disney+</t>
        </is>
      </c>
      <c r="J17" s="19" t="inlineStr"/>
      <c r="K17" s="15" t="inlineStr"/>
    </row>
    <row r="18" ht="36" customHeight="1" s="23">
      <c r="A18" s="21" t="b">
        <v>1</v>
      </c>
      <c r="B18" s="21" t="n">
        <v>12</v>
      </c>
      <c r="C18" s="14" t="inlineStr">
        <is>
          <t>Fall of the Jedi</t>
        </is>
      </c>
      <c r="D18" s="15" t="inlineStr">
        <is>
          <t>Episode I: The Phantom Menace</t>
        </is>
      </c>
      <c r="E18" s="16" t="inlineStr"/>
      <c r="F18" s="17" t="inlineStr">
        <is>
          <t>May 19, 1999</t>
        </is>
      </c>
      <c r="G18" s="15" t="inlineStr">
        <is>
          <t>Canon</t>
        </is>
      </c>
      <c r="H18" s="15" t="inlineStr">
        <is>
          <t>Movie</t>
        </is>
      </c>
      <c r="I18" s="15" t="inlineStr">
        <is>
          <t>Disney+</t>
        </is>
      </c>
      <c r="J18" s="19" t="inlineStr"/>
      <c r="K18" s="15" t="inlineStr"/>
    </row>
    <row r="19" ht="36" customHeight="1" s="23">
      <c r="A19" s="21" t="b">
        <v>0</v>
      </c>
      <c r="B19" s="21" t="n">
        <v>13</v>
      </c>
      <c r="C19" s="14" t="inlineStr">
        <is>
          <t>Fall of the Jedi</t>
        </is>
      </c>
      <c r="D19" s="15" t="inlineStr">
        <is>
          <t>Forces of Destiny: Monster Misunderstanding</t>
        </is>
      </c>
      <c r="E19" s="16" t="inlineStr">
        <is>
          <t>Season 2, Episode 10</t>
        </is>
      </c>
      <c r="F19" s="17" t="inlineStr">
        <is>
          <t>May 4, 2018</t>
        </is>
      </c>
      <c r="G19" s="15" t="inlineStr">
        <is>
          <t>Canon</t>
        </is>
      </c>
      <c r="H19" s="15" t="inlineStr">
        <is>
          <t>Short</t>
        </is>
      </c>
      <c r="I19" s="15" t="inlineStr">
        <is>
          <t>Disney+ / official YouTube</t>
        </is>
      </c>
      <c r="J19" s="18">
        <f>HYPERLINK("https://www.youtube.com/results?search_query=Star%20Wars%20Forces%20of%20Destiny%20Monster%20Misunderstanding%20official","Open")</f>
        <v/>
      </c>
      <c r="K19" s="15" t="inlineStr">
        <is>
          <t>After The Phantom Menace</t>
        </is>
      </c>
    </row>
    <row r="20" ht="36" customHeight="1" s="23">
      <c r="A20" s="21" t="b">
        <v>1</v>
      </c>
      <c r="B20" s="21" t="n">
        <v>14</v>
      </c>
      <c r="C20" s="14" t="inlineStr">
        <is>
          <t>Fall of the Jedi</t>
        </is>
      </c>
      <c r="D20" s="15" t="inlineStr">
        <is>
          <t>Tales of the Jedi: The Sith Lord</t>
        </is>
      </c>
      <c r="E20" s="16" t="inlineStr"/>
      <c r="F20" s="17" t="inlineStr">
        <is>
          <t>October 26, 2022</t>
        </is>
      </c>
      <c r="G20" s="15" t="inlineStr">
        <is>
          <t>Canon</t>
        </is>
      </c>
      <c r="H20" s="15" t="inlineStr">
        <is>
          <t>Episode</t>
        </is>
      </c>
      <c r="I20" s="15" t="inlineStr">
        <is>
          <t>Disney+</t>
        </is>
      </c>
      <c r="J20" s="19" t="inlineStr"/>
      <c r="K20" s="15" t="inlineStr"/>
    </row>
    <row r="21" ht="36" customHeight="1" s="23">
      <c r="A21" s="21" t="b">
        <v>0</v>
      </c>
      <c r="B21" s="21" t="n">
        <v>15</v>
      </c>
      <c r="C21" s="14" t="inlineStr">
        <is>
          <t>Fall of the Jedi</t>
        </is>
      </c>
      <c r="D21" s="15" t="inlineStr">
        <is>
          <t>Star Wars: Bounty Hunter</t>
        </is>
      </c>
      <c r="E21" s="16" t="inlineStr"/>
      <c r="F21" s="15" t="inlineStr">
        <is>
          <t>Original Nov. 19, 2002; remaster Aug. 1, 2024</t>
        </is>
      </c>
      <c r="G21" s="15" t="inlineStr">
        <is>
          <t>Legends-adjacent</t>
        </is>
      </c>
      <c r="H21" s="15" t="inlineStr">
        <is>
          <t>Game movie</t>
        </is>
      </c>
      <c r="I21" s="15" t="inlineStr">
        <is>
          <t>YouTube</t>
        </is>
      </c>
      <c r="J21" s="18">
        <f>HYPERLINK("https://www.youtube.com/watch?v=1fCk6ZANZBc","Open")</f>
        <v/>
      </c>
      <c r="K21" s="15" t="inlineStr">
        <is>
          <t>Remastered complete game movie in 4K</t>
        </is>
      </c>
    </row>
    <row r="22" ht="36" customHeight="1" s="23">
      <c r="A22" s="21" t="b">
        <v>1</v>
      </c>
      <c r="B22" s="21" t="n">
        <v>16</v>
      </c>
      <c r="C22" s="14" t="inlineStr">
        <is>
          <t>Fall of the Jedi</t>
        </is>
      </c>
      <c r="D22" s="15" t="inlineStr">
        <is>
          <t>Episode II: Attack of the Clones</t>
        </is>
      </c>
      <c r="E22" s="16" t="inlineStr"/>
      <c r="F22" s="17" t="inlineStr">
        <is>
          <t>May 16, 2002</t>
        </is>
      </c>
      <c r="G22" s="15" t="inlineStr">
        <is>
          <t>Canon</t>
        </is>
      </c>
      <c r="H22" s="15" t="inlineStr">
        <is>
          <t>Movie</t>
        </is>
      </c>
      <c r="I22" s="15" t="inlineStr">
        <is>
          <t>Disney+</t>
        </is>
      </c>
      <c r="J22" s="19" t="inlineStr"/>
      <c r="K22" s="15" t="inlineStr"/>
    </row>
    <row r="23" ht="36" customHeight="1" s="23">
      <c r="A23" s="21" t="b">
        <v>1</v>
      </c>
      <c r="B23" s="21" t="n">
        <v>17</v>
      </c>
      <c r="C23" s="14" t="inlineStr">
        <is>
          <t>Fall of the Jedi</t>
        </is>
      </c>
      <c r="D23" s="15" t="inlineStr">
        <is>
          <t>The Clone Wars: Cat and Mouse</t>
        </is>
      </c>
      <c r="E23" s="16" t="inlineStr">
        <is>
          <t>Season 2, Episode 16</t>
        </is>
      </c>
      <c r="F23" s="15" t="inlineStr">
        <is>
          <t>Series aired October 3, 2008–May 4, 2020</t>
        </is>
      </c>
      <c r="G23" s="15" t="inlineStr">
        <is>
          <t>Canon</t>
        </is>
      </c>
      <c r="H23" s="15" t="inlineStr">
        <is>
          <t>Episode</t>
        </is>
      </c>
      <c r="I23" s="15" t="inlineStr">
        <is>
          <t>Disney+</t>
        </is>
      </c>
      <c r="J23" s="18">
        <f>HYPERLINK("https://www.disneyplus.com/video/5faf61af-2ce0-4baa-a647-a4f4363eba0e?cid=DTCI-Synergy-DDN-Site-Acquisition-StarWars-US-StarWars-StarWarsTheCloneWars-EN-BlogArticleEmbed-TCWChronological_StreamOnDisneyPlusCTA-NA","Watch")</f>
        <v/>
      </c>
      <c r="K23" s="22">
        <f>HYPERLINK("https://www.starwars.com/tv-shows/clone-wars/cat-and-mouse-episode-guide","Season 2, Episode 16 · Episode guide")</f>
        <v/>
      </c>
    </row>
    <row r="24" ht="36" customHeight="1" s="23">
      <c r="A24" s="21" t="b">
        <v>1</v>
      </c>
      <c r="B24" s="21" t="n">
        <v>18</v>
      </c>
      <c r="C24" s="14" t="inlineStr">
        <is>
          <t>Fall of the Jedi</t>
        </is>
      </c>
      <c r="D24" s="15" t="inlineStr">
        <is>
          <t>The Clone Wars: Hidden Enemy</t>
        </is>
      </c>
      <c r="E24" s="16" t="inlineStr">
        <is>
          <t>Season 1, Episode 16</t>
        </is>
      </c>
      <c r="F24" s="15" t="inlineStr">
        <is>
          <t>Series aired October 3, 2008–May 4, 2020</t>
        </is>
      </c>
      <c r="G24" s="15" t="inlineStr">
        <is>
          <t>Canon</t>
        </is>
      </c>
      <c r="H24" s="15" t="inlineStr">
        <is>
          <t>Episode</t>
        </is>
      </c>
      <c r="I24" s="15" t="inlineStr">
        <is>
          <t>Disney+</t>
        </is>
      </c>
      <c r="J24" s="18">
        <f>HYPERLINK("https://www.disneyplus.com/video/7c732b05-b90f-4090-a184-5652be228139?cid=DTCI-Synergy-DDN-Site-Acquisition-StarWars-US-StarWars-StarWarsTheCloneWars-EN-BlogArticleEmbed-TCWChronological_StreamOnDisneyPlusCTA-NA","Watch")</f>
        <v/>
      </c>
      <c r="K24" s="22">
        <f>HYPERLINK("https://www.starwars.com/tv-shows/clone-wars/the-hidden-enemy-episode-guide","Season 1, Episode 16 · Episode guide")</f>
        <v/>
      </c>
    </row>
    <row r="25" ht="36" customHeight="1" s="23">
      <c r="A25" s="21" t="b">
        <v>1</v>
      </c>
      <c r="B25" s="21" t="n">
        <v>19</v>
      </c>
      <c r="C25" s="14" t="inlineStr">
        <is>
          <t>Fall of the Jedi</t>
        </is>
      </c>
      <c r="D25" s="15" t="inlineStr">
        <is>
          <t>The Clone Wars theatrical movie</t>
        </is>
      </c>
      <c r="E25" s="16" t="inlineStr">
        <is>
          <t>Movie</t>
        </is>
      </c>
      <c r="F25" s="17" t="inlineStr">
        <is>
          <t>August 15, 2008</t>
        </is>
      </c>
      <c r="G25" s="15" t="inlineStr">
        <is>
          <t>Canon</t>
        </is>
      </c>
      <c r="H25" s="15" t="inlineStr">
        <is>
          <t>Movie</t>
        </is>
      </c>
      <c r="I25" s="15" t="inlineStr">
        <is>
          <t>Disney+</t>
        </is>
      </c>
      <c r="J25" s="18">
        <f>HYPERLINK("https://www.disneyplus.com/movies/star-wars-the-clone-wars/AVmv1ulT1nQW?cid=DTCI-Synergy-DDN-Site-Acquisition-StarWars-US-StarWars-StarWarsTheCloneWars-EN-BlogArticleEmbed-TCWChronological_StreamOnDisneyPlusCTA-NA","Watch")</f>
        <v/>
      </c>
      <c r="K25" s="15" t="inlineStr">
        <is>
          <t>Separate movie listing</t>
        </is>
      </c>
    </row>
    <row r="26" ht="36" customHeight="1" s="23">
      <c r="A26" s="21" t="b">
        <v>1</v>
      </c>
      <c r="B26" s="21" t="n">
        <v>20</v>
      </c>
      <c r="C26" s="14" t="inlineStr">
        <is>
          <t>Fall of the Jedi</t>
        </is>
      </c>
      <c r="D26" s="15" t="inlineStr">
        <is>
          <t>The Clone Wars: Clone Cadets</t>
        </is>
      </c>
      <c r="E26" s="16" t="inlineStr">
        <is>
          <t>Season 3, Episode 1</t>
        </is>
      </c>
      <c r="F26" s="15" t="inlineStr">
        <is>
          <t>Series aired October 3, 2008–May 4, 2020</t>
        </is>
      </c>
      <c r="G26" s="15" t="inlineStr">
        <is>
          <t>Canon</t>
        </is>
      </c>
      <c r="H26" s="15" t="inlineStr">
        <is>
          <t>Episode</t>
        </is>
      </c>
      <c r="I26" s="15" t="inlineStr">
        <is>
          <t>Disney+</t>
        </is>
      </c>
      <c r="J26" s="18">
        <f>HYPERLINK("https://www.disneyplus.com/video/7851718f-2530-47e2-bf32-a8b498b3efa9?cid=DTCI-Synergy-DDN-Site-Acquisition-StarWars-US-StarWars-StarWarsTheCloneWars-EN-BlogArticleEmbed-TCWChronological_StreamOnDisneyPlusCTA-NA","Watch")</f>
        <v/>
      </c>
      <c r="K26" s="22">
        <f>HYPERLINK("https://www.starwars.com/tv-shows/clone-wars/clone-cadets-episode-guide","Season 3, Episode 1 · Episode guide")</f>
        <v/>
      </c>
    </row>
    <row r="27" ht="36" customHeight="1" s="23">
      <c r="A27" s="21" t="b">
        <v>1</v>
      </c>
      <c r="B27" s="21" t="n">
        <v>21</v>
      </c>
      <c r="C27" s="14" t="inlineStr">
        <is>
          <t>Fall of the Jedi</t>
        </is>
      </c>
      <c r="D27" s="15" t="inlineStr">
        <is>
          <t>The Clone Wars: Supply Lines</t>
        </is>
      </c>
      <c r="E27" s="16" t="inlineStr">
        <is>
          <t>Season 3, Episode 3</t>
        </is>
      </c>
      <c r="F27" s="15" t="inlineStr">
        <is>
          <t>Series aired October 3, 2008–May 4, 2020</t>
        </is>
      </c>
      <c r="G27" s="15" t="inlineStr">
        <is>
          <t>Canon</t>
        </is>
      </c>
      <c r="H27" s="15" t="inlineStr">
        <is>
          <t>Episode</t>
        </is>
      </c>
      <c r="I27" s="15" t="inlineStr">
        <is>
          <t>Disney+</t>
        </is>
      </c>
      <c r="J27" s="18">
        <f>HYPERLINK("https://www.disneyplus.com/video/9d78f2ca-bcf7-413c-a0ab-f6afe9edf677?cid=DTCI-Synergy-DDN-Site-Acquisition-StarWars-US-StarWars-StarWarsTheCloneWars-EN-BlogArticleEmbed-TCWChronological_StreamOnDisneyPlusCTA-NA","Watch")</f>
        <v/>
      </c>
      <c r="K27" s="22">
        <f>HYPERLINK("https://www.starwars.com/tv-shows/clone-wars/supply-lines-episode-guide","Season 3, Episode 3 · Episode guide")</f>
        <v/>
      </c>
    </row>
    <row r="28" ht="36" customHeight="1" s="23">
      <c r="A28" s="21" t="b">
        <v>1</v>
      </c>
      <c r="B28" s="21" t="n">
        <v>22</v>
      </c>
      <c r="C28" s="14" t="inlineStr">
        <is>
          <t>Fall of the Jedi</t>
        </is>
      </c>
      <c r="D28" s="15" t="inlineStr">
        <is>
          <t>The Clone Wars: Ambush</t>
        </is>
      </c>
      <c r="E28" s="16" t="inlineStr">
        <is>
          <t>Season 1, Episode 1</t>
        </is>
      </c>
      <c r="F28" s="15" t="inlineStr">
        <is>
          <t>Series aired October 3, 2008–May 4, 2020</t>
        </is>
      </c>
      <c r="G28" s="15" t="inlineStr">
        <is>
          <t>Canon</t>
        </is>
      </c>
      <c r="H28" s="15" t="inlineStr">
        <is>
          <t>Episode</t>
        </is>
      </c>
      <c r="I28" s="15" t="inlineStr">
        <is>
          <t>Disney+</t>
        </is>
      </c>
      <c r="J28" s="18">
        <f>HYPERLINK("https://www.disneyplus.com/video/0bf87f10-d9a1-44ca-8371-f38543eb3706?cid=DTCI-Synergy-DDN-Site-Acquisition-StarWars-US-StarWars-StarWarsTheCloneWars-EN-BlogArticleEmbed-TCWChronological_StreamOnDisneyPlusCTA-NA","Watch")</f>
        <v/>
      </c>
      <c r="K28" s="22">
        <f>HYPERLINK("https://www.starwars.com/tv-shows/clone-wars/ambush-episode-guide","Season 1, Episode 1 · Episode guide")</f>
        <v/>
      </c>
    </row>
    <row r="29" ht="36" customHeight="1" s="23">
      <c r="A29" s="21" t="b">
        <v>1</v>
      </c>
      <c r="B29" s="21" t="n">
        <v>23</v>
      </c>
      <c r="C29" s="14" t="inlineStr">
        <is>
          <t>Fall of the Jedi</t>
        </is>
      </c>
      <c r="D29" s="15" t="inlineStr">
        <is>
          <t>The Clone Wars: Rising Malevolence</t>
        </is>
      </c>
      <c r="E29" s="16" t="inlineStr">
        <is>
          <t>Season 1, Episode 2</t>
        </is>
      </c>
      <c r="F29" s="15" t="inlineStr">
        <is>
          <t>Series aired October 3, 2008–May 4, 2020</t>
        </is>
      </c>
      <c r="G29" s="15" t="inlineStr">
        <is>
          <t>Canon</t>
        </is>
      </c>
      <c r="H29" s="15" t="inlineStr">
        <is>
          <t>Episode</t>
        </is>
      </c>
      <c r="I29" s="15" t="inlineStr">
        <is>
          <t>Disney+</t>
        </is>
      </c>
      <c r="J29" s="18">
        <f>HYPERLINK("https://www.disneyplus.com/video/5bb0c4dc-91f1-434b-974f-1716511ecd4e?cid=DTCI-Synergy-DDN-Site-Acquisition-StarWars-US-StarWars-StarWarsTheCloneWars-EN-BlogArticleEmbed-TCWChronological_StreamOnDisneyPlusCTA-NA","Watch")</f>
        <v/>
      </c>
      <c r="K29" s="22">
        <f>HYPERLINK("https://www.starwars.com/tv-shows/clone-wars/rising-malevolence-episode-guide","Season 1, Episode 2 · Episode guide")</f>
        <v/>
      </c>
    </row>
    <row r="30" ht="36" customHeight="1" s="23">
      <c r="A30" s="21" t="b">
        <v>1</v>
      </c>
      <c r="B30" s="21" t="n">
        <v>24</v>
      </c>
      <c r="C30" s="14" t="inlineStr">
        <is>
          <t>Fall of the Jedi</t>
        </is>
      </c>
      <c r="D30" s="15" t="inlineStr">
        <is>
          <t>The Clone Wars: Shadow of Malevolence</t>
        </is>
      </c>
      <c r="E30" s="16" t="inlineStr">
        <is>
          <t>Season 1, Episode 3</t>
        </is>
      </c>
      <c r="F30" s="15" t="inlineStr">
        <is>
          <t>Series aired October 3, 2008–May 4, 2020</t>
        </is>
      </c>
      <c r="G30" s="15" t="inlineStr">
        <is>
          <t>Canon</t>
        </is>
      </c>
      <c r="H30" s="15" t="inlineStr">
        <is>
          <t>Episode</t>
        </is>
      </c>
      <c r="I30" s="15" t="inlineStr">
        <is>
          <t>Disney+</t>
        </is>
      </c>
      <c r="J30" s="18">
        <f>HYPERLINK("https://www.disneyplus.com/video/96e47d91-f975-4302-8bb0-73dfe9ad0a37?cid=DTCI-Synergy-DDN-Site-Acquisition-StarWars-US-StarWars-StarWarsTheCloneWars-EN-BlogArticleEmbed-TCWChronological_StreamOnDisneyPlusCTA-NA","Watch")</f>
        <v/>
      </c>
      <c r="K30" s="22">
        <f>HYPERLINK("https://www.starwars.com/tv-shows/clone-wars/shadow-of-malevolence-episode-guide","Season 1, Episode 3 · Episode guide")</f>
        <v/>
      </c>
    </row>
    <row r="31" ht="36" customHeight="1" s="23">
      <c r="A31" s="21" t="b">
        <v>1</v>
      </c>
      <c r="B31" s="21" t="n">
        <v>25</v>
      </c>
      <c r="C31" s="14" t="inlineStr">
        <is>
          <t>Fall of the Jedi</t>
        </is>
      </c>
      <c r="D31" s="15" t="inlineStr">
        <is>
          <t>The Clone Wars: Destroy Malevolence</t>
        </is>
      </c>
      <c r="E31" s="16" t="inlineStr">
        <is>
          <t>Season 1, Episode 4</t>
        </is>
      </c>
      <c r="F31" s="15" t="inlineStr">
        <is>
          <t>Series aired October 3, 2008–May 4, 2020</t>
        </is>
      </c>
      <c r="G31" s="15" t="inlineStr">
        <is>
          <t>Canon</t>
        </is>
      </c>
      <c r="H31" s="15" t="inlineStr">
        <is>
          <t>Episode</t>
        </is>
      </c>
      <c r="I31" s="15" t="inlineStr">
        <is>
          <t>Disney+</t>
        </is>
      </c>
      <c r="J31" s="18">
        <f>HYPERLINK("https://www.disneyplus.com/video/7097d305-bca4-40e9-9cf0-cc84d89583a6?cid=DTCI-Synergy-DDN-Site-Acquisition-StarWars-US-StarWars-StarWarsTheCloneWars-EN-BlogArticleEmbed-TCWChronological_StreamOnDisneyPlusCTA-NA","Watch")</f>
        <v/>
      </c>
      <c r="K31" s="22">
        <f>HYPERLINK("https://www.starwars.com/tv-shows/clone-wars/destroy-malevolence-episode-guide","Season 1, Episode 4 · Episode guide")</f>
        <v/>
      </c>
    </row>
    <row r="32" ht="36" customHeight="1" s="23">
      <c r="A32" s="21" t="b">
        <v>1</v>
      </c>
      <c r="B32" s="21" t="n">
        <v>26</v>
      </c>
      <c r="C32" s="14" t="inlineStr">
        <is>
          <t>Fall of the Jedi</t>
        </is>
      </c>
      <c r="D32" s="15" t="inlineStr">
        <is>
          <t>The Clone Wars: Rookies</t>
        </is>
      </c>
      <c r="E32" s="16" t="inlineStr">
        <is>
          <t>Season 1, Episode 5</t>
        </is>
      </c>
      <c r="F32" s="15" t="inlineStr">
        <is>
          <t>Series aired October 3, 2008–May 4, 2020</t>
        </is>
      </c>
      <c r="G32" s="15" t="inlineStr">
        <is>
          <t>Canon</t>
        </is>
      </c>
      <c r="H32" s="15" t="inlineStr">
        <is>
          <t>Episode</t>
        </is>
      </c>
      <c r="I32" s="15" t="inlineStr">
        <is>
          <t>Disney+</t>
        </is>
      </c>
      <c r="J32" s="18">
        <f>HYPERLINK("https://www.disneyplus.com/video/598d1e7b-f39e-4527-9487-b5e891f5eefa?cid=DTCI-Synergy-DDN-Site-Acquisition-StarWars-US-StarWars-StarWarsTheCloneWars-EN-BlogArticleEmbed-TCWChronological_StreamOnDisneyPlusCTA-NA","Watch")</f>
        <v/>
      </c>
      <c r="K32" s="22">
        <f>HYPERLINK("https://www.starwars.com/tv-shows/clone-wars/rookies-episode-guide","Season 1, Episode 5 · Episode guide")</f>
        <v/>
      </c>
    </row>
    <row r="33" ht="36" customHeight="1" s="23">
      <c r="A33" s="21" t="b">
        <v>1</v>
      </c>
      <c r="B33" s="21" t="n">
        <v>27</v>
      </c>
      <c r="C33" s="14" t="inlineStr">
        <is>
          <t>Fall of the Jedi</t>
        </is>
      </c>
      <c r="D33" s="15" t="inlineStr">
        <is>
          <t>The Clone Wars: Downfall of a Droid</t>
        </is>
      </c>
      <c r="E33" s="16" t="inlineStr">
        <is>
          <t>Season 1, Episode 6</t>
        </is>
      </c>
      <c r="F33" s="15" t="inlineStr">
        <is>
          <t>Series aired October 3, 2008–May 4, 2020</t>
        </is>
      </c>
      <c r="G33" s="15" t="inlineStr">
        <is>
          <t>Canon</t>
        </is>
      </c>
      <c r="H33" s="15" t="inlineStr">
        <is>
          <t>Episode</t>
        </is>
      </c>
      <c r="I33" s="15" t="inlineStr">
        <is>
          <t>Disney+</t>
        </is>
      </c>
      <c r="J33" s="18">
        <f>HYPERLINK("https://www.disneyplus.com/video/41059c6d-bb4c-4185-91f4-7b5eb3f15849?cid=DTCI-Synergy-DDN-Site-Acquisition-StarWars-US-StarWars-StarWarsTheCloneWars-EN-BlogArticleEmbed-TCWChronological_StreamOnDisneyPlusCTA-NA","Watch")</f>
        <v/>
      </c>
      <c r="K33" s="22">
        <f>HYPERLINK("https://www.starwars.com/tv-shows/clone-wars/downfall-of-a-droid-episode-guide","Season 1, Episode 6 · Episode guide")</f>
        <v/>
      </c>
    </row>
    <row r="34" ht="36" customHeight="1" s="23">
      <c r="A34" s="21" t="b">
        <v>1</v>
      </c>
      <c r="B34" s="21" t="n">
        <v>28</v>
      </c>
      <c r="C34" s="14" t="inlineStr">
        <is>
          <t>Fall of the Jedi</t>
        </is>
      </c>
      <c r="D34" s="15" t="inlineStr">
        <is>
          <t>The Clone Wars: Duel of the Droids</t>
        </is>
      </c>
      <c r="E34" s="16" t="inlineStr">
        <is>
          <t>Season 1, Episode 7</t>
        </is>
      </c>
      <c r="F34" s="15" t="inlineStr">
        <is>
          <t>Series aired October 3, 2008–May 4, 2020</t>
        </is>
      </c>
      <c r="G34" s="15" t="inlineStr">
        <is>
          <t>Canon</t>
        </is>
      </c>
      <c r="H34" s="15" t="inlineStr">
        <is>
          <t>Episode</t>
        </is>
      </c>
      <c r="I34" s="15" t="inlineStr">
        <is>
          <t>Disney+</t>
        </is>
      </c>
      <c r="J34" s="18">
        <f>HYPERLINK("https://www.disneyplus.com/video/6dfef4c5-f797-4ff3-95ca-2f6e6f865f82?cid=DTCI-Synergy-DDN-Site-Acquisition-StarWars-US-StarWars-StarWarsTheCloneWars-EN-BlogArticleEmbed-TCWChronological_StreamOnDisneyPlusCTA-NA","Watch")</f>
        <v/>
      </c>
      <c r="K34" s="22">
        <f>HYPERLINK("https://www.starwars.com/tv-shows/clone-wars/duel-of-the-droids-episode-guide","Season 1, Episode 7 · Episode guide")</f>
        <v/>
      </c>
    </row>
    <row r="35" ht="36" customHeight="1" s="23">
      <c r="A35" s="21" t="b">
        <v>1</v>
      </c>
      <c r="B35" s="21" t="n">
        <v>29</v>
      </c>
      <c r="C35" s="14" t="inlineStr">
        <is>
          <t>Fall of the Jedi</t>
        </is>
      </c>
      <c r="D35" s="15" t="inlineStr">
        <is>
          <t>The Clone Wars: Bombad Jedi</t>
        </is>
      </c>
      <c r="E35" s="16" t="inlineStr">
        <is>
          <t>Season 1, Episode 8</t>
        </is>
      </c>
      <c r="F35" s="15" t="inlineStr">
        <is>
          <t>Series aired October 3, 2008–May 4, 2020</t>
        </is>
      </c>
      <c r="G35" s="15" t="inlineStr">
        <is>
          <t>Canon</t>
        </is>
      </c>
      <c r="H35" s="15" t="inlineStr">
        <is>
          <t>Episode</t>
        </is>
      </c>
      <c r="I35" s="15" t="inlineStr">
        <is>
          <t>Disney+</t>
        </is>
      </c>
      <c r="J35" s="18">
        <f>HYPERLINK("https://www.disneyplus.com/video/c0491eed-234e-461d-9e98-82dd297e1f6f?cid=DTCI-Synergy-DDN-Site-Acquisition-StarWars-US-StarWars-StarWarsTheCloneWars-EN-BlogArticleEmbed-TCWChronological_StreamOnDisneyPlusCTA-NA","Watch")</f>
        <v/>
      </c>
      <c r="K35" s="22">
        <f>HYPERLINK("https://www.starwars.com/tv-shows/clone-wars/bombad-jedi-episode-guide","Season 1, Episode 8 · Episode guide")</f>
        <v/>
      </c>
    </row>
    <row r="36" ht="36" customHeight="1" s="23">
      <c r="A36" s="21" t="b">
        <v>1</v>
      </c>
      <c r="B36" s="21" t="n">
        <v>30</v>
      </c>
      <c r="C36" s="14" t="inlineStr">
        <is>
          <t>Fall of the Jedi</t>
        </is>
      </c>
      <c r="D36" s="15" t="inlineStr">
        <is>
          <t>The Clone Wars: Cloak of Darkness</t>
        </is>
      </c>
      <c r="E36" s="16" t="inlineStr">
        <is>
          <t>Season 1, Episode 9</t>
        </is>
      </c>
      <c r="F36" s="15" t="inlineStr">
        <is>
          <t>Series aired October 3, 2008–May 4, 2020</t>
        </is>
      </c>
      <c r="G36" s="15" t="inlineStr">
        <is>
          <t>Canon</t>
        </is>
      </c>
      <c r="H36" s="15" t="inlineStr">
        <is>
          <t>Episode</t>
        </is>
      </c>
      <c r="I36" s="15" t="inlineStr">
        <is>
          <t>Disney+</t>
        </is>
      </c>
      <c r="J36" s="18">
        <f>HYPERLINK("https://www.disneyplus.com/video/96574cf0-9dd5-48f4-9625-545a13cff7db?cid=DTCI-Synergy-DDN-Site-Acquisition-StarWars-US-StarWars-StarWarsTheCloneWars-EN-BlogArticleEmbed-TCWChronological_StreamOnDisneyPlusCTA-NA","Watch")</f>
        <v/>
      </c>
      <c r="K36" s="22">
        <f>HYPERLINK("https://www.starwars.com/tv-shows/clone-wars/cloak-of-darkness-episode-guide","Season 1, Episode 9 · Episode guide")</f>
        <v/>
      </c>
    </row>
    <row r="37" ht="36" customHeight="1" s="23">
      <c r="A37" s="21" t="b">
        <v>1</v>
      </c>
      <c r="B37" s="21" t="n">
        <v>31</v>
      </c>
      <c r="C37" s="14" t="inlineStr">
        <is>
          <t>Fall of the Jedi</t>
        </is>
      </c>
      <c r="D37" s="15" t="inlineStr">
        <is>
          <t>The Clone Wars: Lair of Grievous</t>
        </is>
      </c>
      <c r="E37" s="16" t="inlineStr">
        <is>
          <t>Season 1, Episode 10</t>
        </is>
      </c>
      <c r="F37" s="15" t="inlineStr">
        <is>
          <t>Series aired October 3, 2008–May 4, 2020</t>
        </is>
      </c>
      <c r="G37" s="15" t="inlineStr">
        <is>
          <t>Canon</t>
        </is>
      </c>
      <c r="H37" s="15" t="inlineStr">
        <is>
          <t>Episode</t>
        </is>
      </c>
      <c r="I37" s="15" t="inlineStr">
        <is>
          <t>Disney+</t>
        </is>
      </c>
      <c r="J37" s="18">
        <f>HYPERLINK("https://www.disneyplus.com/video/3755d2fb-2904-47a2-9315-fd4969401c30?cid=DTCI-Synergy-DDN-Site-Acquisition-StarWars-US-StarWars-StarWarsTheCloneWars-EN-BlogArticleEmbed-TCWChronological_StreamOnDisneyPlusCTA-NA","Watch")</f>
        <v/>
      </c>
      <c r="K37" s="22">
        <f>HYPERLINK("https://www.starwars.com/tv-shows/clone-wars/lair-of-grievous-episode-guide","Season 1, Episode 10 · Episode guide")</f>
        <v/>
      </c>
    </row>
    <row r="38" ht="36" customHeight="1" s="23">
      <c r="A38" s="21" t="b">
        <v>1</v>
      </c>
      <c r="B38" s="21" t="n">
        <v>32</v>
      </c>
      <c r="C38" s="14" t="inlineStr">
        <is>
          <t>Fall of the Jedi</t>
        </is>
      </c>
      <c r="D38" s="15" t="inlineStr">
        <is>
          <t>The Clone Wars: Dooku Captured</t>
        </is>
      </c>
      <c r="E38" s="16" t="inlineStr">
        <is>
          <t>Season 1, Episode 11</t>
        </is>
      </c>
      <c r="F38" s="15" t="inlineStr">
        <is>
          <t>Series aired October 3, 2008–May 4, 2020</t>
        </is>
      </c>
      <c r="G38" s="15" t="inlineStr">
        <is>
          <t>Canon</t>
        </is>
      </c>
      <c r="H38" s="15" t="inlineStr">
        <is>
          <t>Episode</t>
        </is>
      </c>
      <c r="I38" s="15" t="inlineStr">
        <is>
          <t>Disney+</t>
        </is>
      </c>
      <c r="J38" s="18">
        <f>HYPERLINK("https://www.disneyplus.com/video/9bc09e32-83d9-4e00-a49e-a0241b4fb243?cid=DTCI-Synergy-DDN-Site-Acquisition-StarWars-US-StarWars-StarWarsTheCloneWars-EN-BlogArticleEmbed-TCWChronological_StreamOnDisneyPlusCTA-NA","Watch")</f>
        <v/>
      </c>
      <c r="K38" s="22">
        <f>HYPERLINK("https://www.starwars.com/tv-shows/clone-wars/dooku-captured-episode-guide","Season 1, Episode 11 · Episode guide")</f>
        <v/>
      </c>
    </row>
    <row r="39" ht="36" customHeight="1" s="23">
      <c r="A39" s="21" t="b">
        <v>1</v>
      </c>
      <c r="B39" s="21" t="n">
        <v>33</v>
      </c>
      <c r="C39" s="14" t="inlineStr">
        <is>
          <t>Fall of the Jedi</t>
        </is>
      </c>
      <c r="D39" s="15" t="inlineStr">
        <is>
          <t>The Clone Wars: The Gungan General</t>
        </is>
      </c>
      <c r="E39" s="16" t="inlineStr">
        <is>
          <t>Season 1, Episode 12</t>
        </is>
      </c>
      <c r="F39" s="15" t="inlineStr">
        <is>
          <t>Series aired October 3, 2008–May 4, 2020</t>
        </is>
      </c>
      <c r="G39" s="15" t="inlineStr">
        <is>
          <t>Canon</t>
        </is>
      </c>
      <c r="H39" s="15" t="inlineStr">
        <is>
          <t>Episode</t>
        </is>
      </c>
      <c r="I39" s="15" t="inlineStr">
        <is>
          <t>Disney+</t>
        </is>
      </c>
      <c r="J39" s="18">
        <f>HYPERLINK("https://www.disneyplus.com/video/c1ac160f-7cc2-444f-a8a6-e1a1aa68d12d?cid=DTCI-Synergy-DDN-Site-Acquisition-StarWars-US-StarWars-StarWarsTheCloneWars-EN-BlogArticleEmbed-TCWChronological_StreamOnDisneyPlusCTA-NA","Watch")</f>
        <v/>
      </c>
      <c r="K39" s="22">
        <f>HYPERLINK("https://www.starwars.com/tv-shows/clone-wars/the-gungan-general-episode-guide","Season 1, Episode 12 · Episode guide")</f>
        <v/>
      </c>
    </row>
    <row r="40" ht="36" customHeight="1" s="23">
      <c r="A40" s="21" t="b">
        <v>1</v>
      </c>
      <c r="B40" s="21" t="n">
        <v>34</v>
      </c>
      <c r="C40" s="14" t="inlineStr">
        <is>
          <t>Fall of the Jedi</t>
        </is>
      </c>
      <c r="D40" s="15" t="inlineStr">
        <is>
          <t>The Clone Wars: Jedi Crash</t>
        </is>
      </c>
      <c r="E40" s="16" t="inlineStr">
        <is>
          <t>Season 1, Episode 13</t>
        </is>
      </c>
      <c r="F40" s="15" t="inlineStr">
        <is>
          <t>Series aired October 3, 2008–May 4, 2020</t>
        </is>
      </c>
      <c r="G40" s="15" t="inlineStr">
        <is>
          <t>Canon</t>
        </is>
      </c>
      <c r="H40" s="15" t="inlineStr">
        <is>
          <t>Episode</t>
        </is>
      </c>
      <c r="I40" s="15" t="inlineStr">
        <is>
          <t>Disney+</t>
        </is>
      </c>
      <c r="J40" s="18">
        <f>HYPERLINK("https://www.disneyplus.com/video/28c0b907-8efe-4400-af50-c13c66e18468?cid=DTCI-Synergy-DDN-Site-Acquisition-StarWars-US-StarWars-StarWarsTheCloneWars-EN-BlogArticleEmbed-TCWChronological_StreamOnDisneyPlusCTA-NA","Watch")</f>
        <v/>
      </c>
      <c r="K40" s="22">
        <f>HYPERLINK("https://www.starwars.com/tv-shows/clone-wars/jedi-crash-episode-guide","Season 1, Episode 13 · Episode guide")</f>
        <v/>
      </c>
    </row>
    <row r="41" ht="36" customHeight="1" s="23">
      <c r="A41" s="21" t="b">
        <v>1</v>
      </c>
      <c r="B41" s="21" t="n">
        <v>35</v>
      </c>
      <c r="C41" s="14" t="inlineStr">
        <is>
          <t>Fall of the Jedi</t>
        </is>
      </c>
      <c r="D41" s="15" t="inlineStr">
        <is>
          <t>The Clone Wars: Defenders of Peace</t>
        </is>
      </c>
      <c r="E41" s="16" t="inlineStr">
        <is>
          <t>Season 1, Episode 14</t>
        </is>
      </c>
      <c r="F41" s="15" t="inlineStr">
        <is>
          <t>Series aired October 3, 2008–May 4, 2020</t>
        </is>
      </c>
      <c r="G41" s="15" t="inlineStr">
        <is>
          <t>Canon</t>
        </is>
      </c>
      <c r="H41" s="15" t="inlineStr">
        <is>
          <t>Episode</t>
        </is>
      </c>
      <c r="I41" s="15" t="inlineStr">
        <is>
          <t>Disney+</t>
        </is>
      </c>
      <c r="J41" s="18">
        <f>HYPERLINK("https://www.disneyplus.com/video/b258d36e-98da-419a-bcc4-58826cd79f95?cid=DTCI-Synergy-DDN-Site-Acquisition-StarWars-US-StarWars-StarWarsTheCloneWars-EN-BlogArticleEmbed-TCWChronological_StreamOnDisneyPlusCTA-NA","Watch")</f>
        <v/>
      </c>
      <c r="K41" s="22">
        <f>HYPERLINK("https://www.starwars.com/tv-shows/clone-wars/defenders-of-peace-episode-guide","Season 1, Episode 14 · Episode guide")</f>
        <v/>
      </c>
    </row>
    <row r="42" ht="36" customHeight="1" s="23">
      <c r="A42" s="21" t="b">
        <v>1</v>
      </c>
      <c r="B42" s="21" t="n">
        <v>36</v>
      </c>
      <c r="C42" s="14" t="inlineStr">
        <is>
          <t>Fall of the Jedi</t>
        </is>
      </c>
      <c r="D42" s="15" t="inlineStr">
        <is>
          <t>The Clone Wars: Trespass</t>
        </is>
      </c>
      <c r="E42" s="16" t="inlineStr">
        <is>
          <t>Season 1, Episode 15</t>
        </is>
      </c>
      <c r="F42" s="15" t="inlineStr">
        <is>
          <t>Series aired October 3, 2008–May 4, 2020</t>
        </is>
      </c>
      <c r="G42" s="15" t="inlineStr">
        <is>
          <t>Canon</t>
        </is>
      </c>
      <c r="H42" s="15" t="inlineStr">
        <is>
          <t>Episode</t>
        </is>
      </c>
      <c r="I42" s="15" t="inlineStr">
        <is>
          <t>Disney+</t>
        </is>
      </c>
      <c r="J42" s="18">
        <f>HYPERLINK("https://www.disneyplus.com/video/bf62fc31-f895-4dec-9d96-6635bda89f26?cid=DTCI-Synergy-DDN-Site-Acquisition-StarWars-US-StarWars-StarWarsTheCloneWars-EN-BlogArticleEmbed-TCWChronological_StreamOnDisneyPlusCTA-NA","Watch")</f>
        <v/>
      </c>
      <c r="K42" s="22">
        <f>HYPERLINK("https://www.starwars.com/tv-shows/clone-wars/trespass-episode-guide","Season 1, Episode 15 · Episode guide")</f>
        <v/>
      </c>
    </row>
    <row r="43" ht="36" customHeight="1" s="23">
      <c r="A43" s="21" t="b">
        <v>1</v>
      </c>
      <c r="B43" s="21" t="n">
        <v>37</v>
      </c>
      <c r="C43" s="14" t="inlineStr">
        <is>
          <t>Fall of the Jedi</t>
        </is>
      </c>
      <c r="D43" s="15" t="inlineStr">
        <is>
          <t>The Clone Wars: Blue Shadow Virus</t>
        </is>
      </c>
      <c r="E43" s="16" t="inlineStr">
        <is>
          <t>Season 1, Episode 17</t>
        </is>
      </c>
      <c r="F43" s="15" t="inlineStr">
        <is>
          <t>Series aired October 3, 2008–May 4, 2020</t>
        </is>
      </c>
      <c r="G43" s="15" t="inlineStr">
        <is>
          <t>Canon</t>
        </is>
      </c>
      <c r="H43" s="15" t="inlineStr">
        <is>
          <t>Episode</t>
        </is>
      </c>
      <c r="I43" s="15" t="inlineStr">
        <is>
          <t>Disney+</t>
        </is>
      </c>
      <c r="J43" s="18">
        <f>HYPERLINK("https://www.disneyplus.com/video/393b2b72-7e23-420d-ae09-f5332cb6b726?cid=DTCI-Synergy-DDN-Site-Acquisition-StarWars-US-StarWars-StarWarsTheCloneWars-EN-BlogArticleEmbed-TCWChronological_StreamOnDisneyPlusCTA-NA","Watch")</f>
        <v/>
      </c>
      <c r="K43" s="22">
        <f>HYPERLINK("https://www.starwars.com/tv-shows/clone-wars/blue-shadow-virus-episode-guide","Season 1, Episode 17 · Episode guide")</f>
        <v/>
      </c>
    </row>
    <row r="44" ht="36" customHeight="1" s="23">
      <c r="A44" s="21" t="b">
        <v>1</v>
      </c>
      <c r="B44" s="21" t="n">
        <v>38</v>
      </c>
      <c r="C44" s="14" t="inlineStr">
        <is>
          <t>Fall of the Jedi</t>
        </is>
      </c>
      <c r="D44" s="15" t="inlineStr">
        <is>
          <t>The Clone Wars: Mystery of a Thousand Moons</t>
        </is>
      </c>
      <c r="E44" s="16" t="inlineStr">
        <is>
          <t>Season 1, Episode 18</t>
        </is>
      </c>
      <c r="F44" s="15" t="inlineStr">
        <is>
          <t>Series aired October 3, 2008–May 4, 2020</t>
        </is>
      </c>
      <c r="G44" s="15" t="inlineStr">
        <is>
          <t>Canon</t>
        </is>
      </c>
      <c r="H44" s="15" t="inlineStr">
        <is>
          <t>Episode</t>
        </is>
      </c>
      <c r="I44" s="15" t="inlineStr">
        <is>
          <t>Disney+</t>
        </is>
      </c>
      <c r="J44" s="18">
        <f>HYPERLINK("https://www.disneyplus.com/video/f6fe3f35-5e5e-440b-97d6-425ea1a1820d?cid=DTCI-Synergy-DDN-Site-Acquisition-StarWars-US-StarWars-StarWarsTheCloneWars-EN-BlogArticleEmbed-TCWChronological_StreamOnDisneyPlusCTA-NA","Watch")</f>
        <v/>
      </c>
      <c r="K44" s="22">
        <f>HYPERLINK("https://www.starwars.com/tv-shows/clone-wars/mystery-of-a-thousand-moons-episode-guide","Season 1, Episode 18 · Episode guide")</f>
        <v/>
      </c>
    </row>
    <row r="45" ht="36" customHeight="1" s="23">
      <c r="A45" s="21" t="b">
        <v>1</v>
      </c>
      <c r="B45" s="21" t="n">
        <v>39</v>
      </c>
      <c r="C45" s="14" t="inlineStr">
        <is>
          <t>Fall of the Jedi</t>
        </is>
      </c>
      <c r="D45" s="15" t="inlineStr">
        <is>
          <t>The Clone Wars: Storm over Ryloth</t>
        </is>
      </c>
      <c r="E45" s="16" t="inlineStr">
        <is>
          <t>Season 1, Episode 19</t>
        </is>
      </c>
      <c r="F45" s="15" t="inlineStr">
        <is>
          <t>Series aired October 3, 2008–May 4, 2020</t>
        </is>
      </c>
      <c r="G45" s="15" t="inlineStr">
        <is>
          <t>Canon</t>
        </is>
      </c>
      <c r="H45" s="15" t="inlineStr">
        <is>
          <t>Episode</t>
        </is>
      </c>
      <c r="I45" s="15" t="inlineStr">
        <is>
          <t>Disney+</t>
        </is>
      </c>
      <c r="J45" s="18">
        <f>HYPERLINK("https://www.disneyplus.com/video/76710ca6-5a5f-4fbd-8bc3-2a62beba88cf?cid=DTCI-Synergy-DDN-Site-Acquisition-StarWars-US-StarWars-StarWarsTheCloneWars-EN-BlogArticleEmbed-TCWChronological_StreamOnDisneyPlusCTA-NA","Watch")</f>
        <v/>
      </c>
      <c r="K45" s="22">
        <f>HYPERLINK("https://www.starwars.com/tv-shows/clone-wars/storm-over-ryloth-episode-guide","Season 1, Episode 19 · Episode guide")</f>
        <v/>
      </c>
    </row>
    <row r="46" ht="36" customHeight="1" s="23">
      <c r="A46" s="21" t="b">
        <v>1</v>
      </c>
      <c r="B46" s="21" t="n">
        <v>40</v>
      </c>
      <c r="C46" s="14" t="inlineStr">
        <is>
          <t>Fall of the Jedi</t>
        </is>
      </c>
      <c r="D46" s="15" t="inlineStr">
        <is>
          <t>The Clone Wars: Innocents of Ryloth</t>
        </is>
      </c>
      <c r="E46" s="16" t="inlineStr">
        <is>
          <t>Season 1, Episode 20</t>
        </is>
      </c>
      <c r="F46" s="15" t="inlineStr">
        <is>
          <t>Series aired October 3, 2008–May 4, 2020</t>
        </is>
      </c>
      <c r="G46" s="15" t="inlineStr">
        <is>
          <t>Canon</t>
        </is>
      </c>
      <c r="H46" s="15" t="inlineStr">
        <is>
          <t>Episode</t>
        </is>
      </c>
      <c r="I46" s="15" t="inlineStr">
        <is>
          <t>Disney+</t>
        </is>
      </c>
      <c r="J46" s="18">
        <f>HYPERLINK("https://www.disneyplus.com/video/d4f5abd5-3e71-4cef-9928-6be9527fdb89?cid=DTCI-Synergy-DDN-Site-Acquisition-StarWars-US-StarWars-StarWarsTheCloneWars-EN-BlogArticleEmbed-TCWChronological_StreamOnDisneyPlusCTA-NA","Watch")</f>
        <v/>
      </c>
      <c r="K46" s="22">
        <f>HYPERLINK("https://www.starwars.com/tv-shows/clone-wars/innocents-of-ryloth-episode-guide","Season 1, Episode 20 · Episode guide")</f>
        <v/>
      </c>
    </row>
    <row r="47" ht="36" customHeight="1" s="23">
      <c r="A47" s="21" t="b">
        <v>1</v>
      </c>
      <c r="B47" s="21" t="n">
        <v>41</v>
      </c>
      <c r="C47" s="14" t="inlineStr">
        <is>
          <t>Fall of the Jedi</t>
        </is>
      </c>
      <c r="D47" s="15" t="inlineStr">
        <is>
          <t>The Clone Wars: Liberty on Ryloth</t>
        </is>
      </c>
      <c r="E47" s="16" t="inlineStr">
        <is>
          <t>Season 1, Episode 21</t>
        </is>
      </c>
      <c r="F47" s="15" t="inlineStr">
        <is>
          <t>Series aired October 3, 2008–May 4, 2020</t>
        </is>
      </c>
      <c r="G47" s="15" t="inlineStr">
        <is>
          <t>Canon</t>
        </is>
      </c>
      <c r="H47" s="15" t="inlineStr">
        <is>
          <t>Episode</t>
        </is>
      </c>
      <c r="I47" s="15" t="inlineStr">
        <is>
          <t>Disney+</t>
        </is>
      </c>
      <c r="J47" s="18">
        <f>HYPERLINK("https://www.disneyplus.com/video/0f87705e-7773-4154-8ff8-fdee5671431d?cid=DTCI-Synergy-DDN-Site-Acquisition-StarWars-US-StarWars-StarWarsTheCloneWars-EN-BlogArticleEmbed-TCWChronological_StreamOnDisneyPlusCTA-NA","Watch")</f>
        <v/>
      </c>
      <c r="K47" s="22">
        <f>HYPERLINK("https://www.starwars.com/tv-shows/clone-wars/liberty-on-ryloth-episode-guide","Season 1, Episode 21 · Episode guide")</f>
        <v/>
      </c>
    </row>
    <row r="48" ht="36" customHeight="1" s="23">
      <c r="A48" s="21" t="b">
        <v>1</v>
      </c>
      <c r="B48" s="21" t="n">
        <v>42</v>
      </c>
      <c r="C48" s="14" t="inlineStr">
        <is>
          <t>Fall of the Jedi</t>
        </is>
      </c>
      <c r="D48" s="15" t="inlineStr">
        <is>
          <t>The Clone Wars: Holocron Heist</t>
        </is>
      </c>
      <c r="E48" s="16" t="inlineStr">
        <is>
          <t>Season 2, Episode 1</t>
        </is>
      </c>
      <c r="F48" s="15" t="inlineStr">
        <is>
          <t>Series aired October 3, 2008–May 4, 2020</t>
        </is>
      </c>
      <c r="G48" s="15" t="inlineStr">
        <is>
          <t>Canon</t>
        </is>
      </c>
      <c r="H48" s="15" t="inlineStr">
        <is>
          <t>Episode</t>
        </is>
      </c>
      <c r="I48" s="15" t="inlineStr">
        <is>
          <t>Disney+</t>
        </is>
      </c>
      <c r="J48" s="18">
        <f>HYPERLINK("https://www.disneyplus.com/video/0eb555a3-9420-4364-aef2-7186f5e4fb4e?cid=DTCI-Synergy-DDN-Site-Acquisition-StarWars-US-StarWars-StarWarsTheCloneWars-EN-BlogArticleEmbed-TCWChronological_StreamOnDisneyPlusCTA-NA","Watch")</f>
        <v/>
      </c>
      <c r="K48" s="22">
        <f>HYPERLINK("https://www.starwars.com/tv-shows/clone-wars/holocron-heist-episode-guide","Season 2, Episode 1 · Episode guide")</f>
        <v/>
      </c>
    </row>
    <row r="49" ht="36" customHeight="1" s="23">
      <c r="A49" s="21" t="b">
        <v>1</v>
      </c>
      <c r="B49" s="21" t="n">
        <v>43</v>
      </c>
      <c r="C49" s="14" t="inlineStr">
        <is>
          <t>Fall of the Jedi</t>
        </is>
      </c>
      <c r="D49" s="15" t="inlineStr">
        <is>
          <t>The Clone Wars: Cargo of Doom</t>
        </is>
      </c>
      <c r="E49" s="16" t="inlineStr">
        <is>
          <t>Season 2, Episode 2</t>
        </is>
      </c>
      <c r="F49" s="15" t="inlineStr">
        <is>
          <t>Series aired October 3, 2008–May 4, 2020</t>
        </is>
      </c>
      <c r="G49" s="15" t="inlineStr">
        <is>
          <t>Canon</t>
        </is>
      </c>
      <c r="H49" s="15" t="inlineStr">
        <is>
          <t>Episode</t>
        </is>
      </c>
      <c r="I49" s="15" t="inlineStr">
        <is>
          <t>Disney+</t>
        </is>
      </c>
      <c r="J49" s="18">
        <f>HYPERLINK("https://www.disneyplus.com/video/865525da-5daa-4188-9bca-8abd942909fd?cid=DTCI-Synergy-DDN-Site-Acquisition-StarWars-US-StarWars-StarWarsTheCloneWars-EN-BlogArticleEmbed-TCWChronological_StreamOnDisneyPlusCTA-NA","Watch")</f>
        <v/>
      </c>
      <c r="K49" s="22">
        <f>HYPERLINK("https://www.starwars.com/tv-shows/clone-wars/cargo-of-doom-episode-guide","Season 2, Episode 2 · Episode guide")</f>
        <v/>
      </c>
    </row>
    <row r="50" ht="36" customHeight="1" s="23">
      <c r="A50" s="21" t="b">
        <v>1</v>
      </c>
      <c r="B50" s="21" t="n">
        <v>44</v>
      </c>
      <c r="C50" s="14" t="inlineStr">
        <is>
          <t>Fall of the Jedi</t>
        </is>
      </c>
      <c r="D50" s="15" t="inlineStr">
        <is>
          <t>The Clone Wars: Children of the Force</t>
        </is>
      </c>
      <c r="E50" s="16" t="inlineStr">
        <is>
          <t>Season 2, Episode 3</t>
        </is>
      </c>
      <c r="F50" s="15" t="inlineStr">
        <is>
          <t>Series aired October 3, 2008–May 4, 2020</t>
        </is>
      </c>
      <c r="G50" s="15" t="inlineStr">
        <is>
          <t>Canon</t>
        </is>
      </c>
      <c r="H50" s="15" t="inlineStr">
        <is>
          <t>Episode</t>
        </is>
      </c>
      <c r="I50" s="15" t="inlineStr">
        <is>
          <t>Disney+</t>
        </is>
      </c>
      <c r="J50" s="18">
        <f>HYPERLINK("https://www.disneyplus.com/video/2b77cbb2-045c-456d-a551-be454175ca28?cid=DTCI-Synergy-DDN-Site-Acquisition-StarWars-US-StarWars-StarWarsTheCloneWars-EN-BlogArticleEmbed-TCWChronological_StreamOnDisneyPlusCTA-NA","Watch")</f>
        <v/>
      </c>
      <c r="K50" s="22">
        <f>HYPERLINK("https://www.starwars.com/tv-shows/clone-wars/children-of-the-force-episode-guide","Season 2, Episode 3 · Episode guide")</f>
        <v/>
      </c>
    </row>
    <row r="51" ht="36" customHeight="1" s="23">
      <c r="A51" s="21" t="b">
        <v>1</v>
      </c>
      <c r="B51" s="21" t="n">
        <v>45</v>
      </c>
      <c r="C51" s="14" t="inlineStr">
        <is>
          <t>Fall of the Jedi</t>
        </is>
      </c>
      <c r="D51" s="15" t="inlineStr">
        <is>
          <t>The Clone Wars: Bounty Hunters</t>
        </is>
      </c>
      <c r="E51" s="16" t="inlineStr">
        <is>
          <t>Season 2, Episode 17</t>
        </is>
      </c>
      <c r="F51" s="15" t="inlineStr">
        <is>
          <t>Series aired October 3, 2008–May 4, 2020</t>
        </is>
      </c>
      <c r="G51" s="15" t="inlineStr">
        <is>
          <t>Canon</t>
        </is>
      </c>
      <c r="H51" s="15" t="inlineStr">
        <is>
          <t>Episode</t>
        </is>
      </c>
      <c r="I51" s="15" t="inlineStr">
        <is>
          <t>Disney+</t>
        </is>
      </c>
      <c r="J51" s="18">
        <f>HYPERLINK("https://www.disneyplus.com/video/2bfad4dd-0bf4-4c76-a7ce-7e34df37618a?cid=DTCI-Synergy-DDN-Site-Acquisition-StarWars-US-StarWars-StarWarsTheCloneWars-EN-BlogArticleEmbed-TCWChronological_StreamOnDisneyPlusCTA-NA","Watch")</f>
        <v/>
      </c>
      <c r="K51" s="22">
        <f>HYPERLINK("https://www.starwars.com/tv-shows/clone-wars/bounty-hunters-episode-guide","Season 2, Episode 17 · Episode guide")</f>
        <v/>
      </c>
    </row>
    <row r="52" ht="36" customHeight="1" s="23">
      <c r="A52" s="21" t="b">
        <v>1</v>
      </c>
      <c r="B52" s="21" t="n">
        <v>46</v>
      </c>
      <c r="C52" s="14" t="inlineStr">
        <is>
          <t>Fall of the Jedi</t>
        </is>
      </c>
      <c r="D52" s="15" t="inlineStr">
        <is>
          <t>The Clone Wars: The Zillo Beast</t>
        </is>
      </c>
      <c r="E52" s="16" t="inlineStr">
        <is>
          <t>Season 2, Episode 18</t>
        </is>
      </c>
      <c r="F52" s="15" t="inlineStr">
        <is>
          <t>Series aired October 3, 2008–May 4, 2020</t>
        </is>
      </c>
      <c r="G52" s="15" t="inlineStr">
        <is>
          <t>Canon</t>
        </is>
      </c>
      <c r="H52" s="15" t="inlineStr">
        <is>
          <t>Episode</t>
        </is>
      </c>
      <c r="I52" s="15" t="inlineStr">
        <is>
          <t>Disney+</t>
        </is>
      </c>
      <c r="J52" s="18">
        <f>HYPERLINK("https://www.disneyplus.com/video/13d1cbe9-abf9-4691-a407-228d16cfa48d?cid=DTCI-Synergy-DDN-Site-Acquisition-StarWars-US-StarWars-StarWarsTheCloneWars-EN-BlogArticleEmbed-TCWChronological_StreamOnDisneyPlusCTA-NA","Watch")</f>
        <v/>
      </c>
      <c r="K52" s="22">
        <f>HYPERLINK("https://www.starwars.com/tv-shows/clone-wars/the-zillo-beast-episode-guide","Season 2, Episode 18 · Episode guide")</f>
        <v/>
      </c>
    </row>
    <row r="53" ht="36" customHeight="1" s="23">
      <c r="A53" s="21" t="b">
        <v>1</v>
      </c>
      <c r="B53" s="21" t="n">
        <v>47</v>
      </c>
      <c r="C53" s="14" t="inlineStr">
        <is>
          <t>Fall of the Jedi</t>
        </is>
      </c>
      <c r="D53" s="15" t="inlineStr">
        <is>
          <t>The Clone Wars: The Zillo Beast Strikes Back</t>
        </is>
      </c>
      <c r="E53" s="16" t="inlineStr">
        <is>
          <t>Season 2, Episode 19</t>
        </is>
      </c>
      <c r="F53" s="15" t="inlineStr">
        <is>
          <t>Series aired October 3, 2008–May 4, 2020</t>
        </is>
      </c>
      <c r="G53" s="15" t="inlineStr">
        <is>
          <t>Canon</t>
        </is>
      </c>
      <c r="H53" s="15" t="inlineStr">
        <is>
          <t>Episode</t>
        </is>
      </c>
      <c r="I53" s="15" t="inlineStr">
        <is>
          <t>Disney+</t>
        </is>
      </c>
      <c r="J53" s="18">
        <f>HYPERLINK("https://www.disneyplus.com/video/6f2cd6cf-8e7a-42e6-893a-6465f2683648?cid=DTCI-Synergy-DDN-Site-Acquisition-StarWars-US-StarWars-StarWarsTheCloneWars-EN-BlogArticleEmbed-TCWChronological_StreamOnDisneyPlusCTA-NA","Watch")</f>
        <v/>
      </c>
      <c r="K53" s="22">
        <f>HYPERLINK("https://www.starwars.com/tv-shows/clone-wars/the-zillo-beast-strikes-back-episode-guide","Season 2, Episode 19 · Episode guide")</f>
        <v/>
      </c>
    </row>
    <row r="54" ht="36" customHeight="1" s="23">
      <c r="A54" s="21" t="b">
        <v>1</v>
      </c>
      <c r="B54" s="21" t="n">
        <v>48</v>
      </c>
      <c r="C54" s="14" t="inlineStr">
        <is>
          <t>Fall of the Jedi</t>
        </is>
      </c>
      <c r="D54" s="15" t="inlineStr">
        <is>
          <t>The Clone Wars: Senate Spy</t>
        </is>
      </c>
      <c r="E54" s="16" t="inlineStr">
        <is>
          <t>Season 2, Episode 4</t>
        </is>
      </c>
      <c r="F54" s="15" t="inlineStr">
        <is>
          <t>Series aired October 3, 2008–May 4, 2020</t>
        </is>
      </c>
      <c r="G54" s="15" t="inlineStr">
        <is>
          <t>Canon</t>
        </is>
      </c>
      <c r="H54" s="15" t="inlineStr">
        <is>
          <t>Episode</t>
        </is>
      </c>
      <c r="I54" s="15" t="inlineStr">
        <is>
          <t>Disney+</t>
        </is>
      </c>
      <c r="J54" s="18">
        <f>HYPERLINK("https://www.disneyplus.com/video/094ea69a-1e8f-44cd-9ebb-1551993b5129?cid=DTCI-Synergy-DDN-Site-Acquisition-StarWars-US-StarWars-StarWarsTheCloneWars-EN-BlogArticleEmbed-TCWChronological_StreamOnDisneyPlusCTA-NA","Watch")</f>
        <v/>
      </c>
      <c r="K54" s="22">
        <f>HYPERLINK("https://www.starwars.com/tv-shows/clone-wars/senate-spy-episode-guide","Season 2, Episode 4 · Episode guide")</f>
        <v/>
      </c>
    </row>
    <row r="55" ht="36" customHeight="1" s="23">
      <c r="A55" s="21" t="b">
        <v>1</v>
      </c>
      <c r="B55" s="21" t="n">
        <v>49</v>
      </c>
      <c r="C55" s="14" t="inlineStr">
        <is>
          <t>Fall of the Jedi</t>
        </is>
      </c>
      <c r="D55" s="15" t="inlineStr">
        <is>
          <t>The Clone Wars: Landing at Point Rain</t>
        </is>
      </c>
      <c r="E55" s="16" t="inlineStr">
        <is>
          <t>Season 2, Episode 5</t>
        </is>
      </c>
      <c r="F55" s="15" t="inlineStr">
        <is>
          <t>Series aired October 3, 2008–May 4, 2020</t>
        </is>
      </c>
      <c r="G55" s="15" t="inlineStr">
        <is>
          <t>Canon</t>
        </is>
      </c>
      <c r="H55" s="15" t="inlineStr">
        <is>
          <t>Episode</t>
        </is>
      </c>
      <c r="I55" s="15" t="inlineStr">
        <is>
          <t>Disney+</t>
        </is>
      </c>
      <c r="J55" s="18">
        <f>HYPERLINK("https://www.disneyplus.com/video/6ba55d34-2db4-4f82-b219-fc82500ca89a?cid=DTCI-Synergy-DDN-Site-Acquisition-StarWars-US-StarWars-StarWarsTheCloneWars-EN-BlogArticleEmbed-TCWChronological_StreamOnDisneyPlusCTA-NA","Watch")</f>
        <v/>
      </c>
      <c r="K55" s="22">
        <f>HYPERLINK("https://www.starwars.com/tv-shows/clone-wars/landing-at-point-rain-episode-guide","Season 2, Episode 5 · Episode guide")</f>
        <v/>
      </c>
    </row>
    <row r="56" ht="36" customHeight="1" s="23">
      <c r="A56" s="21" t="b">
        <v>1</v>
      </c>
      <c r="B56" s="21" t="n">
        <v>50</v>
      </c>
      <c r="C56" s="14" t="inlineStr">
        <is>
          <t>Fall of the Jedi</t>
        </is>
      </c>
      <c r="D56" s="15" t="inlineStr">
        <is>
          <t>The Clone Wars: Weapons Factory</t>
        </is>
      </c>
      <c r="E56" s="16" t="inlineStr">
        <is>
          <t>Season 2, Episode 6</t>
        </is>
      </c>
      <c r="F56" s="15" t="inlineStr">
        <is>
          <t>Series aired October 3, 2008–May 4, 2020</t>
        </is>
      </c>
      <c r="G56" s="15" t="inlineStr">
        <is>
          <t>Canon</t>
        </is>
      </c>
      <c r="H56" s="15" t="inlineStr">
        <is>
          <t>Episode</t>
        </is>
      </c>
      <c r="I56" s="15" t="inlineStr">
        <is>
          <t>Disney+</t>
        </is>
      </c>
      <c r="J56" s="18">
        <f>HYPERLINK("https://www.disneyplus.com/video/a4fc767f-a20d-4fb6-b8ce-5e9b6ec80dac?cid=DTCI-Synergy-DDN-Site-Acquisition-StarWars-US-StarWars-StarWarsTheCloneWars-EN-BlogArticleEmbed-TCWChronological_StreamOnDisneyPlusCTA-NA","Watch")</f>
        <v/>
      </c>
      <c r="K56" s="22">
        <f>HYPERLINK("https://www.starwars.com/tv-shows/clone-wars/weapons-factory-episode-guide","Season 2, Episode 6 · Episode guide")</f>
        <v/>
      </c>
    </row>
    <row r="57" ht="36" customHeight="1" s="23">
      <c r="A57" s="21" t="b">
        <v>1</v>
      </c>
      <c r="B57" s="21" t="n">
        <v>51</v>
      </c>
      <c r="C57" s="14" t="inlineStr">
        <is>
          <t>Fall of the Jedi</t>
        </is>
      </c>
      <c r="D57" s="15" t="inlineStr">
        <is>
          <t>The Clone Wars: Legacy of Terror</t>
        </is>
      </c>
      <c r="E57" s="16" t="inlineStr">
        <is>
          <t>Season 2, Episode 7</t>
        </is>
      </c>
      <c r="F57" s="15" t="inlineStr">
        <is>
          <t>Series aired October 3, 2008–May 4, 2020</t>
        </is>
      </c>
      <c r="G57" s="15" t="inlineStr">
        <is>
          <t>Canon</t>
        </is>
      </c>
      <c r="H57" s="15" t="inlineStr">
        <is>
          <t>Episode</t>
        </is>
      </c>
      <c r="I57" s="15" t="inlineStr">
        <is>
          <t>Disney+</t>
        </is>
      </c>
      <c r="J57" s="18">
        <f>HYPERLINK("https://www.disneyplus.com/video/ed8f1cb7-f3e3-4ab0-af03-888ba8b20d25?cid=DTCI-Synergy-DDN-Site-Acquisition-StarWars-US-StarWars-StarWarsTheCloneWars-EN-BlogArticleEmbed-TCWChronological_StreamOnDisneyPlusCTA-NA","Watch")</f>
        <v/>
      </c>
      <c r="K57" s="22">
        <f>HYPERLINK("https://www.starwars.com/tv-shows/clone-wars/legacy-of-terror-episode-guide","Season 2, Episode 7 · Episode guide")</f>
        <v/>
      </c>
    </row>
    <row r="58" ht="36" customHeight="1" s="23">
      <c r="A58" s="21" t="b">
        <v>1</v>
      </c>
      <c r="B58" s="21" t="n">
        <v>52</v>
      </c>
      <c r="C58" s="14" t="inlineStr">
        <is>
          <t>Fall of the Jedi</t>
        </is>
      </c>
      <c r="D58" s="15" t="inlineStr">
        <is>
          <t>The Clone Wars: Brain Invaders</t>
        </is>
      </c>
      <c r="E58" s="16" t="inlineStr">
        <is>
          <t>Season 2, Episode 8</t>
        </is>
      </c>
      <c r="F58" s="15" t="inlineStr">
        <is>
          <t>Series aired October 3, 2008–May 4, 2020</t>
        </is>
      </c>
      <c r="G58" s="15" t="inlineStr">
        <is>
          <t>Canon</t>
        </is>
      </c>
      <c r="H58" s="15" t="inlineStr">
        <is>
          <t>Episode</t>
        </is>
      </c>
      <c r="I58" s="15" t="inlineStr">
        <is>
          <t>Disney+</t>
        </is>
      </c>
      <c r="J58" s="18">
        <f>HYPERLINK("https://www.disneyplus.com/video/521b49b5-26a5-4153-af04-3fc40e4ececd?cid=DTCI-Synergy-DDN-Site-Acquisition-StarWars-US-StarWars-StarWarsTheCloneWars-EN-BlogArticleEmbed-TCWChronological_StreamOnDisneyPlusCTA-NA","Watch")</f>
        <v/>
      </c>
      <c r="K58" s="22">
        <f>HYPERLINK("https://www.starwars.com/tv-shows/clone-wars/brain-invaders-episode-guide","Season 2, Episode 8 · Episode guide")</f>
        <v/>
      </c>
    </row>
    <row r="59" ht="36" customHeight="1" s="23">
      <c r="A59" s="21" t="b">
        <v>1</v>
      </c>
      <c r="B59" s="21" t="n">
        <v>53</v>
      </c>
      <c r="C59" s="14" t="inlineStr">
        <is>
          <t>Fall of the Jedi</t>
        </is>
      </c>
      <c r="D59" s="15" t="inlineStr">
        <is>
          <t>The Clone Wars: Grievous Intrigue</t>
        </is>
      </c>
      <c r="E59" s="16" t="inlineStr">
        <is>
          <t>Season 2, Episode 9</t>
        </is>
      </c>
      <c r="F59" s="15" t="inlineStr">
        <is>
          <t>Series aired October 3, 2008–May 4, 2020</t>
        </is>
      </c>
      <c r="G59" s="15" t="inlineStr">
        <is>
          <t>Canon</t>
        </is>
      </c>
      <c r="H59" s="15" t="inlineStr">
        <is>
          <t>Episode</t>
        </is>
      </c>
      <c r="I59" s="15" t="inlineStr">
        <is>
          <t>Disney+</t>
        </is>
      </c>
      <c r="J59" s="18">
        <f>HYPERLINK("https://www.disneyplus.com/video/83357ef1-f768-4f3b-8b03-2f0c2e4617e7?cid=DTCI-Synergy-DDN-Site-Acquisition-StarWars-US-StarWars-StarWarsTheCloneWars-EN-BlogArticleEmbed-TCWChronological_StreamOnDisneyPlusCTA-NA","Watch")</f>
        <v/>
      </c>
      <c r="K59" s="22">
        <f>HYPERLINK("https://www.starwars.com/tv-shows/clone-wars/grievous-intrigue-episode-guide","Season 2, Episode 9 · Episode guide")</f>
        <v/>
      </c>
    </row>
    <row r="60" ht="36" customHeight="1" s="23">
      <c r="A60" s="21" t="b">
        <v>1</v>
      </c>
      <c r="B60" s="21" t="n">
        <v>54</v>
      </c>
      <c r="C60" s="14" t="inlineStr">
        <is>
          <t>Fall of the Jedi</t>
        </is>
      </c>
      <c r="D60" s="15" t="inlineStr">
        <is>
          <t>The Clone Wars: The Deserter</t>
        </is>
      </c>
      <c r="E60" s="16" t="inlineStr">
        <is>
          <t>Season 2, Episode 10</t>
        </is>
      </c>
      <c r="F60" s="15" t="inlineStr">
        <is>
          <t>Series aired October 3, 2008–May 4, 2020</t>
        </is>
      </c>
      <c r="G60" s="15" t="inlineStr">
        <is>
          <t>Canon</t>
        </is>
      </c>
      <c r="H60" s="15" t="inlineStr">
        <is>
          <t>Episode</t>
        </is>
      </c>
      <c r="I60" s="15" t="inlineStr">
        <is>
          <t>Disney+</t>
        </is>
      </c>
      <c r="J60" s="18">
        <f>HYPERLINK("https://www.disneyplus.com/video/09f9af96-40bd-4e9a-a18d-92fb9f373298?cid=DTCI-Synergy-DDN-Site-Acquisition-StarWars-US-StarWars-StarWarsTheCloneWars-EN-BlogArticleEmbed-TCWChronological_StreamOnDisneyPlusCTA-NA","Watch")</f>
        <v/>
      </c>
      <c r="K60" s="22">
        <f>HYPERLINK("https://www.starwars.com/tv-shows/clone-wars/the-deserter-episode-guide","Season 2, Episode 10 · Episode guide")</f>
        <v/>
      </c>
    </row>
    <row r="61" ht="36" customHeight="1" s="23">
      <c r="A61" s="21" t="b">
        <v>1</v>
      </c>
      <c r="B61" s="21" t="n">
        <v>55</v>
      </c>
      <c r="C61" s="14" t="inlineStr">
        <is>
          <t>Fall of the Jedi</t>
        </is>
      </c>
      <c r="D61" s="15" t="inlineStr">
        <is>
          <t>The Clone Wars: Lightsaber Lost</t>
        </is>
      </c>
      <c r="E61" s="16" t="inlineStr">
        <is>
          <t>Season 2, Episode 11</t>
        </is>
      </c>
      <c r="F61" s="15" t="inlineStr">
        <is>
          <t>Series aired October 3, 2008–May 4, 2020</t>
        </is>
      </c>
      <c r="G61" s="15" t="inlineStr">
        <is>
          <t>Canon</t>
        </is>
      </c>
      <c r="H61" s="15" t="inlineStr">
        <is>
          <t>Episode</t>
        </is>
      </c>
      <c r="I61" s="15" t="inlineStr">
        <is>
          <t>Disney+</t>
        </is>
      </c>
      <c r="J61" s="18">
        <f>HYPERLINK("https://www.disneyplus.com/video/07c0124a-5234-4c58-a2f0-79508e3b14b6?cid=DTCI-Synergy-DDN-Site-Acquisition-StarWars-US-StarWars-StarWarsTheCloneWars-EN-BlogArticleEmbed-TCWChronological_StreamOnDisneyPlusCTA-NA","Watch")</f>
        <v/>
      </c>
      <c r="K61" s="22">
        <f>HYPERLINK("https://www.starwars.com/tv-shows/clone-wars/lightsaber-lost-episode-guide","Season 2, Episode 11 · Episode guide")</f>
        <v/>
      </c>
    </row>
    <row r="62" ht="36" customHeight="1" s="23">
      <c r="A62" s="21" t="b">
        <v>1</v>
      </c>
      <c r="B62" s="21" t="n">
        <v>56</v>
      </c>
      <c r="C62" s="14" t="inlineStr">
        <is>
          <t>Fall of the Jedi</t>
        </is>
      </c>
      <c r="D62" s="15" t="inlineStr">
        <is>
          <t>The Clone Wars: The Mandalore Plot</t>
        </is>
      </c>
      <c r="E62" s="16" t="inlineStr">
        <is>
          <t>Season 2, Episode 12</t>
        </is>
      </c>
      <c r="F62" s="15" t="inlineStr">
        <is>
          <t>Series aired October 3, 2008–May 4, 2020</t>
        </is>
      </c>
      <c r="G62" s="15" t="inlineStr">
        <is>
          <t>Canon</t>
        </is>
      </c>
      <c r="H62" s="15" t="inlineStr">
        <is>
          <t>Episode</t>
        </is>
      </c>
      <c r="I62" s="15" t="inlineStr">
        <is>
          <t>Disney+</t>
        </is>
      </c>
      <c r="J62" s="18">
        <f>HYPERLINK("https://www.disneyplus.com/video/91d2a7e2-8eb1-411d-941e-4bd8babe4e55?cid=DTCI-Synergy-DDN-Site-Acquisition-StarWars-US-StarWars-StarWarsTheCloneWars-EN-BlogArticleEmbed-TCWChronological_StreamOnDisneyPlusCTA-NA","Watch")</f>
        <v/>
      </c>
      <c r="K62" s="22">
        <f>HYPERLINK("https://www.starwars.com/tv-shows/clone-wars/the-mandalore-plot-episode-guide","Season 2, Episode 12 · Episode guide")</f>
        <v/>
      </c>
    </row>
    <row r="63" ht="36" customHeight="1" s="23">
      <c r="A63" s="21" t="b">
        <v>1</v>
      </c>
      <c r="B63" s="21" t="n">
        <v>57</v>
      </c>
      <c r="C63" s="14" t="inlineStr">
        <is>
          <t>Fall of the Jedi</t>
        </is>
      </c>
      <c r="D63" s="15" t="inlineStr">
        <is>
          <t>The Clone Wars: Voyage of Temptation</t>
        </is>
      </c>
      <c r="E63" s="16" t="inlineStr">
        <is>
          <t>Season 2, Episode 13</t>
        </is>
      </c>
      <c r="F63" s="15" t="inlineStr">
        <is>
          <t>Series aired October 3, 2008–May 4, 2020</t>
        </is>
      </c>
      <c r="G63" s="15" t="inlineStr">
        <is>
          <t>Canon</t>
        </is>
      </c>
      <c r="H63" s="15" t="inlineStr">
        <is>
          <t>Episode</t>
        </is>
      </c>
      <c r="I63" s="15" t="inlineStr">
        <is>
          <t>Disney+</t>
        </is>
      </c>
      <c r="J63" s="18">
        <f>HYPERLINK("https://www.disneyplus.com/video/9d2c4240-5a2e-4f2a-ab88-628a5dc68540?cid=DTCI-Synergy-DDN-Site-Acquisition-StarWars-US-StarWars-StarWarsTheCloneWars-EN-BlogArticleEmbed-TCWChronological_StreamOnDisneyPlusCTA-NA","Watch")</f>
        <v/>
      </c>
      <c r="K63" s="22">
        <f>HYPERLINK("https://www.starwars.com/tv-shows/clone-wars/voyage-of-temptation-episode-guide","Season 2, Episode 13 · Episode guide")</f>
        <v/>
      </c>
    </row>
    <row r="64" ht="36" customHeight="1" s="23">
      <c r="A64" s="21" t="b">
        <v>1</v>
      </c>
      <c r="B64" s="21" t="n">
        <v>58</v>
      </c>
      <c r="C64" s="14" t="inlineStr">
        <is>
          <t>Fall of the Jedi</t>
        </is>
      </c>
      <c r="D64" s="15" t="inlineStr">
        <is>
          <t>The Clone Wars: Duchess of Mandalore</t>
        </is>
      </c>
      <c r="E64" s="16" t="inlineStr">
        <is>
          <t>Season 2, Episode 14</t>
        </is>
      </c>
      <c r="F64" s="15" t="inlineStr">
        <is>
          <t>Series aired October 3, 2008–May 4, 2020</t>
        </is>
      </c>
      <c r="G64" s="15" t="inlineStr">
        <is>
          <t>Canon</t>
        </is>
      </c>
      <c r="H64" s="15" t="inlineStr">
        <is>
          <t>Episode</t>
        </is>
      </c>
      <c r="I64" s="15" t="inlineStr">
        <is>
          <t>Disney+</t>
        </is>
      </c>
      <c r="J64" s="18">
        <f>HYPERLINK("https://www.disneyplus.com/video/9aedb852-9abb-4c59-95c3-58f1bfb0cef6?cid=DTCI-Synergy-DDN-Site-Acquisition-StarWars-US-StarWars-StarWarsTheCloneWars-EN-BlogArticleEmbed-TCWChronological_StreamOnDisneyPlusCTA-NA","Watch")</f>
        <v/>
      </c>
      <c r="K64" s="22">
        <f>HYPERLINK("https://www.starwars.com/tv-shows/clone-wars/duchess-of-mandalore-episode-guide","Season 2, Episode 14 · Episode guide")</f>
        <v/>
      </c>
    </row>
    <row r="65" ht="36" customHeight="1" s="23">
      <c r="A65" s="21" t="b">
        <v>1</v>
      </c>
      <c r="B65" s="21" t="n">
        <v>59</v>
      </c>
      <c r="C65" s="14" t="inlineStr">
        <is>
          <t>Fall of the Jedi</t>
        </is>
      </c>
      <c r="D65" s="15" t="inlineStr">
        <is>
          <t>The Clone Wars: Death Trap</t>
        </is>
      </c>
      <c r="E65" s="16" t="inlineStr">
        <is>
          <t>Season 2, Episode 20</t>
        </is>
      </c>
      <c r="F65" s="15" t="inlineStr">
        <is>
          <t>Series aired October 3, 2008–May 4, 2020</t>
        </is>
      </c>
      <c r="G65" s="15" t="inlineStr">
        <is>
          <t>Canon</t>
        </is>
      </c>
      <c r="H65" s="15" t="inlineStr">
        <is>
          <t>Episode</t>
        </is>
      </c>
      <c r="I65" s="15" t="inlineStr">
        <is>
          <t>Disney+</t>
        </is>
      </c>
      <c r="J65" s="18">
        <f>HYPERLINK("https://www.disneyplus.com/video/c60abd64-34bd-4141-ab53-3a265a929a7b?cid=DTCI-Synergy-DDN-Site-Acquisition-StarWars-US-StarWars-StarWarsTheCloneWars-EN-BlogArticleEmbed-TCWChronological_StreamOnDisneyPlusCTA-NA","Watch")</f>
        <v/>
      </c>
      <c r="K65" s="22">
        <f>HYPERLINK("https://www.starwars.com/series/clone-wars/death-trap-episode-guide","Season 2, Episode 20 · Episode guide")</f>
        <v/>
      </c>
    </row>
    <row r="66" ht="36" customHeight="1" s="23">
      <c r="A66" s="21" t="b">
        <v>1</v>
      </c>
      <c r="B66" s="21" t="n">
        <v>60</v>
      </c>
      <c r="C66" s="14" t="inlineStr">
        <is>
          <t>Fall of the Jedi</t>
        </is>
      </c>
      <c r="D66" s="15" t="inlineStr">
        <is>
          <t>The Clone Wars: R2 Come Home</t>
        </is>
      </c>
      <c r="E66" s="16" t="inlineStr">
        <is>
          <t>Season 2, Episode 21</t>
        </is>
      </c>
      <c r="F66" s="15" t="inlineStr">
        <is>
          <t>Series aired October 3, 2008–May 4, 2020</t>
        </is>
      </c>
      <c r="G66" s="15" t="inlineStr">
        <is>
          <t>Canon</t>
        </is>
      </c>
      <c r="H66" s="15" t="inlineStr">
        <is>
          <t>Episode</t>
        </is>
      </c>
      <c r="I66" s="15" t="inlineStr">
        <is>
          <t>Disney+</t>
        </is>
      </c>
      <c r="J66" s="18">
        <f>HYPERLINK("https://www.disneyplus.com/video/28034e35-c413-4219-8072-444cef55bd64?cid=DTCI-Synergy-DDN-Site-Acquisition-StarWars-US-StarWars-StarWarsTheCloneWars-EN-BlogArticleEmbed-TCWChronological_StreamOnDisneyPlusCTA-NA","Watch")</f>
        <v/>
      </c>
      <c r="K66" s="22">
        <f>HYPERLINK("https://www.starwars.com/tv-shows/clone-wars/r2-come-home-episode-guide","Season 2, Episode 21 · Episode guide")</f>
        <v/>
      </c>
    </row>
    <row r="67" ht="36" customHeight="1" s="23">
      <c r="A67" s="21" t="b">
        <v>1</v>
      </c>
      <c r="B67" s="21" t="n">
        <v>61</v>
      </c>
      <c r="C67" s="14" t="inlineStr">
        <is>
          <t>Fall of the Jedi</t>
        </is>
      </c>
      <c r="D67" s="15" t="inlineStr">
        <is>
          <t>The Clone Wars: Lethal Trackdown</t>
        </is>
      </c>
      <c r="E67" s="16" t="inlineStr">
        <is>
          <t>Season 2, Episode 22</t>
        </is>
      </c>
      <c r="F67" s="15" t="inlineStr">
        <is>
          <t>Series aired October 3, 2008–May 4, 2020</t>
        </is>
      </c>
      <c r="G67" s="15" t="inlineStr">
        <is>
          <t>Canon</t>
        </is>
      </c>
      <c r="H67" s="15" t="inlineStr">
        <is>
          <t>Episode</t>
        </is>
      </c>
      <c r="I67" s="15" t="inlineStr">
        <is>
          <t>Disney+</t>
        </is>
      </c>
      <c r="J67" s="18">
        <f>HYPERLINK("https://www.disneyplus.com/video/eccba821-6a8a-4007-8ea2-1995ffe5637d?cid=DTCI-Synergy-DDN-Site-Acquisition-StarWars-US-StarWars-StarWarsTheCloneWars-EN-BlogArticleEmbed-TCWChronological_StreamOnDisneyPlusCTA-NA","Watch")</f>
        <v/>
      </c>
      <c r="K67" s="22">
        <f>HYPERLINK("https://www.starwars.com/tv-shows/clone-wars/lethal-trackdown-episode-guide","Season 2, Episode 22 · Episode guide")</f>
        <v/>
      </c>
    </row>
    <row r="68" ht="36" customHeight="1" s="23">
      <c r="A68" s="21" t="b">
        <v>1</v>
      </c>
      <c r="B68" s="21" t="n">
        <v>62</v>
      </c>
      <c r="C68" s="14" t="inlineStr">
        <is>
          <t>Fall of the Jedi</t>
        </is>
      </c>
      <c r="D68" s="15" t="inlineStr">
        <is>
          <t>The Clone Wars: Corruption</t>
        </is>
      </c>
      <c r="E68" s="16" t="inlineStr">
        <is>
          <t>Season 3, Episode 5</t>
        </is>
      </c>
      <c r="F68" s="15" t="inlineStr">
        <is>
          <t>Series aired October 3, 2008–May 4, 2020</t>
        </is>
      </c>
      <c r="G68" s="15" t="inlineStr">
        <is>
          <t>Canon</t>
        </is>
      </c>
      <c r="H68" s="15" t="inlineStr">
        <is>
          <t>Episode</t>
        </is>
      </c>
      <c r="I68" s="15" t="inlineStr">
        <is>
          <t>Disney+</t>
        </is>
      </c>
      <c r="J68" s="18">
        <f>HYPERLINK("https://www.disneyplus.com/video/3ce7a07a-460a-4e02-9fe9-e7240bff2b01?cid=DTCI-Synergy-DDN-Site-Acquisition-StarWars-US-StarWars-StarWarsTheCloneWars-EN-BlogArticleEmbed-TCWChronological_StreamOnDisneyPlusCTA-NA","Watch")</f>
        <v/>
      </c>
      <c r="K68" s="22">
        <f>HYPERLINK("https://www.starwars.com/tv-shows/clone-wars/corruption-episode-guide","Season 3, Episode 5 · Episode guide")</f>
        <v/>
      </c>
    </row>
    <row r="69" ht="36" customHeight="1" s="23">
      <c r="A69" s="21" t="b">
        <v>1</v>
      </c>
      <c r="B69" s="21" t="n">
        <v>63</v>
      </c>
      <c r="C69" s="14" t="inlineStr">
        <is>
          <t>Fall of the Jedi</t>
        </is>
      </c>
      <c r="D69" s="15" t="inlineStr">
        <is>
          <t>The Clone Wars: The Academy</t>
        </is>
      </c>
      <c r="E69" s="16" t="inlineStr">
        <is>
          <t>Season 3, Episode 6</t>
        </is>
      </c>
      <c r="F69" s="15" t="inlineStr">
        <is>
          <t>Series aired October 3, 2008–May 4, 2020</t>
        </is>
      </c>
      <c r="G69" s="15" t="inlineStr">
        <is>
          <t>Canon</t>
        </is>
      </c>
      <c r="H69" s="15" t="inlineStr">
        <is>
          <t>Episode</t>
        </is>
      </c>
      <c r="I69" s="15" t="inlineStr">
        <is>
          <t>Disney+</t>
        </is>
      </c>
      <c r="J69" s="18">
        <f>HYPERLINK("https://www.disneyplus.com/video/f464497e-a4e5-44db-922e-d44d1a70fd73?cid=DTCI-Synergy-DDN-Site-Acquisition-StarWars-US-StarWars-StarWarsTheCloneWars-EN-BlogArticleEmbed-TCWChronological_StreamOnDisneyPlusCTA-NA","Watch")</f>
        <v/>
      </c>
      <c r="K69" s="22">
        <f>HYPERLINK("https://www.starwars.com/tv-shows/clone-wars/the-academy-episode-guide","Season 3, Episode 6 · Episode guide")</f>
        <v/>
      </c>
    </row>
    <row r="70" ht="36" customHeight="1" s="23">
      <c r="A70" s="21" t="b">
        <v>1</v>
      </c>
      <c r="B70" s="21" t="n">
        <v>64</v>
      </c>
      <c r="C70" s="14" t="inlineStr">
        <is>
          <t>Fall of the Jedi</t>
        </is>
      </c>
      <c r="D70" s="15" t="inlineStr">
        <is>
          <t>The Clone Wars: Assassin</t>
        </is>
      </c>
      <c r="E70" s="16" t="inlineStr">
        <is>
          <t>Season 3, Episode 7</t>
        </is>
      </c>
      <c r="F70" s="15" t="inlineStr">
        <is>
          <t>Series aired October 3, 2008–May 4, 2020</t>
        </is>
      </c>
      <c r="G70" s="15" t="inlineStr">
        <is>
          <t>Canon</t>
        </is>
      </c>
      <c r="H70" s="15" t="inlineStr">
        <is>
          <t>Episode</t>
        </is>
      </c>
      <c r="I70" s="15" t="inlineStr">
        <is>
          <t>Disney+</t>
        </is>
      </c>
      <c r="J70" s="18">
        <f>HYPERLINK("https://www.disneyplus.com/video/652f203c-8b9a-4b3f-981a-59915aa99cfb?cid=DTCI-Synergy-DDN-Site-Acquisition-StarWars-US-StarWars-StarWarsTheCloneWars-EN-BlogArticleEmbed-TCWChronological_StreamOnDisneyPlusCTA-NA","Watch")</f>
        <v/>
      </c>
      <c r="K70" s="22">
        <f>HYPERLINK("https://www.starwars.com/tv-shows/clone-wars/assassin-episode-guide","Season 3, Episode 7 · Episode guide")</f>
        <v/>
      </c>
    </row>
    <row r="71" ht="36" customHeight="1" s="23">
      <c r="A71" s="21" t="b">
        <v>1</v>
      </c>
      <c r="B71" s="21" t="n">
        <v>65</v>
      </c>
      <c r="C71" s="14" t="inlineStr">
        <is>
          <t>Fall of the Jedi</t>
        </is>
      </c>
      <c r="D71" s="15" t="inlineStr">
        <is>
          <t>The Clone Wars: ARC Troopers</t>
        </is>
      </c>
      <c r="E71" s="16" t="inlineStr">
        <is>
          <t>Season 3, Episode 2</t>
        </is>
      </c>
      <c r="F71" s="15" t="inlineStr">
        <is>
          <t>Series aired October 3, 2008–May 4, 2020</t>
        </is>
      </c>
      <c r="G71" s="15" t="inlineStr">
        <is>
          <t>Canon</t>
        </is>
      </c>
      <c r="H71" s="15" t="inlineStr">
        <is>
          <t>Episode</t>
        </is>
      </c>
      <c r="I71" s="15" t="inlineStr">
        <is>
          <t>Disney+</t>
        </is>
      </c>
      <c r="J71" s="18">
        <f>HYPERLINK("https://www.disneyplus.com/video/6e2c8c2f-a7ce-49d5-ad90-88f4a97eb303?cid=DTCI-Synergy-DDN-Site-Acquisition-StarWars-US-StarWars-StarWarsTheCloneWars-EN-BlogArticleEmbed-TCWChronological_StreamOnDisneyPlusCTA-NA","Watch")</f>
        <v/>
      </c>
      <c r="K71" s="22">
        <f>HYPERLINK("https://www.starwars.com/tv-shows/clone-wars/arc-troopers-episode-guide","Season 3, Episode 2 · Episode guide")</f>
        <v/>
      </c>
    </row>
    <row r="72" ht="36" customHeight="1" s="23">
      <c r="A72" s="21" t="b">
        <v>1</v>
      </c>
      <c r="B72" s="21" t="n">
        <v>66</v>
      </c>
      <c r="C72" s="14" t="inlineStr">
        <is>
          <t>Fall of the Jedi</t>
        </is>
      </c>
      <c r="D72" s="15" t="inlineStr">
        <is>
          <t>The Clone Wars: Sphere of Influence</t>
        </is>
      </c>
      <c r="E72" s="16" t="inlineStr">
        <is>
          <t>Season 3, Episode 4</t>
        </is>
      </c>
      <c r="F72" s="15" t="inlineStr">
        <is>
          <t>Series aired October 3, 2008–May 4, 2020</t>
        </is>
      </c>
      <c r="G72" s="15" t="inlineStr">
        <is>
          <t>Canon</t>
        </is>
      </c>
      <c r="H72" s="15" t="inlineStr">
        <is>
          <t>Episode</t>
        </is>
      </c>
      <c r="I72" s="15" t="inlineStr">
        <is>
          <t>Disney+</t>
        </is>
      </c>
      <c r="J72" s="18">
        <f>HYPERLINK("https://www.disneyplus.com/video/b091b508-0880-4cb6-9d2b-24c2075acd52?cid=DTCI-Synergy-DDN-Site-Acquisition-StarWars-US-StarWars-StarWarsTheCloneWars-EN-BlogArticleEmbed-TCWChronological_StreamOnDisneyPlusCTA-NA","Watch")</f>
        <v/>
      </c>
      <c r="K72" s="22">
        <f>HYPERLINK("https://www.starwars.com/tv-shows/clone-wars/sphere-of-influence-episode-guide","Season 3, Episode 4 · Episode guide")</f>
        <v/>
      </c>
    </row>
    <row r="73" ht="36" customHeight="1" s="23">
      <c r="A73" s="21" t="b">
        <v>1</v>
      </c>
      <c r="B73" s="21" t="n">
        <v>67</v>
      </c>
      <c r="C73" s="14" t="inlineStr">
        <is>
          <t>Fall of the Jedi</t>
        </is>
      </c>
      <c r="D73" s="15" t="inlineStr">
        <is>
          <t>The Clone Wars: Evil Plans</t>
        </is>
      </c>
      <c r="E73" s="16" t="inlineStr">
        <is>
          <t>Season 3, Episode 8</t>
        </is>
      </c>
      <c r="F73" s="15" t="inlineStr">
        <is>
          <t>Series aired October 3, 2008–May 4, 2020</t>
        </is>
      </c>
      <c r="G73" s="15" t="inlineStr">
        <is>
          <t>Canon</t>
        </is>
      </c>
      <c r="H73" s="15" t="inlineStr">
        <is>
          <t>Episode</t>
        </is>
      </c>
      <c r="I73" s="15" t="inlineStr">
        <is>
          <t>Disney+</t>
        </is>
      </c>
      <c r="J73" s="18">
        <f>HYPERLINK("https://www.disneyplus.com/video/c69bad71-ab68-4c2c-8da7-add1e929b6bd?cid=DTCI-Synergy-DDN-Site-Acquisition-StarWars-US-StarWars-StarWarsTheCloneWars-EN-BlogArticleEmbed-TCWChronological_StreamOnDisneyPlusCTA-NA","Watch")</f>
        <v/>
      </c>
      <c r="K73" s="22">
        <f>HYPERLINK("https://www.starwars.com/tv-shows/clone-wars/evil-plans-episode-guide","Season 3, Episode 8 · Episode guide")</f>
        <v/>
      </c>
    </row>
    <row r="74" ht="36" customHeight="1" s="23">
      <c r="A74" s="21" t="b">
        <v>1</v>
      </c>
      <c r="B74" s="21" t="n">
        <v>68</v>
      </c>
      <c r="C74" s="14" t="inlineStr">
        <is>
          <t>Fall of the Jedi</t>
        </is>
      </c>
      <c r="D74" s="15" t="inlineStr">
        <is>
          <t>The Clone Wars: Hostage Crisis</t>
        </is>
      </c>
      <c r="E74" s="16" t="inlineStr">
        <is>
          <t>Season 1, Episode 22</t>
        </is>
      </c>
      <c r="F74" s="15" t="inlineStr">
        <is>
          <t>Series aired October 3, 2008–May 4, 2020</t>
        </is>
      </c>
      <c r="G74" s="15" t="inlineStr">
        <is>
          <t>Canon</t>
        </is>
      </c>
      <c r="H74" s="15" t="inlineStr">
        <is>
          <t>Episode</t>
        </is>
      </c>
      <c r="I74" s="15" t="inlineStr">
        <is>
          <t>Disney+</t>
        </is>
      </c>
      <c r="J74" s="18">
        <f>HYPERLINK("https://www.disneyplus.com/video/fd88476e-ab17-437e-94e3-7465b5adda40?cid=DTCI-Synergy-DDN-Site-Acquisition-StarWars-US-StarWars-StarWarsTheCloneWars-EN-BlogArticleEmbed-TCWChronological_StreamOnDisneyPlusCTA-NA","Watch")</f>
        <v/>
      </c>
      <c r="K74" s="22">
        <f>HYPERLINK("https://www.starwars.com/tv-shows/clone-wars/hostage-crisis-episode-guide","Season 1, Episode 22 · Episode guide")</f>
        <v/>
      </c>
    </row>
    <row r="75" ht="36" customHeight="1" s="23">
      <c r="A75" s="21" t="b">
        <v>1</v>
      </c>
      <c r="B75" s="21" t="n">
        <v>69</v>
      </c>
      <c r="C75" s="14" t="inlineStr">
        <is>
          <t>Fall of the Jedi</t>
        </is>
      </c>
      <c r="D75" s="15" t="inlineStr">
        <is>
          <t>The Clone Wars: Hunt for Ziro</t>
        </is>
      </c>
      <c r="E75" s="16" t="inlineStr">
        <is>
          <t>Season 3, Episode 9</t>
        </is>
      </c>
      <c r="F75" s="15" t="inlineStr">
        <is>
          <t>Series aired October 3, 2008–May 4, 2020</t>
        </is>
      </c>
      <c r="G75" s="15" t="inlineStr">
        <is>
          <t>Canon</t>
        </is>
      </c>
      <c r="H75" s="15" t="inlineStr">
        <is>
          <t>Episode</t>
        </is>
      </c>
      <c r="I75" s="15" t="inlineStr">
        <is>
          <t>Disney+</t>
        </is>
      </c>
      <c r="J75" s="18">
        <f>HYPERLINK("https://www.disneyplus.com/video/b6d7ab23-6fa5-4311-973c-0eebb8e62133?cid=DTCI-Synergy-DDN-Site-Acquisition-StarWars-US-StarWars-StarWarsTheCloneWars-EN-BlogArticleEmbed-TCWChronological_StreamOnDisneyPlusCTA-NA","Watch")</f>
        <v/>
      </c>
      <c r="K75" s="22">
        <f>HYPERLINK("https://www.starwars.com/tv-shows/clone-wars/hunt-for-ziro-episode-guide","Season 3, Episode 9 · Episode guide")</f>
        <v/>
      </c>
    </row>
    <row r="76" ht="36" customHeight="1" s="23">
      <c r="A76" s="21" t="b">
        <v>1</v>
      </c>
      <c r="B76" s="21" t="n">
        <v>70</v>
      </c>
      <c r="C76" s="14" t="inlineStr">
        <is>
          <t>Fall of the Jedi</t>
        </is>
      </c>
      <c r="D76" s="15" t="inlineStr">
        <is>
          <t>The Clone Wars: Heroes on Both Sides</t>
        </is>
      </c>
      <c r="E76" s="16" t="inlineStr">
        <is>
          <t>Season 3, Episode 10</t>
        </is>
      </c>
      <c r="F76" s="15" t="inlineStr">
        <is>
          <t>Series aired October 3, 2008–May 4, 2020</t>
        </is>
      </c>
      <c r="G76" s="15" t="inlineStr">
        <is>
          <t>Canon</t>
        </is>
      </c>
      <c r="H76" s="15" t="inlineStr">
        <is>
          <t>Episode</t>
        </is>
      </c>
      <c r="I76" s="15" t="inlineStr">
        <is>
          <t>Disney+</t>
        </is>
      </c>
      <c r="J76" s="18">
        <f>HYPERLINK("https://www.disneyplus.com/video/1e012171-5147-461e-b42c-80ee6bed9c29?cid=DTCI-Synergy-DDN-Site-Acquisition-StarWars-US-StarWars-StarWarsTheCloneWars-EN-BlogArticleEmbed-TCWChronological_StreamOnDisneyPlusCTA-NA","Watch")</f>
        <v/>
      </c>
      <c r="K76" s="22">
        <f>HYPERLINK("https://www.starwars.com/tv-shows/clone-wars/heroes-on-both-sides-episode-guide","Season 3, Episode 10 · Episode guide")</f>
        <v/>
      </c>
    </row>
    <row r="77" ht="36" customHeight="1" s="23">
      <c r="A77" s="21" t="b">
        <v>1</v>
      </c>
      <c r="B77" s="21" t="n">
        <v>71</v>
      </c>
      <c r="C77" s="14" t="inlineStr">
        <is>
          <t>Fall of the Jedi</t>
        </is>
      </c>
      <c r="D77" s="15" t="inlineStr">
        <is>
          <t>The Clone Wars: Pursuit of Peace</t>
        </is>
      </c>
      <c r="E77" s="16" t="inlineStr">
        <is>
          <t>Season 3, Episode 11</t>
        </is>
      </c>
      <c r="F77" s="15" t="inlineStr">
        <is>
          <t>Series aired October 3, 2008–May 4, 2020</t>
        </is>
      </c>
      <c r="G77" s="15" t="inlineStr">
        <is>
          <t>Canon</t>
        </is>
      </c>
      <c r="H77" s="15" t="inlineStr">
        <is>
          <t>Episode</t>
        </is>
      </c>
      <c r="I77" s="15" t="inlineStr">
        <is>
          <t>Disney+</t>
        </is>
      </c>
      <c r="J77" s="18">
        <f>HYPERLINK("https://www.disneyplus.com/video/ac44bc69-553d-4c58-83ab-e621966d35e4?cid=DTCI-Synergy-DDN-Site-Acquisition-StarWars-US-StarWars-StarWarsTheCloneWars-EN-BlogArticleEmbed-TCWChronological_StreamOnDisneyPlusCTA-NA","Watch")</f>
        <v/>
      </c>
      <c r="K77" s="22">
        <f>HYPERLINK("https://www.starwars.com/tv-shows/clone-wars/pursuit-of-peace-episode-guide","Season 3, Episode 11 · Episode guide")</f>
        <v/>
      </c>
    </row>
    <row r="78" ht="36" customHeight="1" s="23">
      <c r="A78" s="21" t="b">
        <v>1</v>
      </c>
      <c r="B78" s="21" t="n">
        <v>72</v>
      </c>
      <c r="C78" s="14" t="inlineStr">
        <is>
          <t>Fall of the Jedi</t>
        </is>
      </c>
      <c r="D78" s="15" t="inlineStr">
        <is>
          <t>The Clone Wars: Senate Murders</t>
        </is>
      </c>
      <c r="E78" s="16" t="inlineStr">
        <is>
          <t>Season 2, Episode 15</t>
        </is>
      </c>
      <c r="F78" s="15" t="inlineStr">
        <is>
          <t>Series aired October 3, 2008–May 4, 2020</t>
        </is>
      </c>
      <c r="G78" s="15" t="inlineStr">
        <is>
          <t>Canon</t>
        </is>
      </c>
      <c r="H78" s="15" t="inlineStr">
        <is>
          <t>Episode</t>
        </is>
      </c>
      <c r="I78" s="15" t="inlineStr">
        <is>
          <t>Disney+</t>
        </is>
      </c>
      <c r="J78" s="18">
        <f>HYPERLINK("https://www.disneyplus.com/video/af719ca6-3fae-435e-a2f5-07d5a3f6499d?cid=DTCI-Synergy-DDN-Site-Acquisition-StarWars-US-StarWars-StarWarsTheCloneWars-EN-BlogArticleEmbed-TCWChronological_StreamOnDisneyPlusCTA-NA","Watch")</f>
        <v/>
      </c>
      <c r="K78" s="22">
        <f>HYPERLINK("https://www.starwars.com/tv-shows/clone-wars/senate-murders-episode-guide","Season 2, Episode 15 · Episode guide")</f>
        <v/>
      </c>
    </row>
    <row r="79" ht="36" customHeight="1" s="23">
      <c r="A79" s="21" t="b">
        <v>0</v>
      </c>
      <c r="B79" s="21" t="n">
        <v>73</v>
      </c>
      <c r="C79" s="14" t="inlineStr">
        <is>
          <t>Fall of the Jedi</t>
        </is>
      </c>
      <c r="D79" s="15" t="inlineStr">
        <is>
          <t>The Clone Wars: Nightsisters</t>
        </is>
      </c>
      <c r="E79" s="16" t="inlineStr">
        <is>
          <t>Season 3, Episode 12</t>
        </is>
      </c>
      <c r="F79" s="15" t="inlineStr">
        <is>
          <t>Series aired October 3, 2008–May 4, 2020</t>
        </is>
      </c>
      <c r="G79" s="15" t="inlineStr">
        <is>
          <t>Canon</t>
        </is>
      </c>
      <c r="H79" s="15" t="inlineStr">
        <is>
          <t>Episode</t>
        </is>
      </c>
      <c r="I79" s="15" t="inlineStr">
        <is>
          <t>Disney+</t>
        </is>
      </c>
      <c r="J79" s="18">
        <f>HYPERLINK("https://www.disneyplus.com/video/7efbccb3-2bc5-4271-8e20-ab78c9efbccc?cid=DTCI-Synergy-DDN-Site-Acquisition-StarWars-US-StarWars-StarWarsTheCloneWars-EN-BlogArticleEmbed-TCWChronological_StreamOnDisneyPlusCTA-NA","Watch")</f>
        <v/>
      </c>
      <c r="K79" s="22">
        <f>HYPERLINK("https://www.starwars.com/tv-shows/clone-wars/nightsisters-episode-guide","Season 3, Episode 12 · Episode guide")</f>
        <v/>
      </c>
    </row>
    <row r="80" ht="36" customHeight="1" s="23">
      <c r="A80" s="21" t="b">
        <v>0</v>
      </c>
      <c r="B80" s="21" t="n">
        <v>74</v>
      </c>
      <c r="C80" s="14" t="inlineStr">
        <is>
          <t>Fall of the Jedi</t>
        </is>
      </c>
      <c r="D80" s="15" t="inlineStr">
        <is>
          <t>The Clone Wars: Monster</t>
        </is>
      </c>
      <c r="E80" s="16" t="inlineStr">
        <is>
          <t>Season 3, Episode 13</t>
        </is>
      </c>
      <c r="F80" s="15" t="inlineStr">
        <is>
          <t>Series aired October 3, 2008–May 4, 2020</t>
        </is>
      </c>
      <c r="G80" s="15" t="inlineStr">
        <is>
          <t>Canon</t>
        </is>
      </c>
      <c r="H80" s="15" t="inlineStr">
        <is>
          <t>Episode</t>
        </is>
      </c>
      <c r="I80" s="15" t="inlineStr">
        <is>
          <t>Disney+</t>
        </is>
      </c>
      <c r="J80" s="18">
        <f>HYPERLINK("https://www.disneyplus.com/video/60ae22d3-0e23-42ae-9931-30076c8cd519?cid=DTCI-Synergy-DDN-Site-Acquisition-StarWars-US-StarWars-StarWarsTheCloneWars-EN-BlogArticleEmbed-TCWChronological_StreamOnDisneyPlusCTA-NA","Watch")</f>
        <v/>
      </c>
      <c r="K80" s="22">
        <f>HYPERLINK("https://www.starwars.com/tv-shows/clone-wars/monster-episode-guide","Season 3, Episode 13 · Episode guide")</f>
        <v/>
      </c>
    </row>
    <row r="81" ht="36" customHeight="1" s="23">
      <c r="A81" s="21" t="b">
        <v>0</v>
      </c>
      <c r="B81" s="21" t="n">
        <v>75</v>
      </c>
      <c r="C81" s="14" t="inlineStr">
        <is>
          <t>Fall of the Jedi</t>
        </is>
      </c>
      <c r="D81" s="15" t="inlineStr">
        <is>
          <t>The Clone Wars: Witches of the Mist</t>
        </is>
      </c>
      <c r="E81" s="16" t="inlineStr">
        <is>
          <t>Season 3, Episode 14</t>
        </is>
      </c>
      <c r="F81" s="15" t="inlineStr">
        <is>
          <t>Series aired October 3, 2008–May 4, 2020</t>
        </is>
      </c>
      <c r="G81" s="15" t="inlineStr">
        <is>
          <t>Canon</t>
        </is>
      </c>
      <c r="H81" s="15" t="inlineStr">
        <is>
          <t>Episode</t>
        </is>
      </c>
      <c r="I81" s="15" t="inlineStr">
        <is>
          <t>Disney+</t>
        </is>
      </c>
      <c r="J81" s="18">
        <f>HYPERLINK("https://www.disneyplus.com/video/43682151-f351-4280-9a86-ca1986ac7a72?cid=DTCI-Synergy-DDN-Site-Acquisition-StarWars-US-StarWars-StarWarsTheCloneWars-EN-BlogArticleEmbed-TCWChronological_StreamOnDisneyPlusCTA-NA","Watch")</f>
        <v/>
      </c>
      <c r="K81" s="22">
        <f>HYPERLINK("https://www.starwars.com/tv-shows/clone-wars/witches-of-the-mist-episode-guide","Season 3, Episode 14 · Episode guide")</f>
        <v/>
      </c>
    </row>
    <row r="82" ht="36" customHeight="1" s="23">
      <c r="A82" s="21" t="b">
        <v>0</v>
      </c>
      <c r="B82" s="21" t="n">
        <v>76</v>
      </c>
      <c r="C82" s="14" t="inlineStr">
        <is>
          <t>Fall of the Jedi</t>
        </is>
      </c>
      <c r="D82" s="15" t="inlineStr">
        <is>
          <t>The Clone Wars: Overlords</t>
        </is>
      </c>
      <c r="E82" s="16" t="inlineStr">
        <is>
          <t>Season 3, Episode 15</t>
        </is>
      </c>
      <c r="F82" s="15" t="inlineStr">
        <is>
          <t>Series aired October 3, 2008–May 4, 2020</t>
        </is>
      </c>
      <c r="G82" s="15" t="inlineStr">
        <is>
          <t>Canon</t>
        </is>
      </c>
      <c r="H82" s="15" t="inlineStr">
        <is>
          <t>Episode</t>
        </is>
      </c>
      <c r="I82" s="15" t="inlineStr">
        <is>
          <t>Disney+</t>
        </is>
      </c>
      <c r="J82" s="18">
        <f>HYPERLINK("https://www.disneyplus.com/video/48c78dd1-73f6-40ef-9e0d-d469ea00ada8?cid=DTCI-Synergy-DDN-Site-Acquisition-StarWars-US-StarWars-StarWarsTheCloneWars-EN-BlogArticleEmbed-TCWChronological_StreamOnDisneyPlusCTA-NA","Watch")</f>
        <v/>
      </c>
      <c r="K82" s="22">
        <f>HYPERLINK("https://www.starwars.com/tv-shows/clone-wars/overlords-episode-guide","Season 3, Episode 15 · Episode guide")</f>
        <v/>
      </c>
    </row>
    <row r="83" ht="36" customHeight="1" s="23">
      <c r="A83" s="21" t="b">
        <v>0</v>
      </c>
      <c r="B83" s="21" t="n">
        <v>77</v>
      </c>
      <c r="C83" s="14" t="inlineStr">
        <is>
          <t>Fall of the Jedi</t>
        </is>
      </c>
      <c r="D83" s="15" t="inlineStr">
        <is>
          <t>The Clone Wars: Altar of Mortis</t>
        </is>
      </c>
      <c r="E83" s="16" t="inlineStr">
        <is>
          <t>Season 3, Episode 16</t>
        </is>
      </c>
      <c r="F83" s="15" t="inlineStr">
        <is>
          <t>Series aired October 3, 2008–May 4, 2020</t>
        </is>
      </c>
      <c r="G83" s="15" t="inlineStr">
        <is>
          <t>Canon</t>
        </is>
      </c>
      <c r="H83" s="15" t="inlineStr">
        <is>
          <t>Episode</t>
        </is>
      </c>
      <c r="I83" s="15" t="inlineStr">
        <is>
          <t>Disney+</t>
        </is>
      </c>
      <c r="J83" s="18">
        <f>HYPERLINK("https://www.disneyplus.com/video/75e60bba-9b85-4531-aec2-7f3b9ed18e4c?cid=DTCI-Synergy-DDN-Site-Acquisition-StarWars-US-StarWars-StarWarsTheCloneWars-EN-BlogArticleEmbed-TCWChronological_StreamOnDisneyPlusCTA-NA","Watch")</f>
        <v/>
      </c>
      <c r="K83" s="22">
        <f>HYPERLINK("https://www.starwars.com/tv-shows/clone-wars/altar-of-mortis-episode-guide","Season 3, Episode 16 · Episode guide")</f>
        <v/>
      </c>
    </row>
    <row r="84" ht="36" customHeight="1" s="23">
      <c r="A84" s="21" t="b">
        <v>0</v>
      </c>
      <c r="B84" s="21" t="n">
        <v>78</v>
      </c>
      <c r="C84" s="14" t="inlineStr">
        <is>
          <t>Fall of the Jedi</t>
        </is>
      </c>
      <c r="D84" s="15" t="inlineStr">
        <is>
          <t>The Clone Wars: Ghosts of Mortis</t>
        </is>
      </c>
      <c r="E84" s="16" t="inlineStr">
        <is>
          <t>Season 3, Episode 17</t>
        </is>
      </c>
      <c r="F84" s="15" t="inlineStr">
        <is>
          <t>Series aired October 3, 2008–May 4, 2020</t>
        </is>
      </c>
      <c r="G84" s="15" t="inlineStr">
        <is>
          <t>Canon</t>
        </is>
      </c>
      <c r="H84" s="15" t="inlineStr">
        <is>
          <t>Episode</t>
        </is>
      </c>
      <c r="I84" s="15" t="inlineStr">
        <is>
          <t>Disney+</t>
        </is>
      </c>
      <c r="J84" s="18">
        <f>HYPERLINK("https://www.disneyplus.com/video/6eccdac1-2d29-416d-88f7-779791c8bbca?cid=DTCI-Synergy-DDN-Site-Acquisition-StarWars-US-StarWars-StarWarsTheCloneWars-EN-BlogArticleEmbed-TCWChronological_StreamOnDisneyPlusCTA-NA","Watch")</f>
        <v/>
      </c>
      <c r="K84" s="22">
        <f>HYPERLINK("https://www.starwars.com/tv-shows/clone-wars/ghosts-of-mortis-episode-guide","Season 3, Episode 17 · Episode guide")</f>
        <v/>
      </c>
    </row>
    <row r="85" ht="36" customHeight="1" s="23">
      <c r="A85" s="21" t="b">
        <v>0</v>
      </c>
      <c r="B85" s="21" t="n">
        <v>79</v>
      </c>
      <c r="C85" s="14" t="inlineStr">
        <is>
          <t>Fall of the Jedi</t>
        </is>
      </c>
      <c r="D85" s="15" t="inlineStr">
        <is>
          <t>The Clone Wars: The Citadel</t>
        </is>
      </c>
      <c r="E85" s="16" t="inlineStr">
        <is>
          <t>Season 3, Episode 18</t>
        </is>
      </c>
      <c r="F85" s="15" t="inlineStr">
        <is>
          <t>Series aired October 3, 2008–May 4, 2020</t>
        </is>
      </c>
      <c r="G85" s="15" t="inlineStr">
        <is>
          <t>Canon</t>
        </is>
      </c>
      <c r="H85" s="15" t="inlineStr">
        <is>
          <t>Episode</t>
        </is>
      </c>
      <c r="I85" s="15" t="inlineStr">
        <is>
          <t>Disney+</t>
        </is>
      </c>
      <c r="J85" s="18">
        <f>HYPERLINK("https://www.disneyplus.com/video/5ce7d03a-c7d7-4e63-8cb1-eae92bcd1349?cid=DTCI-Synergy-DDN-Site-Acquisition-StarWars-US-StarWars-StarWarsTheCloneWars-EN-BlogArticleEmbed-TCWChronological_StreamOnDisneyPlusCTA-NA","Watch")</f>
        <v/>
      </c>
      <c r="K85" s="22">
        <f>HYPERLINK("https://www.starwars.com/tv-shows/clone-wars/the-citadel-episode-guide","Season 3, Episode 18 · Episode guide")</f>
        <v/>
      </c>
    </row>
    <row r="86" ht="36" customHeight="1" s="23">
      <c r="A86" s="21" t="b">
        <v>0</v>
      </c>
      <c r="B86" s="21" t="n">
        <v>80</v>
      </c>
      <c r="C86" s="14" t="inlineStr">
        <is>
          <t>Fall of the Jedi</t>
        </is>
      </c>
      <c r="D86" s="15" t="inlineStr">
        <is>
          <t>The Clone Wars: Counter Attack</t>
        </is>
      </c>
      <c r="E86" s="16" t="inlineStr">
        <is>
          <t>Season 3, Episode 19</t>
        </is>
      </c>
      <c r="F86" s="15" t="inlineStr">
        <is>
          <t>Series aired October 3, 2008–May 4, 2020</t>
        </is>
      </c>
      <c r="G86" s="15" t="inlineStr">
        <is>
          <t>Canon</t>
        </is>
      </c>
      <c r="H86" s="15" t="inlineStr">
        <is>
          <t>Episode</t>
        </is>
      </c>
      <c r="I86" s="15" t="inlineStr">
        <is>
          <t>Disney+</t>
        </is>
      </c>
      <c r="J86" s="18">
        <f>HYPERLINK("https://www.disneyplus.com/video/da31968a-f4f6-457b-8d4a-9938d5bdb6f0?cid=DTCI-Synergy-DDN-Site-Acquisition-StarWars-US-StarWars-StarWarsTheCloneWars-EN-BlogArticleEmbed-TCWChronological_StreamOnDisneyPlusCTA-NA","Watch")</f>
        <v/>
      </c>
      <c r="K86" s="22">
        <f>HYPERLINK("https://www.starwars.com/tv-shows/clone-wars/counterattack-episode-guide","Season 3, Episode 19 · Episode guide")</f>
        <v/>
      </c>
    </row>
    <row r="87" ht="36" customHeight="1" s="23">
      <c r="A87" s="21" t="b">
        <v>0</v>
      </c>
      <c r="B87" s="21" t="n">
        <v>81</v>
      </c>
      <c r="C87" s="14" t="inlineStr">
        <is>
          <t>Fall of the Jedi</t>
        </is>
      </c>
      <c r="D87" s="15" t="inlineStr">
        <is>
          <t>The Clone Wars: Citadel Rescue</t>
        </is>
      </c>
      <c r="E87" s="16" t="inlineStr">
        <is>
          <t>Season 3, Episode 20</t>
        </is>
      </c>
      <c r="F87" s="15" t="inlineStr">
        <is>
          <t>Series aired October 3, 2008–May 4, 2020</t>
        </is>
      </c>
      <c r="G87" s="15" t="inlineStr">
        <is>
          <t>Canon</t>
        </is>
      </c>
      <c r="H87" s="15" t="inlineStr">
        <is>
          <t>Episode</t>
        </is>
      </c>
      <c r="I87" s="15" t="inlineStr">
        <is>
          <t>Disney+</t>
        </is>
      </c>
      <c r="J87" s="18">
        <f>HYPERLINK("https://www.disneyplus.com/video/8799713b-3cd0-48e7-b32d-aef303971020?cid=DTCI-Synergy-DDN-Site-Acquisition-StarWars-US-StarWars-StarWarsTheCloneWars-EN-BlogArticleEmbed-TCWChronological_StreamOnDisneyPlusCTA-NA","Watch")</f>
        <v/>
      </c>
      <c r="K87" s="22">
        <f>HYPERLINK("https://www.starwars.com/tv-shows/clone-wars/citadel-rescue-episode-guide","Season 3, Episode 20 · Episode guide")</f>
        <v/>
      </c>
    </row>
    <row r="88" ht="36" customHeight="1" s="23">
      <c r="A88" s="21" t="b">
        <v>0</v>
      </c>
      <c r="B88" s="21" t="n">
        <v>82</v>
      </c>
      <c r="C88" s="14" t="inlineStr">
        <is>
          <t>Fall of the Jedi</t>
        </is>
      </c>
      <c r="D88" s="15" t="inlineStr">
        <is>
          <t>The Clone Wars: Padawan Lost</t>
        </is>
      </c>
      <c r="E88" s="16" t="inlineStr">
        <is>
          <t>Season 3, Episode 21</t>
        </is>
      </c>
      <c r="F88" s="15" t="inlineStr">
        <is>
          <t>Series aired October 3, 2008–May 4, 2020</t>
        </is>
      </c>
      <c r="G88" s="15" t="inlineStr">
        <is>
          <t>Canon</t>
        </is>
      </c>
      <c r="H88" s="15" t="inlineStr">
        <is>
          <t>Episode</t>
        </is>
      </c>
      <c r="I88" s="15" t="inlineStr">
        <is>
          <t>Disney+</t>
        </is>
      </c>
      <c r="J88" s="18">
        <f>HYPERLINK("https://www.disneyplus.com/video/e9010f4d-8e53-4100-9e56-37526a34d8cb?cid=DTCI-Synergy-DDN-Site-Acquisition-StarWars-US-StarWars-StarWarsTheCloneWars-EN-BlogArticleEmbed-TCWChronological_StreamOnDisneyPlusCTA-NA","Watch")</f>
        <v/>
      </c>
      <c r="K88" s="22">
        <f>HYPERLINK("https://www.starwars.com/tv-shows/clone-wars/padawan-lost-episode-guide","Season 3, Episode 21 · Episode guide")</f>
        <v/>
      </c>
    </row>
    <row r="89" ht="36" customHeight="1" s="23">
      <c r="A89" s="21" t="b">
        <v>0</v>
      </c>
      <c r="B89" s="21" t="n">
        <v>83</v>
      </c>
      <c r="C89" s="14" t="inlineStr">
        <is>
          <t>Fall of the Jedi</t>
        </is>
      </c>
      <c r="D89" s="15" t="inlineStr">
        <is>
          <t>The Clone Wars: Wookiee Hunt</t>
        </is>
      </c>
      <c r="E89" s="16" t="inlineStr">
        <is>
          <t>Season 3, Episode 22</t>
        </is>
      </c>
      <c r="F89" s="15" t="inlineStr">
        <is>
          <t>Series aired October 3, 2008–May 4, 2020</t>
        </is>
      </c>
      <c r="G89" s="15" t="inlineStr">
        <is>
          <t>Canon</t>
        </is>
      </c>
      <c r="H89" s="15" t="inlineStr">
        <is>
          <t>Episode</t>
        </is>
      </c>
      <c r="I89" s="15" t="inlineStr">
        <is>
          <t>Disney+</t>
        </is>
      </c>
      <c r="J89" s="18">
        <f>HYPERLINK("https://www.disneyplus.com/video/d332b464-3b44-4ace-af1b-bcabcf5f9155?cid=DTCI-Synergy-DDN-Site-Acquisition-StarWars-US-StarWars-StarWarsTheCloneWars-EN-BlogArticleEmbed-TCWChronological_StreamOnDisneyPlusCTA-NA","Watch")</f>
        <v/>
      </c>
      <c r="K89" s="22">
        <f>HYPERLINK("https://www.starwars.com/tv-shows/clone-wars/wookiee-hunt-episode-guide","Season 3, Episode 22 · Episode guide")</f>
        <v/>
      </c>
    </row>
    <row r="90" ht="36" customHeight="1" s="23">
      <c r="A90" s="21" t="b">
        <v>0</v>
      </c>
      <c r="B90" s="21" t="n">
        <v>84</v>
      </c>
      <c r="C90" s="14" t="inlineStr">
        <is>
          <t>Fall of the Jedi</t>
        </is>
      </c>
      <c r="D90" s="15" t="inlineStr">
        <is>
          <t>The Clone Wars: Water War</t>
        </is>
      </c>
      <c r="E90" s="16" t="inlineStr">
        <is>
          <t>Season 4, Episode 1</t>
        </is>
      </c>
      <c r="F90" s="15" t="inlineStr">
        <is>
          <t>Series aired October 3, 2008–May 4, 2020</t>
        </is>
      </c>
      <c r="G90" s="15" t="inlineStr">
        <is>
          <t>Canon</t>
        </is>
      </c>
      <c r="H90" s="15" t="inlineStr">
        <is>
          <t>Episode</t>
        </is>
      </c>
      <c r="I90" s="15" t="inlineStr">
        <is>
          <t>Disney+</t>
        </is>
      </c>
      <c r="J90" s="18">
        <f>HYPERLINK("https://www.disneyplus.com/video/0118dfcf-cb59-44eb-bb93-15888e9cb8a6?cid=DTCI-Synergy-DDN-Site-Acquisition-StarWars-US-StarWars-StarWarsTheCloneWars-EN-BlogArticleEmbed-TCWChronological_StreamOnDisneyPlusCTA-NA","Watch")</f>
        <v/>
      </c>
      <c r="K90" s="22">
        <f>HYPERLINK("https://www.starwars.com/tv-shows/clone-wars/water-war-episode-guide","Season 4, Episode 1 · Episode guide")</f>
        <v/>
      </c>
    </row>
    <row r="91" ht="36" customHeight="1" s="23">
      <c r="A91" s="21" t="b">
        <v>0</v>
      </c>
      <c r="B91" s="21" t="n">
        <v>85</v>
      </c>
      <c r="C91" s="14" t="inlineStr">
        <is>
          <t>Fall of the Jedi</t>
        </is>
      </c>
      <c r="D91" s="15" t="inlineStr">
        <is>
          <t>The Clone Wars: Gungan Attack</t>
        </is>
      </c>
      <c r="E91" s="16" t="inlineStr">
        <is>
          <t>Season 4, Episode 2</t>
        </is>
      </c>
      <c r="F91" s="15" t="inlineStr">
        <is>
          <t>Series aired October 3, 2008–May 4, 2020</t>
        </is>
      </c>
      <c r="G91" s="15" t="inlineStr">
        <is>
          <t>Canon</t>
        </is>
      </c>
      <c r="H91" s="15" t="inlineStr">
        <is>
          <t>Episode</t>
        </is>
      </c>
      <c r="I91" s="15" t="inlineStr">
        <is>
          <t>Disney+</t>
        </is>
      </c>
      <c r="J91" s="18">
        <f>HYPERLINK("https://www.disneyplus.com/video/661736f6-035f-4d8f-98b7-d1a75d3359db?cid=DTCI-Synergy-DDN-Site-Acquisition-StarWars-US-StarWars-StarWarsTheCloneWars-EN-BlogArticleEmbed-TCWChronological_StreamOnDisneyPlusCTA-NA","Watch")</f>
        <v/>
      </c>
      <c r="K91" s="22">
        <f>HYPERLINK("https://www.starwars.com/tv-shows/clone-wars/gungan-attack-episode-guide","Season 4, Episode 2 · Episode guide")</f>
        <v/>
      </c>
    </row>
    <row r="92" ht="36" customHeight="1" s="23">
      <c r="A92" s="21" t="b">
        <v>0</v>
      </c>
      <c r="B92" s="21" t="n">
        <v>86</v>
      </c>
      <c r="C92" s="14" t="inlineStr">
        <is>
          <t>Fall of the Jedi</t>
        </is>
      </c>
      <c r="D92" s="15" t="inlineStr">
        <is>
          <t>The Clone Wars: Prisoners</t>
        </is>
      </c>
      <c r="E92" s="16" t="inlineStr">
        <is>
          <t>Season 4, Episode 3</t>
        </is>
      </c>
      <c r="F92" s="15" t="inlineStr">
        <is>
          <t>Series aired October 3, 2008–May 4, 2020</t>
        </is>
      </c>
      <c r="G92" s="15" t="inlineStr">
        <is>
          <t>Canon</t>
        </is>
      </c>
      <c r="H92" s="15" t="inlineStr">
        <is>
          <t>Episode</t>
        </is>
      </c>
      <c r="I92" s="15" t="inlineStr">
        <is>
          <t>Disney+</t>
        </is>
      </c>
      <c r="J92" s="18">
        <f>HYPERLINK("https://www.disneyplus.com/video/a78235e0-c137-410c-abd8-69601e432648?cid=DTCI-Synergy-DDN-Site-Acquisition-StarWars-US-StarWars-StarWarsTheCloneWars-EN-BlogArticleEmbed-TCWChronological_StreamOnDisneyPlusCTA-NA","Watch")</f>
        <v/>
      </c>
      <c r="K92" s="22">
        <f>HYPERLINK("https://www.starwars.com/tv-shows/clone-wars/prisoners-episode-guide","Season 4, Episode 3 · Episode guide")</f>
        <v/>
      </c>
    </row>
    <row r="93" ht="36" customHeight="1" s="23">
      <c r="A93" s="21" t="b">
        <v>0</v>
      </c>
      <c r="B93" s="21" t="n">
        <v>87</v>
      </c>
      <c r="C93" s="14" t="inlineStr">
        <is>
          <t>Fall of the Jedi</t>
        </is>
      </c>
      <c r="D93" s="15" t="inlineStr">
        <is>
          <t>The Clone Wars: Shadow Warrior</t>
        </is>
      </c>
      <c r="E93" s="16" t="inlineStr">
        <is>
          <t>Season 4, Episode 4</t>
        </is>
      </c>
      <c r="F93" s="15" t="inlineStr">
        <is>
          <t>Series aired October 3, 2008–May 4, 2020</t>
        </is>
      </c>
      <c r="G93" s="15" t="inlineStr">
        <is>
          <t>Canon</t>
        </is>
      </c>
      <c r="H93" s="15" t="inlineStr">
        <is>
          <t>Episode</t>
        </is>
      </c>
      <c r="I93" s="15" t="inlineStr">
        <is>
          <t>Disney+</t>
        </is>
      </c>
      <c r="J93" s="18">
        <f>HYPERLINK("https://www.disneyplus.com/video/794938c4-0700-4b1f-a6c3-20aff7ca1b39?cid=DTCI-Synergy-DDN-Site-Acquisition-StarWars-US-StarWars-StarWarsTheCloneWars-EN-BlogArticleEmbed-TCWChronological_StreamOnDisneyPlusCTA-NA","Watch")</f>
        <v/>
      </c>
      <c r="K93" s="22">
        <f>HYPERLINK("https://www.starwars.com/tv-shows/clone-wars/shadow-warrior-episode-guide","Season 4, Episode 4 · Episode guide")</f>
        <v/>
      </c>
    </row>
    <row r="94" ht="36" customHeight="1" s="23">
      <c r="A94" s="21" t="b">
        <v>0</v>
      </c>
      <c r="B94" s="21" t="n">
        <v>88</v>
      </c>
      <c r="C94" s="14" t="inlineStr">
        <is>
          <t>Fall of the Jedi</t>
        </is>
      </c>
      <c r="D94" s="15" t="inlineStr">
        <is>
          <t>The Clone Wars: Mercy Mission</t>
        </is>
      </c>
      <c r="E94" s="16" t="inlineStr">
        <is>
          <t>Season 4, Episode 5</t>
        </is>
      </c>
      <c r="F94" s="15" t="inlineStr">
        <is>
          <t>Series aired October 3, 2008–May 4, 2020</t>
        </is>
      </c>
      <c r="G94" s="15" t="inlineStr">
        <is>
          <t>Canon</t>
        </is>
      </c>
      <c r="H94" s="15" t="inlineStr">
        <is>
          <t>Episode</t>
        </is>
      </c>
      <c r="I94" s="15" t="inlineStr">
        <is>
          <t>Disney+</t>
        </is>
      </c>
      <c r="J94" s="18">
        <f>HYPERLINK("https://www.disneyplus.com/video/1d717a67-fdce-4404-aed6-3cca361e0946?cid=DTCI-Synergy-DDN-Site-Acquisition-StarWars-US-StarWars-StarWarsTheCloneWars-EN-BlogArticleEmbed-TCWChronological_StreamOnDisneyPlusCTA-NA","Watch")</f>
        <v/>
      </c>
      <c r="K94" s="22">
        <f>HYPERLINK("https://www.starwars.com/tv-shows/clone-wars/mercy-mission-episode-guide","Season 4, Episode 5 · Episode guide")</f>
        <v/>
      </c>
    </row>
    <row r="95" ht="36" customHeight="1" s="23">
      <c r="A95" s="21" t="b">
        <v>0</v>
      </c>
      <c r="B95" s="21" t="n">
        <v>89</v>
      </c>
      <c r="C95" s="14" t="inlineStr">
        <is>
          <t>Fall of the Jedi</t>
        </is>
      </c>
      <c r="D95" s="15" t="inlineStr">
        <is>
          <t>The Clone Wars: Nomad Droids</t>
        </is>
      </c>
      <c r="E95" s="16" t="inlineStr">
        <is>
          <t>Season 4, Episode 6</t>
        </is>
      </c>
      <c r="F95" s="15" t="inlineStr">
        <is>
          <t>Series aired October 3, 2008–May 4, 2020</t>
        </is>
      </c>
      <c r="G95" s="15" t="inlineStr">
        <is>
          <t>Canon</t>
        </is>
      </c>
      <c r="H95" s="15" t="inlineStr">
        <is>
          <t>Episode</t>
        </is>
      </c>
      <c r="I95" s="15" t="inlineStr">
        <is>
          <t>Disney+</t>
        </is>
      </c>
      <c r="J95" s="18">
        <f>HYPERLINK("https://www.disneyplus.com/video/70b7d424-fd27-4388-b934-b4bfad3f898d?cid=DTCI-Synergy-DDN-Site-Acquisition-StarWars-US-StarWars-StarWarsTheCloneWars-EN-BlogArticleEmbed-TCWChronological_StreamOnDisneyPlusCTA-NA","Watch")</f>
        <v/>
      </c>
      <c r="K95" s="22">
        <f>HYPERLINK("https://www.starwars.com/tv-shows/clone-wars/nomad-droids-episode-guide","Season 4, Episode 6 · Episode guide")</f>
        <v/>
      </c>
    </row>
    <row r="96" ht="36" customHeight="1" s="23">
      <c r="A96" s="21" t="b">
        <v>0</v>
      </c>
      <c r="B96" s="21" t="n">
        <v>90</v>
      </c>
      <c r="C96" s="14" t="inlineStr">
        <is>
          <t>Fall of the Jedi</t>
        </is>
      </c>
      <c r="D96" s="15" t="inlineStr">
        <is>
          <t>The Clone Wars: Darkness on Umbara</t>
        </is>
      </c>
      <c r="E96" s="16" t="inlineStr">
        <is>
          <t>Season 4, Episode 7</t>
        </is>
      </c>
      <c r="F96" s="15" t="inlineStr">
        <is>
          <t>Series aired October 3, 2008–May 4, 2020</t>
        </is>
      </c>
      <c r="G96" s="15" t="inlineStr">
        <is>
          <t>Canon</t>
        </is>
      </c>
      <c r="H96" s="15" t="inlineStr">
        <is>
          <t>Episode</t>
        </is>
      </c>
      <c r="I96" s="15" t="inlineStr">
        <is>
          <t>Disney+</t>
        </is>
      </c>
      <c r="J96" s="18">
        <f>HYPERLINK("https://www.disneyplus.com/video/f9bfac62-4bb9-443b-905c-db5d978df3f2?cid=DTCI-Synergy-DDN-Site-Acquisition-StarWars-US-StarWars-StarWarsTheCloneWars-EN-BlogArticleEmbed-TCWChronological_StreamOnDisneyPlusCTA-NA","Watch")</f>
        <v/>
      </c>
      <c r="K96" s="22">
        <f>HYPERLINK("https://www.starwars.com/tv-shows/clone-wars/darkness-on-umbara-episode-guide","Season 4, Episode 7 · Episode guide")</f>
        <v/>
      </c>
    </row>
    <row r="97" ht="36" customHeight="1" s="23">
      <c r="A97" s="21" t="b">
        <v>0</v>
      </c>
      <c r="B97" s="21" t="n">
        <v>91</v>
      </c>
      <c r="C97" s="14" t="inlineStr">
        <is>
          <t>Fall of the Jedi</t>
        </is>
      </c>
      <c r="D97" s="15" t="inlineStr">
        <is>
          <t>The Clone Wars: The General</t>
        </is>
      </c>
      <c r="E97" s="16" t="inlineStr">
        <is>
          <t>Season 4, Episode 8</t>
        </is>
      </c>
      <c r="F97" s="15" t="inlineStr">
        <is>
          <t>Series aired October 3, 2008–May 4, 2020</t>
        </is>
      </c>
      <c r="G97" s="15" t="inlineStr">
        <is>
          <t>Canon</t>
        </is>
      </c>
      <c r="H97" s="15" t="inlineStr">
        <is>
          <t>Episode</t>
        </is>
      </c>
      <c r="I97" s="15" t="inlineStr">
        <is>
          <t>Disney+</t>
        </is>
      </c>
      <c r="J97" s="18">
        <f>HYPERLINK("https://www.disneyplus.com/video/61e6b80b-ae44-431d-ae37-3ff46db6fdf6?cid=DTCI-Synergy-DDN-Site-Acquisition-StarWars-US-StarWars-StarWarsTheCloneWars-EN-BlogArticleEmbed-TCWChronological_StreamOnDisneyPlusCTA-NA","Watch")</f>
        <v/>
      </c>
      <c r="K97" s="22">
        <f>HYPERLINK("https://www.starwars.com/tv-shows/clone-wars/the-general-episode-guide","Season 4, Episode 8 · Episode guide")</f>
        <v/>
      </c>
    </row>
    <row r="98" ht="36" customHeight="1" s="23">
      <c r="A98" s="21" t="b">
        <v>0</v>
      </c>
      <c r="B98" s="21" t="n">
        <v>92</v>
      </c>
      <c r="C98" s="14" t="inlineStr">
        <is>
          <t>Fall of the Jedi</t>
        </is>
      </c>
      <c r="D98" s="15" t="inlineStr">
        <is>
          <t>The Clone Wars: Plan of Dissent</t>
        </is>
      </c>
      <c r="E98" s="16" t="inlineStr">
        <is>
          <t>Season 4, Episode 9</t>
        </is>
      </c>
      <c r="F98" s="15" t="inlineStr">
        <is>
          <t>Series aired October 3, 2008–May 4, 2020</t>
        </is>
      </c>
      <c r="G98" s="15" t="inlineStr">
        <is>
          <t>Canon</t>
        </is>
      </c>
      <c r="H98" s="15" t="inlineStr">
        <is>
          <t>Episode</t>
        </is>
      </c>
      <c r="I98" s="15" t="inlineStr">
        <is>
          <t>Disney+</t>
        </is>
      </c>
      <c r="J98" s="18">
        <f>HYPERLINK("https://www.disneyplus.com/video/5dfa03d3-ec0c-462e-96b9-9995bb5b7e1d?cid=DTCI-Synergy-DDN-Site-Acquisition-StarWars-US-StarWars-StarWarsTheCloneWars-EN-BlogArticleEmbed-TCWChronological_StreamOnDisneyPlusCTA-NA","Watch")</f>
        <v/>
      </c>
      <c r="K98" s="22">
        <f>HYPERLINK("https://www.starwars.com/tv-shows/clone-wars/plan-of-dissent-episode-guide","Season 4, Episode 9 · Episode guide")</f>
        <v/>
      </c>
    </row>
    <row r="99" ht="36" customHeight="1" s="23">
      <c r="A99" s="21" t="b">
        <v>0</v>
      </c>
      <c r="B99" s="21" t="n">
        <v>93</v>
      </c>
      <c r="C99" s="14" t="inlineStr">
        <is>
          <t>Fall of the Jedi</t>
        </is>
      </c>
      <c r="D99" s="15" t="inlineStr">
        <is>
          <t>The Clone Wars: Carnage of Krell</t>
        </is>
      </c>
      <c r="E99" s="16" t="inlineStr">
        <is>
          <t>Season 4, Episode 10</t>
        </is>
      </c>
      <c r="F99" s="15" t="inlineStr">
        <is>
          <t>Series aired October 3, 2008–May 4, 2020</t>
        </is>
      </c>
      <c r="G99" s="15" t="inlineStr">
        <is>
          <t>Canon</t>
        </is>
      </c>
      <c r="H99" s="15" t="inlineStr">
        <is>
          <t>Episode</t>
        </is>
      </c>
      <c r="I99" s="15" t="inlineStr">
        <is>
          <t>Disney+</t>
        </is>
      </c>
      <c r="J99" s="18">
        <f>HYPERLINK("https://www.disneyplus.com/video/3ea87b6f-c298-4847-a69d-05d6ec748f59?cid=DTCI-Synergy-DDN-Site-Acquisition-StarWars-US-StarWars-StarWarsTheCloneWars-EN-BlogArticleEmbed-TCWChronological_StreamOnDisneyPlusCTA-NA","Watch")</f>
        <v/>
      </c>
      <c r="K99" s="22">
        <f>HYPERLINK("https://www.starwars.com/tv-shows/clone-wars/carnage-of-krell-episode-guide","Season 4, Episode 10 · Episode guide")</f>
        <v/>
      </c>
    </row>
    <row r="100" ht="36" customHeight="1" s="23">
      <c r="A100" s="21" t="b">
        <v>0</v>
      </c>
      <c r="B100" s="21" t="n">
        <v>94</v>
      </c>
      <c r="C100" s="14" t="inlineStr">
        <is>
          <t>Fall of the Jedi</t>
        </is>
      </c>
      <c r="D100" s="15" t="inlineStr">
        <is>
          <t>The Clone Wars: Kidnapped</t>
        </is>
      </c>
      <c r="E100" s="16" t="inlineStr">
        <is>
          <t>Season 4, Episode 11</t>
        </is>
      </c>
      <c r="F100" s="15" t="inlineStr">
        <is>
          <t>Series aired October 3, 2008–May 4, 2020</t>
        </is>
      </c>
      <c r="G100" s="15" t="inlineStr">
        <is>
          <t>Canon</t>
        </is>
      </c>
      <c r="H100" s="15" t="inlineStr">
        <is>
          <t>Episode</t>
        </is>
      </c>
      <c r="I100" s="15" t="inlineStr">
        <is>
          <t>Disney+</t>
        </is>
      </c>
      <c r="J100" s="18">
        <f>HYPERLINK("https://www.disneyplus.com/video/02bd06fc-230f-4667-b9da-23fb11d66b70?cid=DTCI-Synergy-DDN-Site-Acquisition-StarWars-US-StarWars-StarWarsTheCloneWars-EN-BlogArticleEmbed-TCWChronological_StreamOnDisneyPlusCTA-NA","Watch")</f>
        <v/>
      </c>
      <c r="K100" s="22">
        <f>HYPERLINK("https://www.starwars.com/tv-shows/clone-wars/kidnapped-episode-guide","Season 4, Episode 11 · Episode guide")</f>
        <v/>
      </c>
    </row>
    <row r="101" ht="36" customHeight="1" s="23">
      <c r="A101" s="21" t="b">
        <v>0</v>
      </c>
      <c r="B101" s="21" t="n">
        <v>95</v>
      </c>
      <c r="C101" s="14" t="inlineStr">
        <is>
          <t>Fall of the Jedi</t>
        </is>
      </c>
      <c r="D101" s="15" t="inlineStr">
        <is>
          <t>The Clone Wars: Slaves of the Republic</t>
        </is>
      </c>
      <c r="E101" s="16" t="inlineStr">
        <is>
          <t>Season 4, Episode 12</t>
        </is>
      </c>
      <c r="F101" s="15" t="inlineStr">
        <is>
          <t>Series aired October 3, 2008–May 4, 2020</t>
        </is>
      </c>
      <c r="G101" s="15" t="inlineStr">
        <is>
          <t>Canon</t>
        </is>
      </c>
      <c r="H101" s="15" t="inlineStr">
        <is>
          <t>Episode</t>
        </is>
      </c>
      <c r="I101" s="15" t="inlineStr">
        <is>
          <t>Disney+</t>
        </is>
      </c>
      <c r="J101" s="18">
        <f>HYPERLINK("https://www.disneyplus.com/video/22ffd322-9702-403f-93d3-47dc7780e062?cid=DTCI-Synergy-DDN-Site-Acquisition-StarWars-US-StarWars-StarWarsTheCloneWars-EN-BlogArticleEmbed-TCWChronological_StreamOnDisneyPlusCTA-NA","Watch")</f>
        <v/>
      </c>
      <c r="K101" s="22">
        <f>HYPERLINK("https://www.starwars.com/tv-shows/clone-wars/slaves-of-the-republic-episode-guide","Season 4, Episode 12 · Episode guide")</f>
        <v/>
      </c>
    </row>
    <row r="102" ht="36" customHeight="1" s="23">
      <c r="A102" s="21" t="b">
        <v>0</v>
      </c>
      <c r="B102" s="21" t="n">
        <v>96</v>
      </c>
      <c r="C102" s="14" t="inlineStr">
        <is>
          <t>Fall of the Jedi</t>
        </is>
      </c>
      <c r="D102" s="15" t="inlineStr">
        <is>
          <t>The Clone Wars: Escape from Kadavo</t>
        </is>
      </c>
      <c r="E102" s="16" t="inlineStr">
        <is>
          <t>Season 4, Episode 13</t>
        </is>
      </c>
      <c r="F102" s="15" t="inlineStr">
        <is>
          <t>Series aired October 3, 2008–May 4, 2020</t>
        </is>
      </c>
      <c r="G102" s="15" t="inlineStr">
        <is>
          <t>Canon</t>
        </is>
      </c>
      <c r="H102" s="15" t="inlineStr">
        <is>
          <t>Episode</t>
        </is>
      </c>
      <c r="I102" s="15" t="inlineStr">
        <is>
          <t>Disney+</t>
        </is>
      </c>
      <c r="J102" s="18">
        <f>HYPERLINK("https://www.disneyplus.com/video/b2e1fd41-8496-4860-9ef8-80bed1b92754?cid=DTCI-Synergy-DDN-Site-Acquisition-StarWars-US-StarWars-StarWarsTheCloneWars-EN-BlogArticleEmbed-TCWChronological_StreamOnDisneyPlusCTA-NA","Watch")</f>
        <v/>
      </c>
      <c r="K102" s="22">
        <f>HYPERLINK("https://www.starwars.com/tv-shows/clone-wars/escape-from-kadavo-episode-guide","Season 4, Episode 13 · Episode guide")</f>
        <v/>
      </c>
    </row>
    <row r="103" ht="36" customHeight="1" s="23">
      <c r="A103" s="21" t="b">
        <v>0</v>
      </c>
      <c r="B103" s="21" t="n">
        <v>97</v>
      </c>
      <c r="C103" s="14" t="inlineStr">
        <is>
          <t>Fall of the Jedi</t>
        </is>
      </c>
      <c r="D103" s="15" t="inlineStr">
        <is>
          <t>The Clone Wars: A Friend in Need</t>
        </is>
      </c>
      <c r="E103" s="16" t="inlineStr">
        <is>
          <t>Season 4, Episode 14</t>
        </is>
      </c>
      <c r="F103" s="15" t="inlineStr">
        <is>
          <t>Series aired October 3, 2008–May 4, 2020</t>
        </is>
      </c>
      <c r="G103" s="15" t="inlineStr">
        <is>
          <t>Canon</t>
        </is>
      </c>
      <c r="H103" s="15" t="inlineStr">
        <is>
          <t>Episode</t>
        </is>
      </c>
      <c r="I103" s="15" t="inlineStr">
        <is>
          <t>Disney+</t>
        </is>
      </c>
      <c r="J103" s="18">
        <f>HYPERLINK("https://www.disneyplus.com/video/916bff39-2aae-47db-b43a-e22f4179d093?cid=DTCI-Synergy-DDN-Site-Acquisition-StarWars-US-StarWars-StarWarsTheCloneWars-EN-BlogArticleEmbed-TCWChronological_StreamOnDisneyPlusCTA-NA","Watch")</f>
        <v/>
      </c>
      <c r="K103" s="22">
        <f>HYPERLINK("https://www.starwars.com/series/clone-wars/-episode-guidea-friend-in-need","Season 4, Episode 14 · Episode guide")</f>
        <v/>
      </c>
    </row>
    <row r="104" ht="36" customHeight="1" s="23">
      <c r="A104" s="21" t="b">
        <v>0</v>
      </c>
      <c r="B104" s="21" t="n">
        <v>98</v>
      </c>
      <c r="C104" s="14" t="inlineStr">
        <is>
          <t>Fall of the Jedi</t>
        </is>
      </c>
      <c r="D104" s="15" t="inlineStr">
        <is>
          <t>The Clone Wars: Deception</t>
        </is>
      </c>
      <c r="E104" s="16" t="inlineStr">
        <is>
          <t>Season 4, Episode 15</t>
        </is>
      </c>
      <c r="F104" s="15" t="inlineStr">
        <is>
          <t>Series aired October 3, 2008–May 4, 2020</t>
        </is>
      </c>
      <c r="G104" s="15" t="inlineStr">
        <is>
          <t>Canon</t>
        </is>
      </c>
      <c r="H104" s="15" t="inlineStr">
        <is>
          <t>Episode</t>
        </is>
      </c>
      <c r="I104" s="15" t="inlineStr">
        <is>
          <t>Disney+</t>
        </is>
      </c>
      <c r="J104" s="18">
        <f>HYPERLINK("https://www.disneyplus.com/video/c639cb21-5137-4090-a440-8f84a171d235?cid=DTCI-Synergy-DDN-Site-Acquisition-StarWars-US-StarWars-StarWarsTheCloneWars-EN-BlogArticleEmbed-TCWChronological_StreamOnDisneyPlusCTA-NA","Watch")</f>
        <v/>
      </c>
      <c r="K104" s="22">
        <f>HYPERLINK("https://www.starwars.com/series/clone-wars/deception-episode-guide","Season 4, Episode 15 · Episode guide")</f>
        <v/>
      </c>
    </row>
    <row r="105" ht="36" customHeight="1" s="23">
      <c r="A105" s="21" t="b">
        <v>0</v>
      </c>
      <c r="B105" s="21" t="n">
        <v>99</v>
      </c>
      <c r="C105" s="14" t="inlineStr">
        <is>
          <t>Fall of the Jedi</t>
        </is>
      </c>
      <c r="D105" s="15" t="inlineStr">
        <is>
          <t>The Clone Wars: Friends and Enemies</t>
        </is>
      </c>
      <c r="E105" s="16" t="inlineStr">
        <is>
          <t>Season 4, Episode 16</t>
        </is>
      </c>
      <c r="F105" s="15" t="inlineStr">
        <is>
          <t>Series aired October 3, 2008–May 4, 2020</t>
        </is>
      </c>
      <c r="G105" s="15" t="inlineStr">
        <is>
          <t>Canon</t>
        </is>
      </c>
      <c r="H105" s="15" t="inlineStr">
        <is>
          <t>Episode</t>
        </is>
      </c>
      <c r="I105" s="15" t="inlineStr">
        <is>
          <t>Disney+</t>
        </is>
      </c>
      <c r="J105" s="18">
        <f>HYPERLINK("https://www.disneyplus.com/video/8fa14ce6-7c73-48b9-b271-16dffeb62fec?cid=DTCI-Synergy-DDN-Site-Acquisition-StarWars-US-StarWars-StarWarsTheCloneWars-EN-BlogArticleEmbed-TCWChronological_StreamOnDisneyPlusCTA-NA","Watch")</f>
        <v/>
      </c>
      <c r="K105" s="22">
        <f>HYPERLINK("https://www.starwars.com/tv-shows/clone-wars/friends-and-enemies-episode-guide","Season 4, Episode 16 · Episode guide")</f>
        <v/>
      </c>
    </row>
    <row r="106" ht="36" customHeight="1" s="23">
      <c r="A106" s="21" t="b">
        <v>0</v>
      </c>
      <c r="B106" s="21" t="n">
        <v>100</v>
      </c>
      <c r="C106" s="14" t="inlineStr">
        <is>
          <t>Fall of the Jedi</t>
        </is>
      </c>
      <c r="D106" s="15" t="inlineStr">
        <is>
          <t>The Clone Wars: The Box</t>
        </is>
      </c>
      <c r="E106" s="16" t="inlineStr">
        <is>
          <t>Season 4, Episode 17</t>
        </is>
      </c>
      <c r="F106" s="15" t="inlineStr">
        <is>
          <t>Series aired October 3, 2008–May 4, 2020</t>
        </is>
      </c>
      <c r="G106" s="15" t="inlineStr">
        <is>
          <t>Canon</t>
        </is>
      </c>
      <c r="H106" s="15" t="inlineStr">
        <is>
          <t>Episode</t>
        </is>
      </c>
      <c r="I106" s="15" t="inlineStr">
        <is>
          <t>Disney+</t>
        </is>
      </c>
      <c r="J106" s="18">
        <f>HYPERLINK("https://www.disneyplus.com/video/f95cb9de-abf7-4d7f-8a65-d9a731a60f47?cid=DTCI-Synergy-DDN-Site-Acquisition-StarWars-US-StarWars-StarWarsTheCloneWars-EN-BlogArticleEmbed-TCWChronological_StreamOnDisneyPlusCTA-NA","Watch")</f>
        <v/>
      </c>
      <c r="K106" s="22">
        <f>HYPERLINK("https://www.starwars.com/tv-shows/clone-wars/the-box-episode-guide","Season 4, Episode 17 · Episode guide")</f>
        <v/>
      </c>
    </row>
    <row r="107" ht="36" customHeight="1" s="23">
      <c r="A107" s="21" t="b">
        <v>0</v>
      </c>
      <c r="B107" s="21" t="n">
        <v>101</v>
      </c>
      <c r="C107" s="14" t="inlineStr">
        <is>
          <t>Fall of the Jedi</t>
        </is>
      </c>
      <c r="D107" s="15" t="inlineStr">
        <is>
          <t>The Clone Wars: Crisis on Naboo</t>
        </is>
      </c>
      <c r="E107" s="16" t="inlineStr">
        <is>
          <t>Season 4, Episode 18</t>
        </is>
      </c>
      <c r="F107" s="15" t="inlineStr">
        <is>
          <t>Series aired October 3, 2008–May 4, 2020</t>
        </is>
      </c>
      <c r="G107" s="15" t="inlineStr">
        <is>
          <t>Canon</t>
        </is>
      </c>
      <c r="H107" s="15" t="inlineStr">
        <is>
          <t>Episode</t>
        </is>
      </c>
      <c r="I107" s="15" t="inlineStr">
        <is>
          <t>Disney+</t>
        </is>
      </c>
      <c r="J107" s="18">
        <f>HYPERLINK("https://www.disneyplus.com/video/ca31a17c-8cb2-4b69-acf5-4f1e399abf5d?cid=DTCI-Synergy-DDN-Site-Acquisition-StarWars-US-StarWars-StarWarsTheCloneWars-EN-BlogArticleEmbed-TCWChronological_StreamOnDisneyPlusCTA-NA","Watch")</f>
        <v/>
      </c>
      <c r="K107" s="22">
        <f>HYPERLINK("https://www.starwars.com/tv-shows/clone-wars/crisis-on-naboo-episode-guide","Season 4, Episode 18 · Episode guide")</f>
        <v/>
      </c>
    </row>
    <row r="108" ht="36" customHeight="1" s="23">
      <c r="A108" s="21" t="b">
        <v>0</v>
      </c>
      <c r="B108" s="21" t="n">
        <v>102</v>
      </c>
      <c r="C108" s="14" t="inlineStr">
        <is>
          <t>Fall of the Jedi</t>
        </is>
      </c>
      <c r="D108" s="15" t="inlineStr">
        <is>
          <t>The Clone Wars: Massacre</t>
        </is>
      </c>
      <c r="E108" s="16" t="inlineStr">
        <is>
          <t>Season 4, Episode 19</t>
        </is>
      </c>
      <c r="F108" s="15" t="inlineStr">
        <is>
          <t>Series aired October 3, 2008–May 4, 2020</t>
        </is>
      </c>
      <c r="G108" s="15" t="inlineStr">
        <is>
          <t>Canon</t>
        </is>
      </c>
      <c r="H108" s="15" t="inlineStr">
        <is>
          <t>Episode</t>
        </is>
      </c>
      <c r="I108" s="15" t="inlineStr">
        <is>
          <t>Disney+</t>
        </is>
      </c>
      <c r="J108" s="18">
        <f>HYPERLINK("https://www.disneyplus.com/video/2467b031-3144-40b8-a3c2-55160986820d?cid=DTCI-Synergy-DDN-Site-Acquisition-StarWars-US-StarWars-StarWarsTheCloneWars-EN-BlogArticleEmbed-TCWChronological_StreamOnDisneyPlusCTA-NA","Watch")</f>
        <v/>
      </c>
      <c r="K108" s="22">
        <f>HYPERLINK("https://www.starwars.com/tv-shows/clone-wars/massacre-episode-guide","Season 4, Episode 19 · Episode guide")</f>
        <v/>
      </c>
    </row>
    <row r="109" ht="36" customHeight="1" s="23">
      <c r="A109" s="21" t="b">
        <v>0</v>
      </c>
      <c r="B109" s="21" t="n">
        <v>103</v>
      </c>
      <c r="C109" s="14" t="inlineStr">
        <is>
          <t>Fall of the Jedi</t>
        </is>
      </c>
      <c r="D109" s="15" t="inlineStr">
        <is>
          <t>The Clone Wars: Bounty</t>
        </is>
      </c>
      <c r="E109" s="16" t="inlineStr">
        <is>
          <t>Season 4, Episode 20</t>
        </is>
      </c>
      <c r="F109" s="15" t="inlineStr">
        <is>
          <t>Series aired October 3, 2008–May 4, 2020</t>
        </is>
      </c>
      <c r="G109" s="15" t="inlineStr">
        <is>
          <t>Canon</t>
        </is>
      </c>
      <c r="H109" s="15" t="inlineStr">
        <is>
          <t>Episode</t>
        </is>
      </c>
      <c r="I109" s="15" t="inlineStr">
        <is>
          <t>Disney+</t>
        </is>
      </c>
      <c r="J109" s="18">
        <f>HYPERLINK("https://www.disneyplus.com/video/f7e92583-e67e-4ade-8da8-f64a2b38534a?cid=DTCI-Synergy-DDN-Site-Acquisition-StarWars-US-StarWars-StarWarsTheCloneWars-EN-BlogArticleEmbed-TCWChronological_StreamOnDisneyPlusCTA-NA","Watch")</f>
        <v/>
      </c>
      <c r="K109" s="22">
        <f>HYPERLINK("https://www.starwars.com/tv-shows/clone-wars/bounty-episode-guide","Season 4, Episode 20 · Episode guide")</f>
        <v/>
      </c>
    </row>
    <row r="110" ht="36" customHeight="1" s="23">
      <c r="A110" s="21" t="b">
        <v>0</v>
      </c>
      <c r="B110" s="21" t="n">
        <v>104</v>
      </c>
      <c r="C110" s="14" t="inlineStr">
        <is>
          <t>Fall of the Jedi</t>
        </is>
      </c>
      <c r="D110" s="15" t="inlineStr">
        <is>
          <t>The Clone Wars: Brothers</t>
        </is>
      </c>
      <c r="E110" s="16" t="inlineStr">
        <is>
          <t>Season 4, Episode 21</t>
        </is>
      </c>
      <c r="F110" s="15" t="inlineStr">
        <is>
          <t>Series aired October 3, 2008–May 4, 2020</t>
        </is>
      </c>
      <c r="G110" s="15" t="inlineStr">
        <is>
          <t>Canon</t>
        </is>
      </c>
      <c r="H110" s="15" t="inlineStr">
        <is>
          <t>Episode</t>
        </is>
      </c>
      <c r="I110" s="15" t="inlineStr">
        <is>
          <t>Disney+</t>
        </is>
      </c>
      <c r="J110" s="18">
        <f>HYPERLINK("https://www.disneyplus.com/video/ea059b38-a21c-4ff2-8e64-6c3bda2d6afc?cid=DTCI-Synergy-DDN-Site-Acquisition-StarWars-US-StarWars-StarWarsTheCloneWars-EN-BlogArticleEmbed-TCWChronological_StreamOnDisneyPlusCTA-NA","Watch")</f>
        <v/>
      </c>
      <c r="K110" s="22">
        <f>HYPERLINK("https://www.starwars.com/tv-shows/clone-wars/brothers-episode-guide","Season 4, Episode 21 · Episode guide")</f>
        <v/>
      </c>
    </row>
    <row r="111" ht="36" customHeight="1" s="23">
      <c r="A111" s="21" t="b">
        <v>0</v>
      </c>
      <c r="B111" s="21" t="n">
        <v>105</v>
      </c>
      <c r="C111" s="14" t="inlineStr">
        <is>
          <t>Fall of the Jedi</t>
        </is>
      </c>
      <c r="D111" s="15" t="inlineStr">
        <is>
          <t>The Clone Wars: Revenge</t>
        </is>
      </c>
      <c r="E111" s="16" t="inlineStr">
        <is>
          <t>Season 4, Episode 22</t>
        </is>
      </c>
      <c r="F111" s="15" t="inlineStr">
        <is>
          <t>Series aired October 3, 2008–May 4, 2020</t>
        </is>
      </c>
      <c r="G111" s="15" t="inlineStr">
        <is>
          <t>Canon</t>
        </is>
      </c>
      <c r="H111" s="15" t="inlineStr">
        <is>
          <t>Episode</t>
        </is>
      </c>
      <c r="I111" s="15" t="inlineStr">
        <is>
          <t>Disney+</t>
        </is>
      </c>
      <c r="J111" s="18">
        <f>HYPERLINK("https://www.disneyplus.com/video/6a302c32-b9bb-4d73-b69d-7698df40ae54?cid=DTCI-Synergy-DDN-Site-Acquisition-StarWars-US-StarWars-StarWarsTheCloneWars-EN-BlogArticleEmbed-TCWChronological_StreamOnDisneyPlusCTA-NA","Watch")</f>
        <v/>
      </c>
      <c r="K111" s="22">
        <f>HYPERLINK("https://www.starwars.com/tv-shows/clone-wars/revenge-episode-guide","Season 4, Episode 22 · Episode guide")</f>
        <v/>
      </c>
    </row>
    <row r="112" ht="36" customHeight="1" s="23">
      <c r="A112" s="21" t="b">
        <v>0</v>
      </c>
      <c r="B112" s="21" t="n">
        <v>106</v>
      </c>
      <c r="C112" s="14" t="inlineStr">
        <is>
          <t>Fall of the Jedi</t>
        </is>
      </c>
      <c r="D112" s="15" t="inlineStr">
        <is>
          <t>The Clone Wars: A War on Two Fronts</t>
        </is>
      </c>
      <c r="E112" s="16" t="inlineStr">
        <is>
          <t>Season 5, Episode 2</t>
        </is>
      </c>
      <c r="F112" s="15" t="inlineStr">
        <is>
          <t>Series aired October 3, 2008–May 4, 2020</t>
        </is>
      </c>
      <c r="G112" s="15" t="inlineStr">
        <is>
          <t>Canon</t>
        </is>
      </c>
      <c r="H112" s="15" t="inlineStr">
        <is>
          <t>Episode</t>
        </is>
      </c>
      <c r="I112" s="15" t="inlineStr">
        <is>
          <t>Disney+</t>
        </is>
      </c>
      <c r="J112" s="18">
        <f>HYPERLINK("https://www.disneyplus.com/video/ede2e807-00f4-4c49-b634-16d7826ef47a?cid=DTCI-Synergy-DDN-Site-Acquisition-StarWars-US-StarWars-StarWarsTheCloneWars-EN-BlogArticleEmbed-TCWChronological_StreamOnDisneyPlusCTA-NA","Watch")</f>
        <v/>
      </c>
      <c r="K112" s="22">
        <f>HYPERLINK("https://www.starwars.com/tv-shows/clone-wars/a-war-on-two-fronts-episode-guide","Season 5, Episode 2 · Episode guide")</f>
        <v/>
      </c>
    </row>
    <row r="113" ht="36" customHeight="1" s="23">
      <c r="A113" s="21" t="b">
        <v>0</v>
      </c>
      <c r="B113" s="21" t="n">
        <v>107</v>
      </c>
      <c r="C113" s="14" t="inlineStr">
        <is>
          <t>Fall of the Jedi</t>
        </is>
      </c>
      <c r="D113" s="15" t="inlineStr">
        <is>
          <t>The Clone Wars: Front Runners</t>
        </is>
      </c>
      <c r="E113" s="16" t="inlineStr">
        <is>
          <t>Season 5, Episode 3</t>
        </is>
      </c>
      <c r="F113" s="15" t="inlineStr">
        <is>
          <t>Series aired October 3, 2008–May 4, 2020</t>
        </is>
      </c>
      <c r="G113" s="15" t="inlineStr">
        <is>
          <t>Canon</t>
        </is>
      </c>
      <c r="H113" s="15" t="inlineStr">
        <is>
          <t>Episode</t>
        </is>
      </c>
      <c r="I113" s="15" t="inlineStr">
        <is>
          <t>Disney+</t>
        </is>
      </c>
      <c r="J113" s="18">
        <f>HYPERLINK("https://www.disneyplus.com/video/e834cd28-5335-43c7-a5f1-9814431f414c?cid=DTCI-Synergy-DDN-Site-Acquisition-StarWars-US-StarWars-StarWarsTheCloneWars-EN-BlogArticleEmbed-TCWChronological_StreamOnDisneyPlusCTA-NA","Watch")</f>
        <v/>
      </c>
      <c r="K113" s="22">
        <f>HYPERLINK("https://www.starwars.com/tv-shows/clone-wars/front-runners-episode-guide","Season 5, Episode 3 · Episode guide")</f>
        <v/>
      </c>
    </row>
    <row r="114" ht="36" customHeight="1" s="23">
      <c r="A114" s="21" t="b">
        <v>0</v>
      </c>
      <c r="B114" s="21" t="n">
        <v>108</v>
      </c>
      <c r="C114" s="14" t="inlineStr">
        <is>
          <t>Fall of the Jedi</t>
        </is>
      </c>
      <c r="D114" s="15" t="inlineStr">
        <is>
          <t>The Clone Wars: The Soft War</t>
        </is>
      </c>
      <c r="E114" s="16" t="inlineStr">
        <is>
          <t>Season 5, Episode 4</t>
        </is>
      </c>
      <c r="F114" s="15" t="inlineStr">
        <is>
          <t>Series aired October 3, 2008–May 4, 2020</t>
        </is>
      </c>
      <c r="G114" s="15" t="inlineStr">
        <is>
          <t>Canon</t>
        </is>
      </c>
      <c r="H114" s="15" t="inlineStr">
        <is>
          <t>Episode</t>
        </is>
      </c>
      <c r="I114" s="15" t="inlineStr">
        <is>
          <t>Disney+</t>
        </is>
      </c>
      <c r="J114" s="18">
        <f>HYPERLINK("https://www.disneyplus.com/video/bda5b155-0414-458c-9c65-457697ae8fb5?cid=DTCI-Synergy-DDN-Site-Acquisition-StarWars-US-StarWars-StarWarsTheCloneWars-EN-BlogArticleEmbed-TCWChronological_StreamOnDisneyPlusCTA-NA","Watch")</f>
        <v/>
      </c>
      <c r="K114" s="22">
        <f>HYPERLINK("https://www.starwars.com/tv-shows/clone-wars/the-soft-war-episode-guide","Season 5, Episode 4 · Episode guide")</f>
        <v/>
      </c>
    </row>
    <row r="115" ht="36" customHeight="1" s="23">
      <c r="A115" s="21" t="b">
        <v>0</v>
      </c>
      <c r="B115" s="21" t="n">
        <v>109</v>
      </c>
      <c r="C115" s="14" t="inlineStr">
        <is>
          <t>Fall of the Jedi</t>
        </is>
      </c>
      <c r="D115" s="15" t="inlineStr">
        <is>
          <t>The Clone Wars: Tipping Points</t>
        </is>
      </c>
      <c r="E115" s="16" t="inlineStr">
        <is>
          <t>Season 5, Episode 5</t>
        </is>
      </c>
      <c r="F115" s="15" t="inlineStr">
        <is>
          <t>Series aired October 3, 2008–May 4, 2020</t>
        </is>
      </c>
      <c r="G115" s="15" t="inlineStr">
        <is>
          <t>Canon</t>
        </is>
      </c>
      <c r="H115" s="15" t="inlineStr">
        <is>
          <t>Episode</t>
        </is>
      </c>
      <c r="I115" s="15" t="inlineStr">
        <is>
          <t>Disney+</t>
        </is>
      </c>
      <c r="J115" s="18">
        <f>HYPERLINK("https://www.disneyplus.com/video/682b3543-c8ae-4f19-99f9-411bb43a0467?cid=DTCI-Synergy-DDN-Site-Acquisition-StarWars-US-StarWars-StarWarsTheCloneWars-EN-BlogArticleEmbed-TCWChronological_StreamOnDisneyPlusCTA-NA","Watch")</f>
        <v/>
      </c>
      <c r="K115" s="22">
        <f>HYPERLINK("https://www.starwars.com/tv-shows/clone-wars/tipping-points-episode-guide","Season 5, Episode 5 · Episode guide")</f>
        <v/>
      </c>
    </row>
    <row r="116" ht="36" customHeight="1" s="23">
      <c r="A116" s="21" t="b">
        <v>0</v>
      </c>
      <c r="B116" s="21" t="n">
        <v>110</v>
      </c>
      <c r="C116" s="14" t="inlineStr">
        <is>
          <t>Fall of the Jedi</t>
        </is>
      </c>
      <c r="D116" s="15" t="inlineStr">
        <is>
          <t>The Clone Wars: The Gathering</t>
        </is>
      </c>
      <c r="E116" s="16" t="inlineStr">
        <is>
          <t>Season 5, Episode 6</t>
        </is>
      </c>
      <c r="F116" s="15" t="inlineStr">
        <is>
          <t>Series aired October 3, 2008–May 4, 2020</t>
        </is>
      </c>
      <c r="G116" s="15" t="inlineStr">
        <is>
          <t>Canon</t>
        </is>
      </c>
      <c r="H116" s="15" t="inlineStr">
        <is>
          <t>Episode</t>
        </is>
      </c>
      <c r="I116" s="15" t="inlineStr">
        <is>
          <t>Disney+</t>
        </is>
      </c>
      <c r="J116" s="18">
        <f>HYPERLINK("https://www.disneyplus.com/video/dce32899-0e62-479d-b33a-37ca69ad9565?cid=DTCI-Synergy-DDN-Site-Acquisition-StarWars-US-StarWars-StarWarsTheCloneWars-EN-BlogArticleEmbed-TCWChronological_StreamOnDisneyPlusCTA-NA","Watch")</f>
        <v/>
      </c>
      <c r="K116" s="22">
        <f>HYPERLINK("https://www.starwars.com/tv-shows/clone-wars/the-gathering-episode-guide","Season 5, Episode 6 · Episode guide")</f>
        <v/>
      </c>
    </row>
    <row r="117" ht="15.75" customHeight="1" s="23">
      <c r="A117" s="21" t="b">
        <v>0</v>
      </c>
      <c r="B117" s="21" t="n">
        <v>111</v>
      </c>
      <c r="C117" s="14" t="inlineStr">
        <is>
          <t>Fall of the Jedi</t>
        </is>
      </c>
      <c r="D117" s="15" t="inlineStr">
        <is>
          <t>The Clone Wars: A Test of Strength</t>
        </is>
      </c>
      <c r="E117" s="16" t="inlineStr">
        <is>
          <t>Season 5, Episode 7</t>
        </is>
      </c>
      <c r="F117" s="15" t="inlineStr">
        <is>
          <t>Series aired October 3, 2008–May 4, 2020</t>
        </is>
      </c>
      <c r="G117" s="15" t="inlineStr">
        <is>
          <t>Canon</t>
        </is>
      </c>
      <c r="H117" s="15" t="inlineStr">
        <is>
          <t>Episode</t>
        </is>
      </c>
      <c r="I117" s="15" t="inlineStr">
        <is>
          <t>Disney+</t>
        </is>
      </c>
      <c r="J117" s="18">
        <f>HYPERLINK("https://www.disneyplus.com/video/da339c6c-de91-40f2-a091-09cb11a80f17?cid=DTCI-Synergy-DDN-Site-Acquisition-StarWars-US-StarWars-StarWarsTheCloneWars-EN-BlogArticleEmbed-TCWChronological_StreamOnDisneyPlusCTA-NA","Watch")</f>
        <v/>
      </c>
      <c r="K117" s="22">
        <f>HYPERLINK("https://www.starwars.com/tv-shows/clone-wars/a-test-of-strength-episode-guide","Season 5, Episode 7 · Episode guide")</f>
        <v/>
      </c>
    </row>
    <row r="118" ht="15.75" customHeight="1" s="23">
      <c r="A118" s="21" t="b">
        <v>0</v>
      </c>
      <c r="B118" s="21" t="n">
        <v>112</v>
      </c>
      <c r="C118" s="14" t="inlineStr">
        <is>
          <t>Fall of the Jedi</t>
        </is>
      </c>
      <c r="D118" s="15" t="inlineStr">
        <is>
          <t>The Clone Wars: Bound for Rescue</t>
        </is>
      </c>
      <c r="E118" s="16" t="inlineStr">
        <is>
          <t>Season 5, Episode 8</t>
        </is>
      </c>
      <c r="F118" s="15" t="inlineStr">
        <is>
          <t>Series aired October 3, 2008–May 4, 2020</t>
        </is>
      </c>
      <c r="G118" s="15" t="inlineStr">
        <is>
          <t>Canon</t>
        </is>
      </c>
      <c r="H118" s="15" t="inlineStr">
        <is>
          <t>Episode</t>
        </is>
      </c>
      <c r="I118" s="15" t="inlineStr">
        <is>
          <t>Disney+</t>
        </is>
      </c>
      <c r="J118" s="18">
        <f>HYPERLINK("https://www.disneyplus.com/video/8cc2c6fb-ec6b-406e-a334-bb44f2fed008?cid=DTCI-Synergy-DDN-Site-Acquisition-StarWars-US-StarWars-StarWarsTheCloneWars-EN-BlogArticleEmbed-TCWChronological_StreamOnDisneyPlusCTA-NA","Watch")</f>
        <v/>
      </c>
      <c r="K118" s="22">
        <f>HYPERLINK("https://www.starwars.com/series/clone-wars/bound-for-rescue-episode-guide","Season 5, Episode 8 · Episode guide")</f>
        <v/>
      </c>
    </row>
    <row r="119" ht="15.75" customHeight="1" s="23">
      <c r="A119" s="21" t="b">
        <v>0</v>
      </c>
      <c r="B119" s="21" t="n">
        <v>113</v>
      </c>
      <c r="C119" s="14" t="inlineStr">
        <is>
          <t>Fall of the Jedi</t>
        </is>
      </c>
      <c r="D119" s="15" t="inlineStr">
        <is>
          <t>The Clone Wars: A Necessary Bond</t>
        </is>
      </c>
      <c r="E119" s="16" t="inlineStr">
        <is>
          <t>Season 5, Episode 9</t>
        </is>
      </c>
      <c r="F119" s="15" t="inlineStr">
        <is>
          <t>Series aired October 3, 2008–May 4, 2020</t>
        </is>
      </c>
      <c r="G119" s="15" t="inlineStr">
        <is>
          <t>Canon</t>
        </is>
      </c>
      <c r="H119" s="15" t="inlineStr">
        <is>
          <t>Episode</t>
        </is>
      </c>
      <c r="I119" s="15" t="inlineStr">
        <is>
          <t>Disney+</t>
        </is>
      </c>
      <c r="J119" s="18">
        <f>HYPERLINK("https://www.disneyplus.com/video/06eb2462-5d0c-42a9-a1b4-acc9ccfd109e?cid=DTCI-Synergy-DDN-Site-Acquisition-StarWars-US-StarWars-StarWarsTheCloneWars-EN-BlogArticleEmbed-TCWChronological_StreamOnDisneyPlusCTA-NA","Watch")</f>
        <v/>
      </c>
      <c r="K119" s="22">
        <f>HYPERLINK("https://www.starwars.com/series/clone-wars/a-necessary-bond-episode-guide","Season 5, Episode 9 · Episode guide")</f>
        <v/>
      </c>
    </row>
    <row r="120" ht="15.75" customHeight="1" s="23">
      <c r="A120" s="21" t="b">
        <v>0</v>
      </c>
      <c r="B120" s="21" t="n">
        <v>114</v>
      </c>
      <c r="C120" s="14" t="inlineStr">
        <is>
          <t>Fall of the Jedi</t>
        </is>
      </c>
      <c r="D120" s="15" t="inlineStr">
        <is>
          <t>The Clone Wars: Secret Weapons</t>
        </is>
      </c>
      <c r="E120" s="16" t="inlineStr">
        <is>
          <t>Season 5, Episode 10</t>
        </is>
      </c>
      <c r="F120" s="15" t="inlineStr">
        <is>
          <t>Series aired October 3, 2008–May 4, 2020</t>
        </is>
      </c>
      <c r="G120" s="15" t="inlineStr">
        <is>
          <t>Canon</t>
        </is>
      </c>
      <c r="H120" s="15" t="inlineStr">
        <is>
          <t>Episode</t>
        </is>
      </c>
      <c r="I120" s="15" t="inlineStr">
        <is>
          <t>Disney+</t>
        </is>
      </c>
      <c r="J120" s="18">
        <f>HYPERLINK("https://www.disneyplus.com/video/29f4f86d-1c16-47b5-9f2c-9df1e58fc01f?cid=DTCI-Synergy-DDN-Site-Acquisition-StarWars-US-StarWars-StarWarsTheCloneWars-EN-BlogArticleEmbed-TCWChronological_StreamOnDisneyPlusCTA-NA","Watch")</f>
        <v/>
      </c>
      <c r="K120" s="22">
        <f>HYPERLINK("https://www.starwars.com/tv-shows/clone-wars/secret-weapons-episode-guide","Season 5, Episode 10 · Episode guide")</f>
        <v/>
      </c>
    </row>
    <row r="121" ht="15.75" customHeight="1" s="23">
      <c r="A121" s="21" t="b">
        <v>0</v>
      </c>
      <c r="B121" s="21" t="n">
        <v>115</v>
      </c>
      <c r="C121" s="14" t="inlineStr">
        <is>
          <t>Fall of the Jedi</t>
        </is>
      </c>
      <c r="D121" s="15" t="inlineStr">
        <is>
          <t>The Clone Wars: A Sunny Day in the Void</t>
        </is>
      </c>
      <c r="E121" s="16" t="inlineStr">
        <is>
          <t>Season 5, Episode 11</t>
        </is>
      </c>
      <c r="F121" s="15" t="inlineStr">
        <is>
          <t>Series aired October 3, 2008–May 4, 2020</t>
        </is>
      </c>
      <c r="G121" s="15" t="inlineStr">
        <is>
          <t>Canon</t>
        </is>
      </c>
      <c r="H121" s="15" t="inlineStr">
        <is>
          <t>Episode</t>
        </is>
      </c>
      <c r="I121" s="15" t="inlineStr">
        <is>
          <t>Disney+</t>
        </is>
      </c>
      <c r="J121" s="18">
        <f>HYPERLINK("https://www.disneyplus.com/video/9c96ac8c-2f1e-463e-8361-218fb2796aff?cid=DTCI-Synergy-DDN-Site-Acquisition-StarWars-US-StarWars-StarWarsTheCloneWars-EN-BlogArticleEmbed-TCWChronological_StreamOnDisneyPlusCTA-NA","Watch")</f>
        <v/>
      </c>
      <c r="K121" s="22">
        <f>HYPERLINK("https://www.starwars.com/tv-shows/clone-wars/a-sunny-day-in-the-void-episode-guide","Season 5, Episode 11 · Episode guide")</f>
        <v/>
      </c>
    </row>
    <row r="122" ht="15.75" customHeight="1" s="23">
      <c r="A122" s="21" t="b">
        <v>0</v>
      </c>
      <c r="B122" s="21" t="n">
        <v>116</v>
      </c>
      <c r="C122" s="14" t="inlineStr">
        <is>
          <t>Fall of the Jedi</t>
        </is>
      </c>
      <c r="D122" s="15" t="inlineStr">
        <is>
          <t>The Clone Wars: Missing in Action</t>
        </is>
      </c>
      <c r="E122" s="16" t="inlineStr">
        <is>
          <t>Season 5, Episode 12</t>
        </is>
      </c>
      <c r="F122" s="15" t="inlineStr">
        <is>
          <t>Series aired October 3, 2008–May 4, 2020</t>
        </is>
      </c>
      <c r="G122" s="15" t="inlineStr">
        <is>
          <t>Canon</t>
        </is>
      </c>
      <c r="H122" s="15" t="inlineStr">
        <is>
          <t>Episode</t>
        </is>
      </c>
      <c r="I122" s="15" t="inlineStr">
        <is>
          <t>Disney+</t>
        </is>
      </c>
      <c r="J122" s="18">
        <f>HYPERLINK("https://www.disneyplus.com/video/3f8328ff-925d-4554-808c-5dc2c03c5df7?cid=DTCI-Synergy-DDN-Site-Acquisition-StarWars-US-StarWars-StarWarsTheCloneWars-EN-BlogArticleEmbed-TCWChronological_StreamOnDisneyPlusCTA-NA","Watch")</f>
        <v/>
      </c>
      <c r="K122" s="22">
        <f>HYPERLINK("https://www.starwars.com/tv-shows/clone-wars/missing-in-action-episode-guide","Season 5, Episode 12 · Episode guide")</f>
        <v/>
      </c>
    </row>
    <row r="123" ht="15.75" customHeight="1" s="23">
      <c r="A123" s="21" t="b">
        <v>0</v>
      </c>
      <c r="B123" s="21" t="n">
        <v>117</v>
      </c>
      <c r="C123" s="14" t="inlineStr">
        <is>
          <t>Fall of the Jedi</t>
        </is>
      </c>
      <c r="D123" s="15" t="inlineStr">
        <is>
          <t>The Clone Wars: Point of No Return</t>
        </is>
      </c>
      <c r="E123" s="16" t="inlineStr">
        <is>
          <t>Season 5, Episode 13</t>
        </is>
      </c>
      <c r="F123" s="15" t="inlineStr">
        <is>
          <t>Series aired October 3, 2008–May 4, 2020</t>
        </is>
      </c>
      <c r="G123" s="15" t="inlineStr">
        <is>
          <t>Canon</t>
        </is>
      </c>
      <c r="H123" s="15" t="inlineStr">
        <is>
          <t>Episode</t>
        </is>
      </c>
      <c r="I123" s="15" t="inlineStr">
        <is>
          <t>Disney+</t>
        </is>
      </c>
      <c r="J123" s="18">
        <f>HYPERLINK("https://www.disneyplus.com/video/7fd11383-337a-43ef-a633-94f357cc511a?cid=DTCI-Synergy-DDN-Site-Acquisition-StarWars-US-StarWars-StarWarsTheCloneWars-EN-BlogArticleEmbed-TCWChronological_StreamOnDisneyPlusCTA-NA","Watch")</f>
        <v/>
      </c>
      <c r="K123" s="22">
        <f>HYPERLINK("https://www.starwars.com/tv-shows/clone-wars/point-of-no-return-episode-guide","Season 5, Episode 13 · Episode guide")</f>
        <v/>
      </c>
    </row>
    <row r="124" ht="15.75" customHeight="1" s="23">
      <c r="A124" s="21" t="b">
        <v>0</v>
      </c>
      <c r="B124" s="21" t="n">
        <v>118</v>
      </c>
      <c r="C124" s="14" t="inlineStr">
        <is>
          <t>Fall of the Jedi</t>
        </is>
      </c>
      <c r="D124" s="15" t="inlineStr">
        <is>
          <t>The Clone Wars: Revival</t>
        </is>
      </c>
      <c r="E124" s="16" t="inlineStr">
        <is>
          <t>Season 5, Episode 1</t>
        </is>
      </c>
      <c r="F124" s="15" t="inlineStr">
        <is>
          <t>Series aired October 3, 2008–May 4, 2020</t>
        </is>
      </c>
      <c r="G124" s="15" t="inlineStr">
        <is>
          <t>Canon</t>
        </is>
      </c>
      <c r="H124" s="15" t="inlineStr">
        <is>
          <t>Episode</t>
        </is>
      </c>
      <c r="I124" s="15" t="inlineStr">
        <is>
          <t>Disney+</t>
        </is>
      </c>
      <c r="J124" s="18">
        <f>HYPERLINK("https://www.disneyplus.com/video/46bf27c0-bc74-404a-98de-56bbe187d941?cid=DTCI-Synergy-DDN-Site-Acquisition-StarWars-US-StarWars-StarWarsTheCloneWars-EN-BlogArticleEmbed-TCWChronological_StreamOnDisneyPlusCTA-NA","Watch")</f>
        <v/>
      </c>
      <c r="K124" s="22">
        <f>HYPERLINK("https://www.starwars.com/tv-shows/clone-wars/revival-episode-guide","Season 5, Episode 1 · Episode guide")</f>
        <v/>
      </c>
    </row>
    <row r="125" ht="15.75" customHeight="1" s="23">
      <c r="A125" s="21" t="b">
        <v>0</v>
      </c>
      <c r="B125" s="21" t="n">
        <v>119</v>
      </c>
      <c r="C125" s="14" t="inlineStr">
        <is>
          <t>Fall of the Jedi</t>
        </is>
      </c>
      <c r="D125" s="15" t="inlineStr">
        <is>
          <t>The Clone Wars: Eminence</t>
        </is>
      </c>
      <c r="E125" s="16" t="inlineStr">
        <is>
          <t>Season 5, Episode 14</t>
        </is>
      </c>
      <c r="F125" s="15" t="inlineStr">
        <is>
          <t>Series aired October 3, 2008–May 4, 2020</t>
        </is>
      </c>
      <c r="G125" s="15" t="inlineStr">
        <is>
          <t>Canon</t>
        </is>
      </c>
      <c r="H125" s="15" t="inlineStr">
        <is>
          <t>Episode</t>
        </is>
      </c>
      <c r="I125" s="15" t="inlineStr">
        <is>
          <t>Disney+</t>
        </is>
      </c>
      <c r="J125" s="18">
        <f>HYPERLINK("https://www.disneyplus.com/video/bce6b831-36ff-4ef7-9c85-7ae8030cdbcb?cid=DTCI-Synergy-DDN-Site-Acquisition-StarWars-US-StarWars-StarWarsTheCloneWars-EN-BlogArticleEmbed-TCWChronological_StreamOnDisneyPlusCTA-NA","Watch")</f>
        <v/>
      </c>
      <c r="K125" s="22">
        <f>HYPERLINK("https://www.starwars.com/tv-shows/clone-wars/eminence-episode-guide","Season 5, Episode 14 · Episode guide")</f>
        <v/>
      </c>
    </row>
    <row r="126" ht="15.75" customHeight="1" s="23">
      <c r="A126" s="21" t="b">
        <v>0</v>
      </c>
      <c r="B126" s="21" t="n">
        <v>120</v>
      </c>
      <c r="C126" s="14" t="inlineStr">
        <is>
          <t>Fall of the Jedi</t>
        </is>
      </c>
      <c r="D126" s="15" t="inlineStr">
        <is>
          <t>The Clone Wars: Shades of Reason</t>
        </is>
      </c>
      <c r="E126" s="16" t="inlineStr">
        <is>
          <t>Season 5, Episode 15</t>
        </is>
      </c>
      <c r="F126" s="15" t="inlineStr">
        <is>
          <t>Series aired October 3, 2008–May 4, 2020</t>
        </is>
      </c>
      <c r="G126" s="15" t="inlineStr">
        <is>
          <t>Canon</t>
        </is>
      </c>
      <c r="H126" s="15" t="inlineStr">
        <is>
          <t>Episode</t>
        </is>
      </c>
      <c r="I126" s="15" t="inlineStr">
        <is>
          <t>Disney+</t>
        </is>
      </c>
      <c r="J126" s="18">
        <f>HYPERLINK("https://www.disneyplus.com/video/9fce5334-6a7b-4308-9d90-e50e579b5cbb?cid=DTCI-Synergy-DDN-Site-Acquisition-StarWars-US-StarWars-StarWarsTheCloneWars-EN-BlogArticleEmbed-TCWChronological_StreamOnDisneyPlusCTA-NA","Watch")</f>
        <v/>
      </c>
      <c r="K126" s="22">
        <f>HYPERLINK("https://www.starwars.com/tv-shows/clone-wars/shades-of-reason-episode-guide","Season 5, Episode 15 · Episode guide")</f>
        <v/>
      </c>
    </row>
    <row r="127" ht="15.75" customHeight="1" s="23">
      <c r="A127" s="21" t="b">
        <v>0</v>
      </c>
      <c r="B127" s="21" t="n">
        <v>121</v>
      </c>
      <c r="C127" s="14" t="inlineStr">
        <is>
          <t>Fall of the Jedi</t>
        </is>
      </c>
      <c r="D127" s="15" t="inlineStr">
        <is>
          <t>The Clone Wars: The Lawless</t>
        </is>
      </c>
      <c r="E127" s="16" t="inlineStr">
        <is>
          <t>Season 5, Episode 16</t>
        </is>
      </c>
      <c r="F127" s="15" t="inlineStr">
        <is>
          <t>Series aired October 3, 2008–May 4, 2020</t>
        </is>
      </c>
      <c r="G127" s="15" t="inlineStr">
        <is>
          <t>Canon</t>
        </is>
      </c>
      <c r="H127" s="15" t="inlineStr">
        <is>
          <t>Episode</t>
        </is>
      </c>
      <c r="I127" s="15" t="inlineStr">
        <is>
          <t>Disney+</t>
        </is>
      </c>
      <c r="J127" s="18">
        <f>HYPERLINK("https://www.disneyplus.com/video/13bc0d23-46f6-4650-952c-57a19aac17bd?cid=DTCI-Synergy-DDN-Site-Acquisition-StarWars-US-StarWars-StarWarsTheCloneWars-EN-BlogArticleEmbed-TCWChronological_StreamOnDisneyPlusCTA-NA","Watch")</f>
        <v/>
      </c>
      <c r="K127" s="22">
        <f>HYPERLINK("https://www.starwars.com/tv-shows/clone-wars/the-lawless-episode-guide","Season 5, Episode 16 · Episode guide")</f>
        <v/>
      </c>
    </row>
    <row r="128" ht="15.75" customHeight="1" s="23">
      <c r="A128" s="21" t="b">
        <v>0</v>
      </c>
      <c r="B128" s="21" t="n">
        <v>122</v>
      </c>
      <c r="C128" s="14" t="inlineStr">
        <is>
          <t>Fall of the Jedi</t>
        </is>
      </c>
      <c r="D128" s="15" t="inlineStr">
        <is>
          <t>The Clone Wars: Sabotage</t>
        </is>
      </c>
      <c r="E128" s="16" t="inlineStr">
        <is>
          <t>Season 5, Episode 17</t>
        </is>
      </c>
      <c r="F128" s="15" t="inlineStr">
        <is>
          <t>Series aired October 3, 2008–May 4, 2020</t>
        </is>
      </c>
      <c r="G128" s="15" t="inlineStr">
        <is>
          <t>Canon</t>
        </is>
      </c>
      <c r="H128" s="15" t="inlineStr">
        <is>
          <t>Episode</t>
        </is>
      </c>
      <c r="I128" s="15" t="inlineStr">
        <is>
          <t>Disney+</t>
        </is>
      </c>
      <c r="J128" s="18">
        <f>HYPERLINK("https://www.disneyplus.com/video/17176f47-85e5-4687-ae84-a3d7f6984415?cid=DTCI-Synergy-DDN-Site-Acquisition-StarWars-US-StarWars-StarWarsTheCloneWars-EN-BlogArticleEmbed-TCWChronological_StreamOnDisneyPlusCTA-NA","Watch")</f>
        <v/>
      </c>
      <c r="K128" s="22">
        <f>HYPERLINK("https://www.starwars.com/tv-shows/clone-wars/sabotage-episode-guide","Season 5, Episode 17 · Episode guide")</f>
        <v/>
      </c>
    </row>
    <row r="129" ht="15.75" customHeight="1" s="23">
      <c r="A129" s="21" t="b">
        <v>0</v>
      </c>
      <c r="B129" s="21" t="n">
        <v>123</v>
      </c>
      <c r="C129" s="14" t="inlineStr">
        <is>
          <t>Fall of the Jedi</t>
        </is>
      </c>
      <c r="D129" s="15" t="inlineStr">
        <is>
          <t>The Clone Wars: The Jedi Who Knew Too Much</t>
        </is>
      </c>
      <c r="E129" s="16" t="inlineStr">
        <is>
          <t>Season 5, Episode 18</t>
        </is>
      </c>
      <c r="F129" s="15" t="inlineStr">
        <is>
          <t>Series aired October 3, 2008–May 4, 2020</t>
        </is>
      </c>
      <c r="G129" s="15" t="inlineStr">
        <is>
          <t>Canon</t>
        </is>
      </c>
      <c r="H129" s="15" t="inlineStr">
        <is>
          <t>Episode</t>
        </is>
      </c>
      <c r="I129" s="15" t="inlineStr">
        <is>
          <t>Disney+</t>
        </is>
      </c>
      <c r="J129" s="18">
        <f>HYPERLINK("https://www.disneyplus.com/video/a799d6f3-a50e-4be0-b8f2-8102f11c1bb7?cid=DTCI-Synergy-DDN-Site-Acquisition-StarWars-US-StarWars-StarWarsTheCloneWars-EN-BlogArticleEmbed-TCWChronological_StreamOnDisneyPlusCTA-NA","Watch")</f>
        <v/>
      </c>
      <c r="K129" s="22">
        <f>HYPERLINK("https://www.starwars.com/tv-shows/clone-wars/the-jedi-who-knew-too-much-episode-guide","Season 5, Episode 18 · Episode guide")</f>
        <v/>
      </c>
    </row>
    <row r="130" ht="15.75" customHeight="1" s="23">
      <c r="A130" s="21" t="b">
        <v>0</v>
      </c>
      <c r="B130" s="21" t="n">
        <v>124</v>
      </c>
      <c r="C130" s="14" t="inlineStr">
        <is>
          <t>Fall of the Jedi</t>
        </is>
      </c>
      <c r="D130" s="15" t="inlineStr">
        <is>
          <t>The Clone Wars: To Catch a Jedi</t>
        </is>
      </c>
      <c r="E130" s="16" t="inlineStr">
        <is>
          <t>Season 5, Episode 19</t>
        </is>
      </c>
      <c r="F130" s="15" t="inlineStr">
        <is>
          <t>Series aired October 3, 2008–May 4, 2020</t>
        </is>
      </c>
      <c r="G130" s="15" t="inlineStr">
        <is>
          <t>Canon</t>
        </is>
      </c>
      <c r="H130" s="15" t="inlineStr">
        <is>
          <t>Episode</t>
        </is>
      </c>
      <c r="I130" s="15" t="inlineStr">
        <is>
          <t>Disney+</t>
        </is>
      </c>
      <c r="J130" s="18">
        <f>HYPERLINK("https://www.disneyplus.com/video/d504b77e-8c64-44a4-b051-ca5e9300d4a9?cid=DTCI-Synergy-DDN-Site-Acquisition-StarWars-US-StarWars-StarWarsTheCloneWars-EN-BlogArticleEmbed-TCWChronological_StreamOnDisneyPlusCTA-NA","Watch")</f>
        <v/>
      </c>
      <c r="K130" s="22">
        <f>HYPERLINK("https://www.starwars.com/tv-shows/clone-wars/to-catch-a-jedi-episode-guide","Season 5, Episode 19 · Episode guide")</f>
        <v/>
      </c>
    </row>
    <row r="131" ht="15.75" customHeight="1" s="23">
      <c r="A131" s="21" t="b">
        <v>0</v>
      </c>
      <c r="B131" s="21" t="n">
        <v>125</v>
      </c>
      <c r="C131" s="14" t="inlineStr">
        <is>
          <t>Fall of the Jedi</t>
        </is>
      </c>
      <c r="D131" s="15" t="inlineStr">
        <is>
          <t>The Clone Wars: The Wrong Jedi</t>
        </is>
      </c>
      <c r="E131" s="16" t="inlineStr">
        <is>
          <t>Season 5, Episode 20</t>
        </is>
      </c>
      <c r="F131" s="15" t="inlineStr">
        <is>
          <t>Series aired October 3, 2008–May 4, 2020</t>
        </is>
      </c>
      <c r="G131" s="15" t="inlineStr">
        <is>
          <t>Canon</t>
        </is>
      </c>
      <c r="H131" s="15" t="inlineStr">
        <is>
          <t>Episode</t>
        </is>
      </c>
      <c r="I131" s="15" t="inlineStr">
        <is>
          <t>Disney+</t>
        </is>
      </c>
      <c r="J131" s="18">
        <f>HYPERLINK("https://www.disneyplus.com/video/c09fcde1-1b4d-40da-af52-5d8fa0611a53?cid=DTCI-Synergy-DDN-Site-Acquisition-StarWars-US-StarWars-StarWarsTheCloneWars-EN-BlogArticleEmbed-TCWChronological_StreamOnDisneyPlusCTA-NA","Watch")</f>
        <v/>
      </c>
      <c r="K131" s="22">
        <f>HYPERLINK("https://www.starwars.com/tv-shows/clone-wars/the-wrong-jedi-episode-guide","Season 5, Episode 20 · Episode guide")</f>
        <v/>
      </c>
    </row>
    <row r="132" ht="15.75" customHeight="1" s="23">
      <c r="A132" s="21" t="b">
        <v>0</v>
      </c>
      <c r="B132" s="21" t="n">
        <v>126</v>
      </c>
      <c r="C132" s="14" t="inlineStr">
        <is>
          <t>Fall of the Jedi</t>
        </is>
      </c>
      <c r="D132" s="15" t="inlineStr">
        <is>
          <t>The Clone Wars: The Unknown</t>
        </is>
      </c>
      <c r="E132" s="16" t="inlineStr">
        <is>
          <t>Season 6, Episode 1</t>
        </is>
      </c>
      <c r="F132" s="15" t="inlineStr">
        <is>
          <t>Series aired October 3, 2008–May 4, 2020</t>
        </is>
      </c>
      <c r="G132" s="15" t="inlineStr">
        <is>
          <t>Canon</t>
        </is>
      </c>
      <c r="H132" s="15" t="inlineStr">
        <is>
          <t>Episode</t>
        </is>
      </c>
      <c r="I132" s="15" t="inlineStr">
        <is>
          <t>Disney+</t>
        </is>
      </c>
      <c r="J132" s="18">
        <f>HYPERLINK("https://www.disneyplus.com/video/ec135b2d-d990-4564-99d4-2e3a2ee866bd?cid=DTCI-Synergy-DDN-Site-Acquisition-StarWars-US-StarWars-StarWarsTheCloneWars-EN-BlogArticleEmbed-TCWChronological_StreamOnDisneyPlusCTA-NA","Watch")</f>
        <v/>
      </c>
      <c r="K132" s="22">
        <f>HYPERLINK("https://www.starwars.com/tv-shows/clone-wars/the-unknown-episode-guide","Season 6, Episode 1 · Episode guide")</f>
        <v/>
      </c>
    </row>
    <row r="133" ht="15.75" customHeight="1" s="23">
      <c r="A133" s="21" t="b">
        <v>0</v>
      </c>
      <c r="B133" s="21" t="n">
        <v>127</v>
      </c>
      <c r="C133" s="14" t="inlineStr">
        <is>
          <t>Fall of the Jedi</t>
        </is>
      </c>
      <c r="D133" s="15" t="inlineStr">
        <is>
          <t>The Clone Wars: Conspiracy</t>
        </is>
      </c>
      <c r="E133" s="16" t="inlineStr">
        <is>
          <t>Season 6, Episode 2</t>
        </is>
      </c>
      <c r="F133" s="15" t="inlineStr">
        <is>
          <t>Series aired October 3, 2008–May 4, 2020</t>
        </is>
      </c>
      <c r="G133" s="15" t="inlineStr">
        <is>
          <t>Canon</t>
        </is>
      </c>
      <c r="H133" s="15" t="inlineStr">
        <is>
          <t>Episode</t>
        </is>
      </c>
      <c r="I133" s="15" t="inlineStr">
        <is>
          <t>Disney+</t>
        </is>
      </c>
      <c r="J133" s="18">
        <f>HYPERLINK("https://www.disneyplus.com/video/d4e8fd92-4d92-494d-8d49-d5b148bdcbb5?cid=DTCI-Synergy-DDN-Site-Acquisition-StarWars-US-StarWars-StarWarsTheCloneWars-EN-BlogArticleEmbed-TCWChronological_StreamOnDisneyPlusCTA-NA","Watch")</f>
        <v/>
      </c>
      <c r="K133" s="22">
        <f>HYPERLINK("https://www.starwars.com/tv-shows/clone-wars/conspiracy-episode-guide","Season 6, Episode 2 · Episode guide")</f>
        <v/>
      </c>
    </row>
    <row r="134" ht="15.75" customHeight="1" s="23">
      <c r="A134" s="21" t="b">
        <v>0</v>
      </c>
      <c r="B134" s="21" t="n">
        <v>128</v>
      </c>
      <c r="C134" s="14" t="inlineStr">
        <is>
          <t>Fall of the Jedi</t>
        </is>
      </c>
      <c r="D134" s="15" t="inlineStr">
        <is>
          <t>The Clone Wars: Fugitive</t>
        </is>
      </c>
      <c r="E134" s="16" t="inlineStr">
        <is>
          <t>Season 6, Episode 3</t>
        </is>
      </c>
      <c r="F134" s="15" t="inlineStr">
        <is>
          <t>Series aired October 3, 2008–May 4, 2020</t>
        </is>
      </c>
      <c r="G134" s="15" t="inlineStr">
        <is>
          <t>Canon</t>
        </is>
      </c>
      <c r="H134" s="15" t="inlineStr">
        <is>
          <t>Episode</t>
        </is>
      </c>
      <c r="I134" s="15" t="inlineStr">
        <is>
          <t>Disney+</t>
        </is>
      </c>
      <c r="J134" s="18">
        <f>HYPERLINK("https://www.disneyplus.com/video/e3d63b2f-8e40-4064-9fe8-1f32299f17d3?cid=DTCI-Synergy-DDN-Site-Acquisition-StarWars-US-StarWars-StarWarsTheCloneWars-EN-BlogArticleEmbed-TCWChronological_StreamOnDisneyPlusCTA-NA","Watch")</f>
        <v/>
      </c>
      <c r="K134" s="22">
        <f>HYPERLINK("https://www.starwars.com/tv-shows/clone-wars/fugitive-episode-guide","Season 6, Episode 3 · Episode guide")</f>
        <v/>
      </c>
    </row>
    <row r="135" ht="15.75" customHeight="1" s="23">
      <c r="A135" s="21" t="b">
        <v>0</v>
      </c>
      <c r="B135" s="21" t="n">
        <v>129</v>
      </c>
      <c r="C135" s="14" t="inlineStr">
        <is>
          <t>Fall of the Jedi</t>
        </is>
      </c>
      <c r="D135" s="15" t="inlineStr">
        <is>
          <t>The Clone Wars: Orders</t>
        </is>
      </c>
      <c r="E135" s="16" t="inlineStr">
        <is>
          <t>Season 6, Episode 4</t>
        </is>
      </c>
      <c r="F135" s="15" t="inlineStr">
        <is>
          <t>Series aired October 3, 2008–May 4, 2020</t>
        </is>
      </c>
      <c r="G135" s="15" t="inlineStr">
        <is>
          <t>Canon</t>
        </is>
      </c>
      <c r="H135" s="15" t="inlineStr">
        <is>
          <t>Episode</t>
        </is>
      </c>
      <c r="I135" s="15" t="inlineStr">
        <is>
          <t>Disney+</t>
        </is>
      </c>
      <c r="J135" s="18">
        <f>HYPERLINK("https://www.disneyplus.com/video/46c3decc-a11c-4d2e-a792-069ebe535003?cid=DTCI-Synergy-DDN-Site-Acquisition-StarWars-US-StarWars-StarWarsTheCloneWars-EN-BlogArticleEmbed-TCWChronological_StreamOnDisneyPlusCTA-NA","Watch")</f>
        <v/>
      </c>
      <c r="K135" s="22">
        <f>HYPERLINK("https://www.starwars.com/tv-shows/clone-wars/orders-episode-guide","Season 6, Episode 4 · Episode guide")</f>
        <v/>
      </c>
    </row>
    <row r="136" ht="15.75" customHeight="1" s="23">
      <c r="A136" s="21" t="b">
        <v>0</v>
      </c>
      <c r="B136" s="21" t="n">
        <v>130</v>
      </c>
      <c r="C136" s="14" t="inlineStr">
        <is>
          <t>Fall of the Jedi</t>
        </is>
      </c>
      <c r="D136" s="15" t="inlineStr">
        <is>
          <t>The Clone Wars: An Old Friend</t>
        </is>
      </c>
      <c r="E136" s="16" t="inlineStr">
        <is>
          <t>Season 6, Episode 5</t>
        </is>
      </c>
      <c r="F136" s="15" t="inlineStr">
        <is>
          <t>Series aired October 3, 2008–May 4, 2020</t>
        </is>
      </c>
      <c r="G136" s="15" t="inlineStr">
        <is>
          <t>Canon</t>
        </is>
      </c>
      <c r="H136" s="15" t="inlineStr">
        <is>
          <t>Episode</t>
        </is>
      </c>
      <c r="I136" s="15" t="inlineStr">
        <is>
          <t>Disney+</t>
        </is>
      </c>
      <c r="J136" s="18">
        <f>HYPERLINK("https://www.disneyplus.com/video/64438a1c-f629-4085-b461-33fac7ea99ba?cid=DTCI-Synergy-DDN-Site-Acquisition-StarWars-US-StarWars-StarWarsTheCloneWars-EN-BlogArticleEmbed-TCWChronological_StreamOnDisneyPlusCTA-NA","Watch")</f>
        <v/>
      </c>
      <c r="K136" s="22">
        <f>HYPERLINK("https://www.starwars.com/tv-shows/clone-wars/an-old-friend-episode-guide","Season 6, Episode 5 · Episode guide")</f>
        <v/>
      </c>
    </row>
    <row r="137" ht="15.75" customHeight="1" s="23">
      <c r="A137" s="21" t="b">
        <v>0</v>
      </c>
      <c r="B137" s="21" t="n">
        <v>131</v>
      </c>
      <c r="C137" s="14" t="inlineStr">
        <is>
          <t>Fall of the Jedi</t>
        </is>
      </c>
      <c r="D137" s="15" t="inlineStr">
        <is>
          <t>The Clone Wars: The Rise of Clovis</t>
        </is>
      </c>
      <c r="E137" s="16" t="inlineStr">
        <is>
          <t>Season 6, Episode 6</t>
        </is>
      </c>
      <c r="F137" s="15" t="inlineStr">
        <is>
          <t>Series aired October 3, 2008–May 4, 2020</t>
        </is>
      </c>
      <c r="G137" s="15" t="inlineStr">
        <is>
          <t>Canon</t>
        </is>
      </c>
      <c r="H137" s="15" t="inlineStr">
        <is>
          <t>Episode</t>
        </is>
      </c>
      <c r="I137" s="15" t="inlineStr">
        <is>
          <t>Disney+</t>
        </is>
      </c>
      <c r="J137" s="18">
        <f>HYPERLINK("https://www.disneyplus.com/video/cad54530-94eb-4b92-b380-b0a807d195c5?cid=DTCI-Synergy-DDN-Site-Acquisition-StarWars-US-StarWars-StarWarsTheCloneWars-EN-BlogArticleEmbed-TCWChronological_StreamOnDisneyPlusCTA-NA","Watch")</f>
        <v/>
      </c>
      <c r="K137" s="22">
        <f>HYPERLINK("https://www.starwars.com/tv-shows/clone-wars/the-rise-of-clovis-episode-guide","Season 6, Episode 6 · Episode guide")</f>
        <v/>
      </c>
    </row>
    <row r="138" ht="15.75" customHeight="1" s="23">
      <c r="A138" s="21" t="b">
        <v>0</v>
      </c>
      <c r="B138" s="21" t="n">
        <v>132</v>
      </c>
      <c r="C138" s="14" t="inlineStr">
        <is>
          <t>Fall of the Jedi</t>
        </is>
      </c>
      <c r="D138" s="15" t="inlineStr">
        <is>
          <t>The Clone Wars: Crisis at the Heart</t>
        </is>
      </c>
      <c r="E138" s="16" t="inlineStr">
        <is>
          <t>Season 6, Episode 7</t>
        </is>
      </c>
      <c r="F138" s="15" t="inlineStr">
        <is>
          <t>Series aired October 3, 2008–May 4, 2020</t>
        </is>
      </c>
      <c r="G138" s="15" t="inlineStr">
        <is>
          <t>Canon</t>
        </is>
      </c>
      <c r="H138" s="15" t="inlineStr">
        <is>
          <t>Episode</t>
        </is>
      </c>
      <c r="I138" s="15" t="inlineStr">
        <is>
          <t>Disney+</t>
        </is>
      </c>
      <c r="J138" s="18">
        <f>HYPERLINK("https://www.disneyplus.com/video/2a2fc61d-3813-4cf8-88a7-cab1975cee35?cid=DTCI-Synergy-DDN-Site-Acquisition-StarWars-US-StarWars-StarWarsTheCloneWars-EN-BlogArticleEmbed-TCWChronological_StreamOnDisneyPlusCTA-NA","Watch")</f>
        <v/>
      </c>
      <c r="K138" s="22">
        <f>HYPERLINK("https://www.starwars.com/tv-shows/clone-wars/crisis-at-the-heart-episode-guide","Season 6, Episode 7 · Episode guide")</f>
        <v/>
      </c>
    </row>
    <row r="139" ht="15.75" customHeight="1" s="23">
      <c r="A139" s="21" t="b">
        <v>0</v>
      </c>
      <c r="B139" s="21" t="n">
        <v>133</v>
      </c>
      <c r="C139" s="14" t="inlineStr">
        <is>
          <t>Fall of the Jedi</t>
        </is>
      </c>
      <c r="D139" s="15" t="inlineStr">
        <is>
          <t>The Clone Wars: The Disappeared</t>
        </is>
      </c>
      <c r="E139" s="16" t="inlineStr">
        <is>
          <t>Season 6, Episode 8</t>
        </is>
      </c>
      <c r="F139" s="15" t="inlineStr">
        <is>
          <t>Series aired October 3, 2008–May 4, 2020</t>
        </is>
      </c>
      <c r="G139" s="15" t="inlineStr">
        <is>
          <t>Canon</t>
        </is>
      </c>
      <c r="H139" s="15" t="inlineStr">
        <is>
          <t>Episode</t>
        </is>
      </c>
      <c r="I139" s="15" t="inlineStr">
        <is>
          <t>Disney+</t>
        </is>
      </c>
      <c r="J139" s="18">
        <f>HYPERLINK("https://www.disneyplus.com/video/6173c7f8-b2d8-448c-8143-77eb71c73589?cid=DTCI-Synergy-DDN-Site-Acquisition-StarWars-US-StarWars-StarWarsTheCloneWars-EN-BlogArticleEmbed-TCWChronological_StreamOnDisneyPlusCTA-NA","Watch")</f>
        <v/>
      </c>
      <c r="K139" s="22">
        <f>HYPERLINK("https://www.starwars.com/tv-shows/clone-wars/the-disappeared-part-i-episode-guide","Season 6, Episode 8 · Episode guide")</f>
        <v/>
      </c>
    </row>
    <row r="140" ht="15.75" customHeight="1" s="23">
      <c r="A140" s="21" t="b">
        <v>0</v>
      </c>
      <c r="B140" s="21" t="n">
        <v>134</v>
      </c>
      <c r="C140" s="14" t="inlineStr">
        <is>
          <t>Fall of the Jedi</t>
        </is>
      </c>
      <c r="D140" s="15" t="inlineStr">
        <is>
          <t>The Clone Wars: The Disappeared: Part II</t>
        </is>
      </c>
      <c r="E140" s="16" t="inlineStr">
        <is>
          <t>Season 6, Episode 9</t>
        </is>
      </c>
      <c r="F140" s="15" t="inlineStr">
        <is>
          <t>Series aired October 3, 2008–May 4, 2020</t>
        </is>
      </c>
      <c r="G140" s="15" t="inlineStr">
        <is>
          <t>Canon</t>
        </is>
      </c>
      <c r="H140" s="15" t="inlineStr">
        <is>
          <t>Episode</t>
        </is>
      </c>
      <c r="I140" s="15" t="inlineStr">
        <is>
          <t>Disney+</t>
        </is>
      </c>
      <c r="J140" s="18">
        <f>HYPERLINK("https://www.disneyplus.com/video/2e4fe8fe-c7e3-40dc-87d7-bdb7e02eb896?cid=DTCI-Synergy-DDN-Site-Acquisition-StarWars-US-StarWars-StarWarsTheCloneWars-EN-BlogArticleEmbed-TCWChronological_StreamOnDisneyPlusCTA-NA","Watch")</f>
        <v/>
      </c>
      <c r="K140" s="22">
        <f>HYPERLINK("https://www.starwars.com/tv-shows/clone-wars/the-disappeared-part-ii-episode-guide","Season 6, Episode 9 · Episode guide")</f>
        <v/>
      </c>
    </row>
    <row r="141" ht="15.75" customHeight="1" s="23">
      <c r="A141" s="21" t="b">
        <v>0</v>
      </c>
      <c r="B141" s="21" t="n">
        <v>135</v>
      </c>
      <c r="C141" s="14" t="inlineStr">
        <is>
          <t>Fall of the Jedi</t>
        </is>
      </c>
      <c r="D141" s="15" t="inlineStr">
        <is>
          <t>The Clone Wars: The Lost One</t>
        </is>
      </c>
      <c r="E141" s="16" t="inlineStr">
        <is>
          <t>Season 6, Episode 10</t>
        </is>
      </c>
      <c r="F141" s="15" t="inlineStr">
        <is>
          <t>Series aired October 3, 2008–May 4, 2020</t>
        </is>
      </c>
      <c r="G141" s="15" t="inlineStr">
        <is>
          <t>Canon</t>
        </is>
      </c>
      <c r="H141" s="15" t="inlineStr">
        <is>
          <t>Episode</t>
        </is>
      </c>
      <c r="I141" s="15" t="inlineStr">
        <is>
          <t>Disney+</t>
        </is>
      </c>
      <c r="J141" s="18">
        <f>HYPERLINK("https://www.disneyplus.com/video/f8d1131b-c197-4e8e-b1a5-9f9ad5e7cb9b?cid=DTCI-Synergy-DDN-Site-Acquisition-StarWars-US-StarWars-StarWarsTheCloneWars-EN-BlogArticleEmbed-TCWChronological_StreamOnDisneyPlusCTA-NA","Watch")</f>
        <v/>
      </c>
      <c r="K141" s="22">
        <f>HYPERLINK("https://www.starwars.com/tv-shows/clone-wars/the-lost-one-episode-guide","Season 6, Episode 10 · Episode guide")</f>
        <v/>
      </c>
    </row>
    <row r="142" ht="15.75" customHeight="1" s="23">
      <c r="A142" s="21" t="b">
        <v>0</v>
      </c>
      <c r="B142" s="21" t="n">
        <v>136</v>
      </c>
      <c r="C142" s="14" t="inlineStr">
        <is>
          <t>Fall of the Jedi</t>
        </is>
      </c>
      <c r="D142" s="15" t="inlineStr">
        <is>
          <t>The Clone Wars: Voices</t>
        </is>
      </c>
      <c r="E142" s="16" t="inlineStr">
        <is>
          <t>Season 6, Episode 11</t>
        </is>
      </c>
      <c r="F142" s="15" t="inlineStr">
        <is>
          <t>Series aired October 3, 2008–May 4, 2020</t>
        </is>
      </c>
      <c r="G142" s="15" t="inlineStr">
        <is>
          <t>Canon</t>
        </is>
      </c>
      <c r="H142" s="15" t="inlineStr">
        <is>
          <t>Episode</t>
        </is>
      </c>
      <c r="I142" s="15" t="inlineStr">
        <is>
          <t>Disney+</t>
        </is>
      </c>
      <c r="J142" s="18">
        <f>HYPERLINK("https://www.disneyplus.com/video/ced4924c-6c39-4346-b07e-d22fb33de653?cid=DTCI-Synergy-DDN-Site-Acquisition-StarWars-US-StarWars-StarWarsTheCloneWars-EN-BlogArticleEmbed-TCWChronological_StreamOnDisneyPlusCTA-NA","Watch")</f>
        <v/>
      </c>
      <c r="K142" s="22">
        <f>HYPERLINK("https://www.starwars.com/tv-shows/clone-wars/voices-episode-guide","Season 6, Episode 11 · Episode guide")</f>
        <v/>
      </c>
    </row>
    <row r="143" ht="15.75" customHeight="1" s="23">
      <c r="A143" s="21" t="b">
        <v>0</v>
      </c>
      <c r="B143" s="21" t="n">
        <v>137</v>
      </c>
      <c r="C143" s="14" t="inlineStr">
        <is>
          <t>Fall of the Jedi</t>
        </is>
      </c>
      <c r="D143" s="15" t="inlineStr">
        <is>
          <t>The Clone Wars: Destiny</t>
        </is>
      </c>
      <c r="E143" s="16" t="inlineStr">
        <is>
          <t>Season 6, Episode 12</t>
        </is>
      </c>
      <c r="F143" s="15" t="inlineStr">
        <is>
          <t>Series aired October 3, 2008–May 4, 2020</t>
        </is>
      </c>
      <c r="G143" s="15" t="inlineStr">
        <is>
          <t>Canon</t>
        </is>
      </c>
      <c r="H143" s="15" t="inlineStr">
        <is>
          <t>Episode</t>
        </is>
      </c>
      <c r="I143" s="15" t="inlineStr">
        <is>
          <t>Disney+</t>
        </is>
      </c>
      <c r="J143" s="18">
        <f>HYPERLINK("https://www.disneyplus.com/video/99e77e6b-d43a-4f6f-b07c-51d48ee4c3bd?cid=DTCI-Synergy-DDN-Site-Acquisition-StarWars-US-StarWars-StarWarsTheCloneWars-EN-BlogArticleEmbed-TCWChronological_StreamOnDisneyPlusCTA-NA","Watch")</f>
        <v/>
      </c>
      <c r="K143" s="22">
        <f>HYPERLINK("https://www.starwars.com/tv-shows/clone-wars/destiny-episode-guide","Season 6, Episode 12 · Episode guide")</f>
        <v/>
      </c>
    </row>
    <row r="144" ht="15.75" customHeight="1" s="23">
      <c r="A144" s="21" t="b">
        <v>0</v>
      </c>
      <c r="B144" s="21" t="n">
        <v>138</v>
      </c>
      <c r="C144" s="14" t="inlineStr">
        <is>
          <t>Fall of the Jedi</t>
        </is>
      </c>
      <c r="D144" s="15" t="inlineStr">
        <is>
          <t>The Clone Wars: Sacrifice</t>
        </is>
      </c>
      <c r="E144" s="16" t="inlineStr">
        <is>
          <t>Season 6, Episode 13</t>
        </is>
      </c>
      <c r="F144" s="15" t="inlineStr">
        <is>
          <t>Series aired October 3, 2008–May 4, 2020</t>
        </is>
      </c>
      <c r="G144" s="15" t="inlineStr">
        <is>
          <t>Canon</t>
        </is>
      </c>
      <c r="H144" s="15" t="inlineStr">
        <is>
          <t>Episode</t>
        </is>
      </c>
      <c r="I144" s="15" t="inlineStr">
        <is>
          <t>Disney+</t>
        </is>
      </c>
      <c r="J144" s="18">
        <f>HYPERLINK("https://www.disneyplus.com/video/37357ff9-88a7-4652-b16e-cda4808d1930?cid=DTCI-Synergy-DDN-Site-Acquisition-StarWars-US-StarWars-StarWarsTheCloneWars-EN-BlogArticleEmbed-TCWChronological_StreamOnDisneyPlusCTA-NA","Watch")</f>
        <v/>
      </c>
      <c r="K144" s="22">
        <f>HYPERLINK("https://www.starwars.com/tv-shows/clone-wars/sacrifice-episode-guide","Season 6, Episode 13 · Episode guide")</f>
        <v/>
      </c>
    </row>
    <row r="145" ht="15.75" customHeight="1" s="23">
      <c r="A145" s="21" t="b">
        <v>0</v>
      </c>
      <c r="B145" s="21" t="n">
        <v>139</v>
      </c>
      <c r="C145" s="14" t="inlineStr">
        <is>
          <t>Fall of the Jedi</t>
        </is>
      </c>
      <c r="D145" s="15" t="inlineStr">
        <is>
          <t>The Clone Wars: Gone with a Trace</t>
        </is>
      </c>
      <c r="E145" s="16" t="inlineStr">
        <is>
          <t>Season 7, Episode 5</t>
        </is>
      </c>
      <c r="F145" s="15" t="inlineStr">
        <is>
          <t>Series aired October 3, 2008–May 4, 2020</t>
        </is>
      </c>
      <c r="G145" s="15" t="inlineStr">
        <is>
          <t>Canon</t>
        </is>
      </c>
      <c r="H145" s="15" t="inlineStr">
        <is>
          <t>Episode</t>
        </is>
      </c>
      <c r="I145" s="15" t="inlineStr">
        <is>
          <t>Disney+</t>
        </is>
      </c>
      <c r="J145" s="18">
        <f>HYPERLINK("https://www.disneyplus.com/en-gb/video/a1dfba86-2134-41e9-8794-e8040896bef6?cid=DTCI-Synergy-DDN-Site-Acquisition-StarWars-US-StarWars-StarWarsTheCloneWars-EN-BlogArticleEmbed-TCWChronological_StreamOnDisneyPlusCTA-NA","Watch")</f>
        <v/>
      </c>
      <c r="K145" s="22">
        <f>HYPERLINK("https://www.starwars.com/series/clone-wars/gone-with-a-trace-episode-guide","Season 7, Episode 5 · Episode guide")</f>
        <v/>
      </c>
    </row>
    <row r="146" ht="15.75" customHeight="1" s="23">
      <c r="A146" s="21" t="b">
        <v>0</v>
      </c>
      <c r="B146" s="21" t="n">
        <v>140</v>
      </c>
      <c r="C146" s="14" t="inlineStr">
        <is>
          <t>Fall of the Jedi</t>
        </is>
      </c>
      <c r="D146" s="15" t="inlineStr">
        <is>
          <t>The Clone Wars: Deal No Deal</t>
        </is>
      </c>
      <c r="E146" s="16" t="inlineStr">
        <is>
          <t>Season 7, Episode 6</t>
        </is>
      </c>
      <c r="F146" s="15" t="inlineStr">
        <is>
          <t>Series aired October 3, 2008–May 4, 2020</t>
        </is>
      </c>
      <c r="G146" s="15" t="inlineStr">
        <is>
          <t>Canon</t>
        </is>
      </c>
      <c r="H146" s="15" t="inlineStr">
        <is>
          <t>Episode</t>
        </is>
      </c>
      <c r="I146" s="15" t="inlineStr">
        <is>
          <t>Disney+</t>
        </is>
      </c>
      <c r="J146" s="18">
        <f>HYPERLINK("https://www.disneyplus.com/en-gb/video/7ed29bb0-bfff-462c-ae96-f89a4f3f89e2?cid=DTCI-Synergy-DDN-Site-Acquisition-StarWars-US-StarWars-StarWarsTheCloneWars-EN-BlogArticleEmbed-TCWChronological_StreamOnDisneyPlusCTA-NA","Watch")</f>
        <v/>
      </c>
      <c r="K146" s="22">
        <f>HYPERLINK("https://www.starwars.com/series/clone-wars/deal-no-deal-episode-guide","Season 7, Episode 6 · Episode guide")</f>
        <v/>
      </c>
    </row>
    <row r="147" ht="15.75" customHeight="1" s="23">
      <c r="A147" s="21" t="b">
        <v>0</v>
      </c>
      <c r="B147" s="21" t="n">
        <v>141</v>
      </c>
      <c r="C147" s="14" t="inlineStr">
        <is>
          <t>Fall of the Jedi</t>
        </is>
      </c>
      <c r="D147" s="15" t="inlineStr">
        <is>
          <t>The Clone Wars: Dangerous Debt</t>
        </is>
      </c>
      <c r="E147" s="16" t="inlineStr">
        <is>
          <t>Season 7, Episode 7</t>
        </is>
      </c>
      <c r="F147" s="15" t="inlineStr">
        <is>
          <t>Series aired October 3, 2008–May 4, 2020</t>
        </is>
      </c>
      <c r="G147" s="15" t="inlineStr">
        <is>
          <t>Canon</t>
        </is>
      </c>
      <c r="H147" s="15" t="inlineStr">
        <is>
          <t>Episode</t>
        </is>
      </c>
      <c r="I147" s="15" t="inlineStr">
        <is>
          <t>Disney+</t>
        </is>
      </c>
      <c r="J147" s="18">
        <f>HYPERLINK("https://www.disneyplus.com/video/468b341b-4d54-4adf-823f-8934ff05800b?cid=DTCI-Synergy-DDN-Site-Acquisition-StarWars-US-StarWars-StarWarsTheCloneWars-EN-BlogArticleEmbed-TCWChronological_StreamOnDisneyPlusCTA-NA","Watch")</f>
        <v/>
      </c>
      <c r="K147" s="22">
        <f>HYPERLINK("https://www.starwars.com/series/clone-wars/dangerous-debt-episode-guide","Season 7, Episode 7 · Episode guide")</f>
        <v/>
      </c>
    </row>
    <row r="148" ht="15.75" customHeight="1" s="23">
      <c r="A148" s="21" t="b">
        <v>0</v>
      </c>
      <c r="B148" s="21" t="n">
        <v>142</v>
      </c>
      <c r="C148" s="14" t="inlineStr">
        <is>
          <t>Fall of the Jedi</t>
        </is>
      </c>
      <c r="D148" s="15" t="inlineStr">
        <is>
          <t>The Clone Wars: Together Again</t>
        </is>
      </c>
      <c r="E148" s="16" t="inlineStr">
        <is>
          <t>Season 7, Episode 8</t>
        </is>
      </c>
      <c r="F148" s="15" t="inlineStr">
        <is>
          <t>Series aired October 3, 2008–May 4, 2020</t>
        </is>
      </c>
      <c r="G148" s="15" t="inlineStr">
        <is>
          <t>Canon</t>
        </is>
      </c>
      <c r="H148" s="15" t="inlineStr">
        <is>
          <t>Episode</t>
        </is>
      </c>
      <c r="I148" s="15" t="inlineStr">
        <is>
          <t>Disney+</t>
        </is>
      </c>
      <c r="J148" s="18">
        <f>HYPERLINK("https://www.disneyplus.com/video/c59f5965-71d6-40e5-8650-ddf076125e0d?cid=DTCI-Synergy-DDN-Site-Acquisition-StarWars-US-StarWars-StarWarsTheCloneWars-EN-BlogArticleEmbed-TCWChronological_StreamOnDisneyPlusCTA-NA","Watch")</f>
        <v/>
      </c>
      <c r="K148" s="22">
        <f>HYPERLINK("https://www.starwars.com/series/clone-wars/together-again-episode-guide","Season 7, Episode 8 · Episode guide")</f>
        <v/>
      </c>
    </row>
    <row r="149" ht="15.75" customHeight="1" s="23">
      <c r="A149" s="21" t="b">
        <v>0</v>
      </c>
      <c r="B149" s="21" t="n">
        <v>143</v>
      </c>
      <c r="C149" s="14" t="inlineStr">
        <is>
          <t>Fall of the Jedi</t>
        </is>
      </c>
      <c r="D149" s="15" t="inlineStr">
        <is>
          <t>The Clone Wars: The Bad Batch</t>
        </is>
      </c>
      <c r="E149" s="16" t="inlineStr">
        <is>
          <t>Season 7, Episode 1</t>
        </is>
      </c>
      <c r="F149" s="15" t="inlineStr">
        <is>
          <t>Series aired October 3, 2008–May 4, 2020</t>
        </is>
      </c>
      <c r="G149" s="15" t="inlineStr">
        <is>
          <t>Canon</t>
        </is>
      </c>
      <c r="H149" s="15" t="inlineStr">
        <is>
          <t>Episode</t>
        </is>
      </c>
      <c r="I149" s="15" t="inlineStr">
        <is>
          <t>Disney+</t>
        </is>
      </c>
      <c r="J149" s="18">
        <f>HYPERLINK("https://www.disneyplus.com/en-gb/video/9ee46453-c414-4c89-b3ef-b0d4d1c001fc?cid=DTCI-Synergy-DDN-Site-Acquisition-StarWars-US-StarWars-StarWarsTheCloneWars-EN-BlogArticleEmbed-TCWChronological_StreamOnDisneyPlusCTA-NA","Watch")</f>
        <v/>
      </c>
      <c r="K149" s="22">
        <f>HYPERLINK("https://www.starwars.com/series/clone-wars/the-bad-batch-episode-guide","Season 7, Episode 1 · Episode guide")</f>
        <v/>
      </c>
    </row>
    <row r="150" ht="15.75" customHeight="1" s="23">
      <c r="A150" s="21" t="b">
        <v>0</v>
      </c>
      <c r="B150" s="21" t="n">
        <v>144</v>
      </c>
      <c r="C150" s="14" t="inlineStr">
        <is>
          <t>Fall of the Jedi</t>
        </is>
      </c>
      <c r="D150" s="15" t="inlineStr">
        <is>
          <t>The Clone Wars: A Distant Echo</t>
        </is>
      </c>
      <c r="E150" s="16" t="inlineStr">
        <is>
          <t>Season 7, Episode 2</t>
        </is>
      </c>
      <c r="F150" s="15" t="inlineStr">
        <is>
          <t>Series aired October 3, 2008–May 4, 2020</t>
        </is>
      </c>
      <c r="G150" s="15" t="inlineStr">
        <is>
          <t>Canon</t>
        </is>
      </c>
      <c r="H150" s="15" t="inlineStr">
        <is>
          <t>Episode</t>
        </is>
      </c>
      <c r="I150" s="15" t="inlineStr">
        <is>
          <t>Disney+</t>
        </is>
      </c>
      <c r="J150" s="18">
        <f>HYPERLINK("https://www.disneyplus.com/en-gb/video/cbcde944-1622-4f15-a136-47a85e7f75c1?cid=DTCI-Synergy-DDN-Site-Acquisition-StarWars-US-StarWars-StarWarsTheCloneWars-EN-BlogArticleEmbed-TCWChronological_StreamOnDisneyPlusCTA-NA","Watch")</f>
        <v/>
      </c>
      <c r="K150" s="22">
        <f>HYPERLINK("https://www.starwars.com/series/clone-wars/a-distant-echo-episode-guide","Season 7, Episode 2 · Episode guide")</f>
        <v/>
      </c>
    </row>
    <row r="151" ht="15.75" customHeight="1" s="23">
      <c r="A151" s="21" t="b">
        <v>0</v>
      </c>
      <c r="B151" s="21" t="n">
        <v>145</v>
      </c>
      <c r="C151" s="14" t="inlineStr">
        <is>
          <t>Fall of the Jedi</t>
        </is>
      </c>
      <c r="D151" s="15" t="inlineStr">
        <is>
          <t>The Clone Wars: On the Wings of Keeradaks</t>
        </is>
      </c>
      <c r="E151" s="16" t="inlineStr">
        <is>
          <t>Season 7, Episode 3</t>
        </is>
      </c>
      <c r="F151" s="15" t="inlineStr">
        <is>
          <t>Series aired October 3, 2008–May 4, 2020</t>
        </is>
      </c>
      <c r="G151" s="15" t="inlineStr">
        <is>
          <t>Canon</t>
        </is>
      </c>
      <c r="H151" s="15" t="inlineStr">
        <is>
          <t>Episode</t>
        </is>
      </c>
      <c r="I151" s="15" t="inlineStr">
        <is>
          <t>Disney+</t>
        </is>
      </c>
      <c r="J151" s="18">
        <f>HYPERLINK("https://www.disneyplus.com/en-gb/video/1df8336f-23c4-437a-a360-043e5cb26a41?cid=DTCI-Synergy-DDN-Site-Acquisition-StarWars-US-StarWars-StarWarsTheCloneWars-EN-BlogArticleEmbed-TCWChronological_StreamOnDisneyPlusCTA-NA","Watch")</f>
        <v/>
      </c>
      <c r="K151" s="22">
        <f>HYPERLINK("https://www.starwars.com/series/clone-wars/on-the-wings-of-keeradaks-episode-guide","Season 7, Episode 3 · Episode guide")</f>
        <v/>
      </c>
    </row>
    <row r="152" ht="15.75" customHeight="1" s="23">
      <c r="A152" s="21" t="b">
        <v>0</v>
      </c>
      <c r="B152" s="21" t="n">
        <v>146</v>
      </c>
      <c r="C152" s="14" t="inlineStr">
        <is>
          <t>Fall of the Jedi</t>
        </is>
      </c>
      <c r="D152" s="15" t="inlineStr">
        <is>
          <t>The Clone Wars: Unfinished Business</t>
        </is>
      </c>
      <c r="E152" s="16" t="inlineStr">
        <is>
          <t>Season 7, Episode 4</t>
        </is>
      </c>
      <c r="F152" s="15" t="inlineStr">
        <is>
          <t>Series aired October 3, 2008–May 4, 2020</t>
        </is>
      </c>
      <c r="G152" s="15" t="inlineStr">
        <is>
          <t>Canon</t>
        </is>
      </c>
      <c r="H152" s="15" t="inlineStr">
        <is>
          <t>Episode</t>
        </is>
      </c>
      <c r="I152" s="15" t="inlineStr">
        <is>
          <t>Disney+</t>
        </is>
      </c>
      <c r="J152" s="18">
        <f>HYPERLINK("https://www.disneyplus.com/en-gb/video/2aba28e0-4dbe-49ab-9512-fa856ff1e791?cid=DTCI-Synergy-DDN-Site-Acquisition-StarWars-US-StarWars-StarWarsTheCloneWars-EN-BlogArticleEmbed-TCWChronological_StreamOnDisneyPlusCTA-NA","Watch")</f>
        <v/>
      </c>
      <c r="K152" s="22">
        <f>HYPERLINK("https://www.starwars.com/series/clone-wars/unfinished-business-episode-guide","Season 7, Episode 4 · Episode guide")</f>
        <v/>
      </c>
    </row>
    <row r="153" ht="15.75" customHeight="1" s="23">
      <c r="A153" s="21" t="b">
        <v>0</v>
      </c>
      <c r="B153" s="21" t="n">
        <v>147</v>
      </c>
      <c r="C153" s="14" t="inlineStr">
        <is>
          <t>Fall of the Jedi</t>
        </is>
      </c>
      <c r="D153" s="15" t="inlineStr">
        <is>
          <t>The Clone Wars: Old Friends Not Forgotten</t>
        </is>
      </c>
      <c r="E153" s="16" t="inlineStr">
        <is>
          <t>Season 7, Episode 9</t>
        </is>
      </c>
      <c r="F153" s="15" t="inlineStr">
        <is>
          <t>Series aired October 3, 2008–May 4, 2020</t>
        </is>
      </c>
      <c r="G153" s="15" t="inlineStr">
        <is>
          <t>Canon</t>
        </is>
      </c>
      <c r="H153" s="15" t="inlineStr">
        <is>
          <t>Episode</t>
        </is>
      </c>
      <c r="I153" s="15" t="inlineStr">
        <is>
          <t>Disney+</t>
        </is>
      </c>
      <c r="J153" s="18">
        <f>HYPERLINK("https://www.disneyplus.com/video/0626c961-a67c-4203-bee2-a8166e95b895?cid=DTCI-Synergy-DDN-Site-Acquisition-StarWars-US-StarWars-StarWarsTheCloneWars-EN-BlogArticleEmbed-TCWChronological_StreamOnDisneyPlusCTA-NA","Watch")</f>
        <v/>
      </c>
      <c r="K153" s="22">
        <f>HYPERLINK("https://www.starwars.com/series/clone-wars/old-friends-not-forgotten-episode-guide","Season 7, Episode 9 · Episode guide")</f>
        <v/>
      </c>
    </row>
    <row r="154" ht="15.75" customHeight="1" s="23">
      <c r="A154" s="21" t="b">
        <v>0</v>
      </c>
      <c r="B154" s="21" t="n">
        <v>148</v>
      </c>
      <c r="C154" s="14" t="inlineStr">
        <is>
          <t>Fall of the Jedi</t>
        </is>
      </c>
      <c r="D154" s="15" t="inlineStr">
        <is>
          <t>The Clone Wars: The Phantom Apprentice</t>
        </is>
      </c>
      <c r="E154" s="16" t="inlineStr">
        <is>
          <t>Season 7, Episode 10</t>
        </is>
      </c>
      <c r="F154" s="15" t="inlineStr">
        <is>
          <t>Series aired October 3, 2008–May 4, 2020</t>
        </is>
      </c>
      <c r="G154" s="15" t="inlineStr">
        <is>
          <t>Canon</t>
        </is>
      </c>
      <c r="H154" s="15" t="inlineStr">
        <is>
          <t>Episode</t>
        </is>
      </c>
      <c r="I154" s="15" t="inlineStr">
        <is>
          <t>Disney+</t>
        </is>
      </c>
      <c r="J154" s="18">
        <f>HYPERLINK("https://www.disneyplus.com/video/24dd0033-1f7d-492e-9114-63a684fa4f78?cid=DTCI-Synergy-DDN-Site-Acquisition-StarWars-US-StarWars-StarWarsTheCloneWars-EN-BlogArticleEmbed-TCWChronological_StreamOnDisneyPlusCTA-NA","Watch")</f>
        <v/>
      </c>
      <c r="K154" s="22">
        <f>HYPERLINK("https://www.starwars.com/series/clone-wars/the-phantom-apprentice-episode-guide","Season 7, Episode 10 · Episode guide")</f>
        <v/>
      </c>
    </row>
    <row r="155" ht="15.75" customHeight="1" s="23">
      <c r="A155" s="21" t="b">
        <v>0</v>
      </c>
      <c r="B155" s="21" t="n">
        <v>149</v>
      </c>
      <c r="C155" s="14" t="inlineStr">
        <is>
          <t>Fall of the Jedi</t>
        </is>
      </c>
      <c r="D155" s="15" t="inlineStr">
        <is>
          <t>The Clone Wars: Shattered</t>
        </is>
      </c>
      <c r="E155" s="16" t="inlineStr">
        <is>
          <t>Season 7, Episode 11</t>
        </is>
      </c>
      <c r="F155" s="15" t="inlineStr">
        <is>
          <t>Series aired October 3, 2008–May 4, 2020</t>
        </is>
      </c>
      <c r="G155" s="15" t="inlineStr">
        <is>
          <t>Canon</t>
        </is>
      </c>
      <c r="H155" s="15" t="inlineStr">
        <is>
          <t>Episode</t>
        </is>
      </c>
      <c r="I155" s="15" t="inlineStr">
        <is>
          <t>Disney+</t>
        </is>
      </c>
      <c r="J155" s="18">
        <f>HYPERLINK("https://www.disneyplus.com/video/cfcd7267-d3d1-4e98-92d6-3129b4c8d686?cid=DTCI-Synergy-DDN-Site-Acquisition-StarWars-US-StarWars-StarWarsTheCloneWars-EN-BlogArticleEmbed-TCWChronological_StreamOnDisneyPlusCTA-NA","Watch")</f>
        <v/>
      </c>
      <c r="K155" s="22">
        <f>HYPERLINK("https://www.starwars.com/series/clone-wars/shattered-episode-guide","Season 7, Episode 11 · Episode guide")</f>
        <v/>
      </c>
    </row>
    <row r="156" ht="15.75" customHeight="1" s="23">
      <c r="A156" s="21" t="b">
        <v>0</v>
      </c>
      <c r="B156" s="21" t="n">
        <v>150</v>
      </c>
      <c r="C156" s="14" t="inlineStr">
        <is>
          <t>Fall of the Jedi</t>
        </is>
      </c>
      <c r="D156" s="15" t="inlineStr">
        <is>
          <t>The Clone Wars: Victory and Death</t>
        </is>
      </c>
      <c r="E156" s="16" t="inlineStr">
        <is>
          <t>Season 7, Episode 12</t>
        </is>
      </c>
      <c r="F156" s="15" t="inlineStr">
        <is>
          <t>Series aired October 3, 2008–May 4, 2020</t>
        </is>
      </c>
      <c r="G156" s="15" t="inlineStr">
        <is>
          <t>Canon</t>
        </is>
      </c>
      <c r="H156" s="15" t="inlineStr">
        <is>
          <t>Episode</t>
        </is>
      </c>
      <c r="I156" s="15" t="inlineStr">
        <is>
          <t>Disney+</t>
        </is>
      </c>
      <c r="J156" s="18">
        <f>HYPERLINK("https://www.disneyplus.com/video/f21bd5ab-d24d-4a4a-b09c-d09d4361148b?cid=DTCI-Synergy-DDN-Site-Acquisition-StarWars-US-StarWars-StarWarsTheCloneWars-EN-BlogArticleEmbed-TCWChronological_StreamOnDisneyPlusCTA-NA","Watch")</f>
        <v/>
      </c>
      <c r="K156" s="22">
        <f>HYPERLINK("https://www.starwars.com/series/clone-wars/victory-and-death-episode-guide","Season 7, Episode 12 · Episode guide")</f>
        <v/>
      </c>
    </row>
    <row r="157" ht="15.75" customHeight="1" s="23">
      <c r="A157" s="21" t="b">
        <v>0</v>
      </c>
      <c r="B157" s="21" t="n">
        <v>151</v>
      </c>
      <c r="C157" s="14" t="inlineStr">
        <is>
          <t>Fall of the Jedi</t>
        </is>
      </c>
      <c r="D157" s="15" t="inlineStr">
        <is>
          <t>Forces of Destiny: The Padawan Path</t>
        </is>
      </c>
      <c r="E157" s="16" t="inlineStr">
        <is>
          <t>Season 1, Episode 4</t>
        </is>
      </c>
      <c r="F157" s="17" t="inlineStr">
        <is>
          <t>July 6, 2017</t>
        </is>
      </c>
      <c r="G157" s="15" t="inlineStr">
        <is>
          <t>Canon</t>
        </is>
      </c>
      <c r="H157" s="15" t="inlineStr">
        <is>
          <t>Short</t>
        </is>
      </c>
      <c r="I157" s="15" t="inlineStr">
        <is>
          <t>Disney+ / official YouTube</t>
        </is>
      </c>
      <c r="J157" s="18">
        <f>HYPERLINK("https://www.youtube.com/results?search_query=Star%20Wars%20Forces%20of%20Destiny%20The%20Padawan%20Path%20official","Open")</f>
        <v/>
      </c>
      <c r="K157" s="15" t="inlineStr">
        <is>
          <t>During The Clone Wars</t>
        </is>
      </c>
    </row>
    <row r="158" ht="15.75" customHeight="1" s="23">
      <c r="A158" s="21" t="b">
        <v>0</v>
      </c>
      <c r="B158" s="21" t="n">
        <v>152</v>
      </c>
      <c r="C158" s="14" t="inlineStr">
        <is>
          <t>Fall of the Jedi</t>
        </is>
      </c>
      <c r="D158" s="15" t="inlineStr">
        <is>
          <t>Forces of Destiny: The Imposter Inside</t>
        </is>
      </c>
      <c r="E158" s="16" t="inlineStr">
        <is>
          <t>Season 1, Episode 6</t>
        </is>
      </c>
      <c r="F158" s="17" t="inlineStr">
        <is>
          <t>July 8, 2017</t>
        </is>
      </c>
      <c r="G158" s="15" t="inlineStr">
        <is>
          <t>Canon</t>
        </is>
      </c>
      <c r="H158" s="15" t="inlineStr">
        <is>
          <t>Short</t>
        </is>
      </c>
      <c r="I158" s="15" t="inlineStr">
        <is>
          <t>Disney+ / official YouTube</t>
        </is>
      </c>
      <c r="J158" s="18">
        <f>HYPERLINK("https://www.youtube.com/results?search_query=Star%20Wars%20Forces%20of%20Destiny%20The%20Imposter%20Inside%20official","Open")</f>
        <v/>
      </c>
      <c r="K158" s="15" t="inlineStr">
        <is>
          <t>During The Clone Wars</t>
        </is>
      </c>
    </row>
    <row r="159" ht="15.75" customHeight="1" s="23">
      <c r="A159" s="21" t="b">
        <v>0</v>
      </c>
      <c r="B159" s="21" t="n">
        <v>153</v>
      </c>
      <c r="C159" s="14" t="inlineStr">
        <is>
          <t>Fall of the Jedi</t>
        </is>
      </c>
      <c r="D159" s="15" t="inlineStr">
        <is>
          <t>Forces of Destiny: Teach You, I Will</t>
        </is>
      </c>
      <c r="E159" s="16" t="inlineStr">
        <is>
          <t>Season 1, Episode 10</t>
        </is>
      </c>
      <c r="F159" s="17" t="inlineStr">
        <is>
          <t>October 3, 2017</t>
        </is>
      </c>
      <c r="G159" s="15" t="inlineStr">
        <is>
          <t>Canon</t>
        </is>
      </c>
      <c r="H159" s="15" t="inlineStr">
        <is>
          <t>Short</t>
        </is>
      </c>
      <c r="I159" s="15" t="inlineStr">
        <is>
          <t>Disney+ / official YouTube</t>
        </is>
      </c>
      <c r="J159" s="18">
        <f>HYPERLINK("https://www.youtube.com/results?search_query=Star%20Wars%20Forces%20of%20Destiny%20Teach%20You%2C%20I%20Will%20official","Open")</f>
        <v/>
      </c>
      <c r="K159" s="15" t="inlineStr">
        <is>
          <t>During The Clone Wars</t>
        </is>
      </c>
    </row>
    <row r="160" ht="15.75" customHeight="1" s="23">
      <c r="A160" s="21" t="b">
        <v>0</v>
      </c>
      <c r="B160" s="21" t="n">
        <v>154</v>
      </c>
      <c r="C160" s="14" t="inlineStr">
        <is>
          <t>Fall of the Jedi</t>
        </is>
      </c>
      <c r="D160" s="15" t="inlineStr">
        <is>
          <t>Forces of Destiny: The Starfighter Stunt</t>
        </is>
      </c>
      <c r="E160" s="16" t="inlineStr">
        <is>
          <t>Season 1, Episode 11</t>
        </is>
      </c>
      <c r="F160" s="17" t="inlineStr">
        <is>
          <t>October 4, 2017</t>
        </is>
      </c>
      <c r="G160" s="15" t="inlineStr">
        <is>
          <t>Canon</t>
        </is>
      </c>
      <c r="H160" s="15" t="inlineStr">
        <is>
          <t>Short</t>
        </is>
      </c>
      <c r="I160" s="15" t="inlineStr">
        <is>
          <t>Disney+ / official YouTube</t>
        </is>
      </c>
      <c r="J160" s="18">
        <f>HYPERLINK("https://www.youtube.com/results?search_query=Star%20Wars%20Forces%20of%20Destiny%20The%20Starfighter%20Stunt%20official","Open")</f>
        <v/>
      </c>
      <c r="K160" s="15" t="inlineStr">
        <is>
          <t>During The Clone Wars</t>
        </is>
      </c>
    </row>
    <row r="161" ht="15.75" customHeight="1" s="23">
      <c r="A161" s="21" t="b">
        <v>0</v>
      </c>
      <c r="B161" s="21" t="n">
        <v>155</v>
      </c>
      <c r="C161" s="14" t="inlineStr">
        <is>
          <t>Fall of the Jedi</t>
        </is>
      </c>
      <c r="D161" s="15" t="inlineStr">
        <is>
          <t>Forces of Destiny: Unexpected Company</t>
        </is>
      </c>
      <c r="E161" s="16" t="inlineStr">
        <is>
          <t>Season 2, Episode 2</t>
        </is>
      </c>
      <c r="F161" s="17" t="inlineStr">
        <is>
          <t>March 19, 2018</t>
        </is>
      </c>
      <c r="G161" s="15" t="inlineStr">
        <is>
          <t>Canon</t>
        </is>
      </c>
      <c r="H161" s="15" t="inlineStr">
        <is>
          <t>Short</t>
        </is>
      </c>
      <c r="I161" s="15" t="inlineStr">
        <is>
          <t>Disney+ / official YouTube</t>
        </is>
      </c>
      <c r="J161" s="18">
        <f>HYPERLINK("https://www.youtube.com/results?search_query=Star%20Wars%20Forces%20of%20Destiny%20Unexpected%20Company%20official","Open")</f>
        <v/>
      </c>
      <c r="K161" s="15" t="inlineStr">
        <is>
          <t>During The Clone Wars</t>
        </is>
      </c>
    </row>
    <row r="162" ht="15.75" customHeight="1" s="23">
      <c r="A162" s="21" t="b">
        <v>0</v>
      </c>
      <c r="B162" s="21" t="n">
        <v>156</v>
      </c>
      <c r="C162" s="14" t="inlineStr">
        <is>
          <t>Fall of the Jedi</t>
        </is>
      </c>
      <c r="D162" s="15" t="inlineStr">
        <is>
          <t>Tales of the Empire: The Path of Fear</t>
        </is>
      </c>
      <c r="E162" s="16" t="inlineStr"/>
      <c r="F162" s="17" t="inlineStr">
        <is>
          <t>May 4, 2024</t>
        </is>
      </c>
      <c r="G162" s="15" t="inlineStr">
        <is>
          <t>Canon</t>
        </is>
      </c>
      <c r="H162" s="15" t="inlineStr">
        <is>
          <t>Episode</t>
        </is>
      </c>
      <c r="I162" s="15" t="inlineStr">
        <is>
          <t>Disney+</t>
        </is>
      </c>
      <c r="J162" s="19" t="inlineStr"/>
      <c r="K162" s="15" t="inlineStr"/>
    </row>
    <row r="163" ht="15.75" customHeight="1" s="23">
      <c r="A163" s="21" t="b">
        <v>0</v>
      </c>
      <c r="B163" s="21" t="n">
        <v>157</v>
      </c>
      <c r="C163" s="14" t="inlineStr">
        <is>
          <t>Fall of the Jedi</t>
        </is>
      </c>
      <c r="D163" s="15" t="inlineStr">
        <is>
          <t>Republic Commando</t>
        </is>
      </c>
      <c r="E163" s="16" t="inlineStr"/>
      <c r="F163" s="15" t="inlineStr">
        <is>
          <t>February 28 / March 1, 2005</t>
        </is>
      </c>
      <c r="G163" s="15" t="inlineStr">
        <is>
          <t>Legends</t>
        </is>
      </c>
      <c r="H163" s="15" t="inlineStr">
        <is>
          <t>Game movie</t>
        </is>
      </c>
      <c r="I163" s="15" t="inlineStr">
        <is>
          <t>YouTube</t>
        </is>
      </c>
      <c r="J163" s="18">
        <f>HYPERLINK("https://www.youtube.com/watch?v=xLmcUuS8p2Y","Open")</f>
        <v/>
      </c>
      <c r="K163" s="15" t="inlineStr"/>
    </row>
    <row r="164" ht="15.75" customHeight="1" s="23">
      <c r="A164" s="21" t="b">
        <v>0</v>
      </c>
      <c r="B164" s="21" t="n">
        <v>158</v>
      </c>
      <c r="C164" s="14" t="inlineStr">
        <is>
          <t>Fall of the Jedi</t>
        </is>
      </c>
      <c r="D164" s="15" t="inlineStr">
        <is>
          <t>Star Wars: Zero Company</t>
        </is>
      </c>
      <c r="E164" s="16" t="inlineStr"/>
      <c r="F164" s="17" t="inlineStr">
        <is>
          <t>August 27, 2026</t>
        </is>
      </c>
      <c r="G164" s="15" t="inlineStr">
        <is>
          <t>Canon</t>
        </is>
      </c>
      <c r="H164" s="15" t="inlineStr">
        <is>
          <t>Game movie</t>
        </is>
      </c>
      <c r="I164" s="15" t="inlineStr">
        <is>
          <t>YouTube</t>
        </is>
      </c>
      <c r="J164" s="18">
        <f>HYPERLINK("https://www.youtube.com/watch?v=UUi9k61OntU","Open")</f>
        <v/>
      </c>
      <c r="K164" s="15" t="inlineStr">
        <is>
          <t>Tactical game set near the end of the Clone Wars</t>
        </is>
      </c>
    </row>
    <row r="165" ht="15.75" customHeight="1" s="23">
      <c r="A165" s="21" t="b">
        <v>0</v>
      </c>
      <c r="B165" s="21" t="n">
        <v>159</v>
      </c>
      <c r="C165" s="14" t="inlineStr">
        <is>
          <t>Fall of the Jedi</t>
        </is>
      </c>
      <c r="D165" s="15" t="inlineStr">
        <is>
          <t>Tales of the Jedi: Practice Makes Perfect</t>
        </is>
      </c>
      <c r="E165" s="16" t="inlineStr"/>
      <c r="F165" s="17" t="inlineStr">
        <is>
          <t>October 26, 2022</t>
        </is>
      </c>
      <c r="G165" s="15" t="inlineStr">
        <is>
          <t>Canon</t>
        </is>
      </c>
      <c r="H165" s="15" t="inlineStr">
        <is>
          <t>Episode</t>
        </is>
      </c>
      <c r="I165" s="15" t="inlineStr">
        <is>
          <t>Disney+</t>
        </is>
      </c>
      <c r="J165" s="19" t="inlineStr"/>
      <c r="K165" s="15" t="inlineStr"/>
    </row>
    <row r="166" ht="15.75" customHeight="1" s="23">
      <c r="A166" s="21" t="b">
        <v>0</v>
      </c>
      <c r="B166" s="21" t="n">
        <v>160</v>
      </c>
      <c r="C166" s="14" t="inlineStr">
        <is>
          <t>Fall of the Jedi</t>
        </is>
      </c>
      <c r="D166" s="15" t="inlineStr">
        <is>
          <t>Clone Wars (2003)</t>
        </is>
      </c>
      <c r="E166" s="16" t="inlineStr"/>
      <c r="F166" s="15" t="inlineStr">
        <is>
          <t>November 7, 2003–March 25, 2005</t>
        </is>
      </c>
      <c r="G166" s="15" t="inlineStr">
        <is>
          <t>Legends</t>
        </is>
      </c>
      <c r="H166" s="15" t="inlineStr">
        <is>
          <t>2D series</t>
        </is>
      </c>
      <c r="I166" s="15" t="inlineStr">
        <is>
          <t>Disney+</t>
        </is>
      </c>
      <c r="J166" s="19" t="inlineStr"/>
      <c r="K166" s="15" t="inlineStr">
        <is>
          <t>Different from the 2008 CGI series; about two hours total</t>
        </is>
      </c>
    </row>
    <row r="167" ht="15.75" customHeight="1" s="23">
      <c r="A167" s="21" t="b">
        <v>0</v>
      </c>
      <c r="B167" s="21" t="n">
        <v>161</v>
      </c>
      <c r="C167" s="14" t="inlineStr">
        <is>
          <t>Fall of the Jedi</t>
        </is>
      </c>
      <c r="D167" s="15" t="inlineStr">
        <is>
          <t>Episode III: Revenge of the Sith</t>
        </is>
      </c>
      <c r="E167" s="16" t="inlineStr"/>
      <c r="F167" s="17" t="inlineStr">
        <is>
          <t>May 19, 2005</t>
        </is>
      </c>
      <c r="G167" s="15" t="inlineStr">
        <is>
          <t>Canon</t>
        </is>
      </c>
      <c r="H167" s="15" t="inlineStr">
        <is>
          <t>Movie</t>
        </is>
      </c>
      <c r="I167" s="15" t="inlineStr">
        <is>
          <t>Disney+</t>
        </is>
      </c>
      <c r="J167" s="19" t="inlineStr"/>
      <c r="K167" s="15" t="inlineStr">
        <is>
          <t>Optional: legally sourced Siege of Mandalore supercut</t>
        </is>
      </c>
    </row>
    <row r="168" ht="15.75" customHeight="1" s="23">
      <c r="A168" s="21" t="b">
        <v>0</v>
      </c>
      <c r="B168" s="21" t="n">
        <v>162</v>
      </c>
      <c r="C168" s="14" t="inlineStr">
        <is>
          <t>Imperial era</t>
        </is>
      </c>
      <c r="D168" s="15" t="inlineStr">
        <is>
          <t>Tales of the Jedi: Resolve</t>
        </is>
      </c>
      <c r="E168" s="16" t="inlineStr"/>
      <c r="F168" s="17" t="inlineStr">
        <is>
          <t>October 26, 2022</t>
        </is>
      </c>
      <c r="G168" s="15" t="inlineStr">
        <is>
          <t>Canon</t>
        </is>
      </c>
      <c r="H168" s="15" t="inlineStr">
        <is>
          <t>Episode</t>
        </is>
      </c>
      <c r="I168" s="15" t="inlineStr">
        <is>
          <t>Disney+</t>
        </is>
      </c>
      <c r="J168" s="19" t="inlineStr"/>
      <c r="K168" s="15" t="inlineStr"/>
    </row>
    <row r="169" ht="15.75" customHeight="1" s="23">
      <c r="A169" s="21" t="b">
        <v>0</v>
      </c>
      <c r="B169" s="21" t="n">
        <v>163</v>
      </c>
      <c r="C169" s="14" t="inlineStr">
        <is>
          <t>Imperial era</t>
        </is>
      </c>
      <c r="D169" s="15" t="inlineStr">
        <is>
          <t>The Bad Batch</t>
        </is>
      </c>
      <c r="E169" s="16" t="inlineStr"/>
      <c r="F169" s="15" t="inlineStr">
        <is>
          <t>May 4, 2021–May 1, 2024</t>
        </is>
      </c>
      <c r="G169" s="15" t="inlineStr">
        <is>
          <t>Canon</t>
        </is>
      </c>
      <c r="H169" s="15" t="inlineStr">
        <is>
          <t>Series</t>
        </is>
      </c>
      <c r="I169" s="15" t="inlineStr">
        <is>
          <t>Disney+</t>
        </is>
      </c>
      <c r="J169" s="19" t="inlineStr"/>
      <c r="K169" s="15" t="inlineStr">
        <is>
          <t>Seasons 1–3</t>
        </is>
      </c>
    </row>
    <row r="170" ht="15.75" customHeight="1" s="23">
      <c r="A170" s="21" t="b">
        <v>0</v>
      </c>
      <c r="B170" s="21" t="n">
        <v>164</v>
      </c>
      <c r="C170" s="14" t="inlineStr">
        <is>
          <t>Imperial era</t>
        </is>
      </c>
      <c r="D170" s="15" t="inlineStr">
        <is>
          <t>Vader: Shards of the Past</t>
        </is>
      </c>
      <c r="E170" s="16" t="inlineStr"/>
      <c r="F170" s="17" t="inlineStr">
        <is>
          <t>December 21, 2018</t>
        </is>
      </c>
      <c r="G170" s="15" t="inlineStr">
        <is>
          <t>Fan / non-canon</t>
        </is>
      </c>
      <c r="H170" s="15" t="inlineStr">
        <is>
          <t>Fan film</t>
        </is>
      </c>
      <c r="I170" s="15" t="inlineStr">
        <is>
          <t>YouTube</t>
        </is>
      </c>
      <c r="J170" s="18">
        <f>HYPERLINK("https://www.youtube.com/watch?v=Ey68aMOV9gc","Open")</f>
        <v/>
      </c>
      <c r="K170" s="15" t="inlineStr">
        <is>
          <t>Set about eight months after Revenge of the Sith</t>
        </is>
      </c>
    </row>
    <row r="171" ht="15.75" customHeight="1" s="23">
      <c r="A171" s="21" t="b">
        <v>0</v>
      </c>
      <c r="B171" s="21" t="n">
        <v>165</v>
      </c>
      <c r="C171" s="14" t="inlineStr">
        <is>
          <t>Imperial era</t>
        </is>
      </c>
      <c r="D171" s="15" t="inlineStr">
        <is>
          <t>Tales of the Empire: Barriss Offee trilogy</t>
        </is>
      </c>
      <c r="E171" s="16" t="inlineStr"/>
      <c r="F171" s="17" t="inlineStr">
        <is>
          <t>May 4, 2024</t>
        </is>
      </c>
      <c r="G171" s="15" t="inlineStr">
        <is>
          <t>Canon</t>
        </is>
      </c>
      <c r="H171" s="15" t="inlineStr">
        <is>
          <t>3 episodes</t>
        </is>
      </c>
      <c r="I171" s="15" t="inlineStr">
        <is>
          <t>Disney+</t>
        </is>
      </c>
      <c r="J171" s="19" t="inlineStr"/>
      <c r="K171" s="15" t="inlineStr"/>
    </row>
    <row r="172" ht="15.75" customHeight="1" s="23">
      <c r="A172" s="21" t="b">
        <v>0</v>
      </c>
      <c r="B172" s="21" t="n">
        <v>166</v>
      </c>
      <c r="C172" s="14" t="inlineStr">
        <is>
          <t>Imperial era</t>
        </is>
      </c>
      <c r="D172" s="15" t="inlineStr">
        <is>
          <t>Tales of the Underworld: Asajj Ventress trilogy</t>
        </is>
      </c>
      <c r="E172" s="16" t="inlineStr"/>
      <c r="F172" s="17" t="inlineStr">
        <is>
          <t>May 4, 2025</t>
        </is>
      </c>
      <c r="G172" s="15" t="inlineStr">
        <is>
          <t>Canon</t>
        </is>
      </c>
      <c r="H172" s="15" t="inlineStr">
        <is>
          <t>3 episodes</t>
        </is>
      </c>
      <c r="I172" s="15" t="inlineStr">
        <is>
          <t>Disney+</t>
        </is>
      </c>
      <c r="J172" s="19" t="inlineStr"/>
      <c r="K172" s="15" t="inlineStr"/>
    </row>
    <row r="173" ht="15.75" customHeight="1" s="23">
      <c r="A173" s="21" t="b">
        <v>0</v>
      </c>
      <c r="B173" s="21" t="n">
        <v>167</v>
      </c>
      <c r="C173" s="14" t="inlineStr">
        <is>
          <t>Imperial era</t>
        </is>
      </c>
      <c r="D173" s="15" t="inlineStr">
        <is>
          <t>Maul – Shadow Lord</t>
        </is>
      </c>
      <c r="E173" s="16" t="inlineStr"/>
      <c r="F173" s="15" t="inlineStr">
        <is>
          <t>April 6–May 4, 2026</t>
        </is>
      </c>
      <c r="G173" s="15" t="inlineStr">
        <is>
          <t>Canon</t>
        </is>
      </c>
      <c r="H173" s="15" t="inlineStr">
        <is>
          <t>Series</t>
        </is>
      </c>
      <c r="I173" s="15" t="inlineStr">
        <is>
          <t>Disney+</t>
        </is>
      </c>
      <c r="J173" s="19" t="inlineStr"/>
      <c r="K173" s="15" t="inlineStr"/>
    </row>
    <row r="174" ht="15.75" customHeight="1" s="23">
      <c r="A174" s="21" t="b">
        <v>0</v>
      </c>
      <c r="B174" s="21" t="n">
        <v>168</v>
      </c>
      <c r="C174" s="14" t="inlineStr">
        <is>
          <t>Imperial era</t>
        </is>
      </c>
      <c r="D174" s="15" t="inlineStr">
        <is>
          <t>Jedi: Fallen Order</t>
        </is>
      </c>
      <c r="E174" s="16" t="inlineStr"/>
      <c r="F174" s="17" t="inlineStr">
        <is>
          <t>November 15, 2019</t>
        </is>
      </c>
      <c r="G174" s="15" t="inlineStr">
        <is>
          <t>Canon</t>
        </is>
      </c>
      <c r="H174" s="15" t="inlineStr">
        <is>
          <t>Game movie</t>
        </is>
      </c>
      <c r="I174" s="15" t="inlineStr">
        <is>
          <t>YouTube</t>
        </is>
      </c>
      <c r="J174" s="18">
        <f>HYPERLINK("https://www.youtube.com/watch?v=D_D_bR2cGgM","Open")</f>
        <v/>
      </c>
      <c r="K174" s="15" t="inlineStr"/>
    </row>
    <row r="175" ht="15.75" customHeight="1" s="23">
      <c r="A175" s="21" t="b">
        <v>0</v>
      </c>
      <c r="B175" s="21" t="n">
        <v>169</v>
      </c>
      <c r="C175" s="14" t="inlineStr">
        <is>
          <t>Imperial era</t>
        </is>
      </c>
      <c r="D175" s="15" t="inlineStr">
        <is>
          <t>Solo: A Star Wars Story</t>
        </is>
      </c>
      <c r="E175" s="16" t="inlineStr"/>
      <c r="F175" s="17" t="inlineStr">
        <is>
          <t>May 25, 2018</t>
        </is>
      </c>
      <c r="G175" s="15" t="inlineStr">
        <is>
          <t>Canon</t>
        </is>
      </c>
      <c r="H175" s="15" t="inlineStr">
        <is>
          <t>Movie</t>
        </is>
      </c>
      <c r="I175" s="15" t="inlineStr">
        <is>
          <t>Disney+</t>
        </is>
      </c>
      <c r="J175" s="19" t="inlineStr"/>
      <c r="K175" s="15" t="inlineStr"/>
    </row>
    <row r="176" ht="15.75" customHeight="1" s="23">
      <c r="A176" s="21" t="b">
        <v>0</v>
      </c>
      <c r="B176" s="21" t="n">
        <v>170</v>
      </c>
      <c r="C176" s="14" t="inlineStr">
        <is>
          <t>Imperial era</t>
        </is>
      </c>
      <c r="D176" s="15" t="inlineStr">
        <is>
          <t>Forces of Destiny: Triplecross</t>
        </is>
      </c>
      <c r="E176" s="16" t="inlineStr">
        <is>
          <t>Season 2, Episode 12</t>
        </is>
      </c>
      <c r="F176" s="17" t="inlineStr">
        <is>
          <t>May 25, 2018</t>
        </is>
      </c>
      <c r="G176" s="15" t="inlineStr">
        <is>
          <t>Canon</t>
        </is>
      </c>
      <c r="H176" s="15" t="inlineStr">
        <is>
          <t>Short</t>
        </is>
      </c>
      <c r="I176" s="15" t="inlineStr">
        <is>
          <t>Disney+ / official YouTube</t>
        </is>
      </c>
      <c r="J176" s="18">
        <f>HYPERLINK("https://www.youtube.com/results?search_query=Star%20Wars%20Forces%20of%20Destiny%20Triplecross%20official","Open")</f>
        <v/>
      </c>
      <c r="K176" s="15" t="inlineStr">
        <is>
          <t>Around Solo</t>
        </is>
      </c>
    </row>
    <row r="177" ht="15.75" customHeight="1" s="23">
      <c r="A177" s="21" t="b">
        <v>0</v>
      </c>
      <c r="B177" s="21" t="n">
        <v>171</v>
      </c>
      <c r="C177" s="14" t="inlineStr">
        <is>
          <t>Imperial era</t>
        </is>
      </c>
      <c r="D177" s="15" t="inlineStr">
        <is>
          <t>Obi-Wan Kenobi</t>
        </is>
      </c>
      <c r="E177" s="16" t="inlineStr"/>
      <c r="F177" s="15" t="inlineStr">
        <is>
          <t>May 27–June 22, 2022</t>
        </is>
      </c>
      <c r="G177" s="15" t="inlineStr">
        <is>
          <t>Canon</t>
        </is>
      </c>
      <c r="H177" s="15" t="inlineStr">
        <is>
          <t>Series</t>
        </is>
      </c>
      <c r="I177" s="15" t="inlineStr">
        <is>
          <t>Disney+</t>
        </is>
      </c>
      <c r="J177" s="19" t="inlineStr"/>
      <c r="K177" s="15" t="inlineStr"/>
    </row>
    <row r="178" ht="15.75" customHeight="1" s="23">
      <c r="A178" s="21" t="b">
        <v>0</v>
      </c>
      <c r="B178" s="21" t="n">
        <v>172</v>
      </c>
      <c r="C178" s="14" t="inlineStr">
        <is>
          <t>Imperial era</t>
        </is>
      </c>
      <c r="D178" s="15" t="inlineStr">
        <is>
          <t>Jedi: Survivor</t>
        </is>
      </c>
      <c r="E178" s="16" t="inlineStr"/>
      <c r="F178" s="17" t="inlineStr">
        <is>
          <t>April 28, 2023</t>
        </is>
      </c>
      <c r="G178" s="15" t="inlineStr">
        <is>
          <t>Canon</t>
        </is>
      </c>
      <c r="H178" s="15" t="inlineStr">
        <is>
          <t>Game movie</t>
        </is>
      </c>
      <c r="I178" s="15" t="inlineStr">
        <is>
          <t>YouTube</t>
        </is>
      </c>
      <c r="J178" s="18">
        <f>HYPERLINK("https://www.youtube.com/watch?v=4kmQ_6uFyaU","Open")</f>
        <v/>
      </c>
      <c r="K178" s="15" t="inlineStr"/>
    </row>
    <row r="179" ht="15.75" customHeight="1" s="23">
      <c r="A179" s="21" t="b">
        <v>0</v>
      </c>
      <c r="B179" s="21" t="n">
        <v>173</v>
      </c>
      <c r="C179" s="14" t="inlineStr">
        <is>
          <t>Imperial era</t>
        </is>
      </c>
      <c r="D179" s="15" t="inlineStr">
        <is>
          <t>Droids animated series</t>
        </is>
      </c>
      <c r="E179" s="16" t="inlineStr"/>
      <c r="F179" s="15" t="inlineStr">
        <is>
          <t>September 7, 1985–June 7, 1986</t>
        </is>
      </c>
      <c r="G179" s="15" t="inlineStr">
        <is>
          <t>Legends</t>
        </is>
      </c>
      <c r="H179" s="15" t="inlineStr">
        <is>
          <t>Animated series</t>
        </is>
      </c>
      <c r="I179" s="15" t="inlineStr">
        <is>
          <t>Disney+</t>
        </is>
      </c>
      <c r="J179" s="19" t="inlineStr"/>
      <c r="K179" s="15" t="inlineStr">
        <is>
          <t>Broad placement; continuity conflicts</t>
        </is>
      </c>
    </row>
    <row r="180" ht="15.75" customHeight="1" s="23">
      <c r="A180" s="21" t="b">
        <v>0</v>
      </c>
      <c r="B180" s="21" t="n">
        <v>174</v>
      </c>
      <c r="C180" s="14" t="inlineStr">
        <is>
          <t>Imperial era</t>
        </is>
      </c>
      <c r="D180" s="15" t="inlineStr">
        <is>
          <t>Andor</t>
        </is>
      </c>
      <c r="E180" s="16" t="inlineStr"/>
      <c r="F180" s="15" t="inlineStr">
        <is>
          <t>S1 Sept. 21–Nov. 23, 2022; S2 Apr. 22–May 13, 2025</t>
        </is>
      </c>
      <c r="G180" s="15" t="inlineStr">
        <is>
          <t>Canon</t>
        </is>
      </c>
      <c r="H180" s="15" t="inlineStr">
        <is>
          <t>Series</t>
        </is>
      </c>
      <c r="I180" s="15" t="inlineStr">
        <is>
          <t>Disney+</t>
        </is>
      </c>
      <c r="J180" s="19" t="inlineStr"/>
      <c r="K180" s="15" t="inlineStr">
        <is>
          <t>Andor and Rebels overlap; watch each show intact</t>
        </is>
      </c>
    </row>
    <row r="181" ht="15.75" customHeight="1" s="23">
      <c r="A181" s="21" t="b">
        <v>0</v>
      </c>
      <c r="B181" s="21" t="n">
        <v>175</v>
      </c>
      <c r="C181" s="14" t="inlineStr">
        <is>
          <t>Imperial era</t>
        </is>
      </c>
      <c r="D181" s="15" t="inlineStr">
        <is>
          <t>Rebels shorts</t>
        </is>
      </c>
      <c r="E181" s="16" t="inlineStr"/>
      <c r="F181" s="15" t="inlineStr">
        <is>
          <t>August 11–September 29, 2014</t>
        </is>
      </c>
      <c r="G181" s="15" t="inlineStr">
        <is>
          <t>Canon</t>
        </is>
      </c>
      <c r="H181" s="15" t="inlineStr">
        <is>
          <t>Shorts</t>
        </is>
      </c>
      <c r="I181" s="15" t="inlineStr">
        <is>
          <t>Disney+ / YouTube</t>
        </is>
      </c>
      <c r="J181" s="18">
        <f>HYPERLINK("https://www.youtube.com/results?search_query=Star+Wars+Rebels+shorts+official","Open")</f>
        <v/>
      </c>
      <c r="K181" s="15" t="inlineStr"/>
    </row>
    <row r="182" ht="15.75" customHeight="1" s="23">
      <c r="A182" s="21" t="b">
        <v>0</v>
      </c>
      <c r="B182" s="21" t="n">
        <v>176</v>
      </c>
      <c r="C182" s="14" t="inlineStr">
        <is>
          <t>Imperial era</t>
        </is>
      </c>
      <c r="D182" s="15" t="inlineStr">
        <is>
          <t>Star Wars Rebels</t>
        </is>
      </c>
      <c r="E182" s="16" t="inlineStr"/>
      <c r="F182" s="15" t="inlineStr">
        <is>
          <t>October 3, 2014–March 5, 2018</t>
        </is>
      </c>
      <c r="G182" s="15" t="inlineStr">
        <is>
          <t>Canon</t>
        </is>
      </c>
      <c r="H182" s="15" t="inlineStr">
        <is>
          <t>Series</t>
        </is>
      </c>
      <c r="I182" s="15" t="inlineStr">
        <is>
          <t>Disney+</t>
        </is>
      </c>
      <c r="J182" s="19" t="inlineStr"/>
      <c r="K182" s="15" t="inlineStr">
        <is>
          <t>Seasons 1–4</t>
        </is>
      </c>
    </row>
    <row r="183" ht="15.75" customHeight="1" s="23">
      <c r="A183" s="21" t="b">
        <v>0</v>
      </c>
      <c r="B183" s="21" t="n">
        <v>177</v>
      </c>
      <c r="C183" s="14" t="inlineStr">
        <is>
          <t>Imperial era</t>
        </is>
      </c>
      <c r="D183" s="15" t="inlineStr">
        <is>
          <t>Forces of Destiny: Hasty Departure</t>
        </is>
      </c>
      <c r="E183" s="16" t="inlineStr">
        <is>
          <t>Season 2, Episode 1</t>
        </is>
      </c>
      <c r="F183" s="17" t="inlineStr">
        <is>
          <t>March 19, 2018</t>
        </is>
      </c>
      <c r="G183" s="15" t="inlineStr">
        <is>
          <t>Canon</t>
        </is>
      </c>
      <c r="H183" s="15" t="inlineStr">
        <is>
          <t>Short</t>
        </is>
      </c>
      <c r="I183" s="15" t="inlineStr">
        <is>
          <t>Disney+ / official YouTube</t>
        </is>
      </c>
      <c r="J183" s="18">
        <f>HYPERLINK("https://www.youtube.com/results?search_query=Star%20Wars%20Forces%20of%20Destiny%20Hasty%20Departure%20official","Open")</f>
        <v/>
      </c>
      <c r="K183" s="15" t="inlineStr">
        <is>
          <t>Rebels era</t>
        </is>
      </c>
    </row>
    <row r="184" ht="15.75" customHeight="1" s="23">
      <c r="A184" s="21" t="b">
        <v>0</v>
      </c>
      <c r="B184" s="21" t="n">
        <v>178</v>
      </c>
      <c r="C184" s="14" t="inlineStr">
        <is>
          <t>Imperial era</t>
        </is>
      </c>
      <c r="D184" s="15" t="inlineStr">
        <is>
          <t>Forces of Destiny: Bounty of Trouble</t>
        </is>
      </c>
      <c r="E184" s="16" t="inlineStr">
        <is>
          <t>Season 1, Episode 8</t>
        </is>
      </c>
      <c r="F184" s="17" t="inlineStr">
        <is>
          <t>July 9, 2017</t>
        </is>
      </c>
      <c r="G184" s="15" t="inlineStr">
        <is>
          <t>Canon</t>
        </is>
      </c>
      <c r="H184" s="15" t="inlineStr">
        <is>
          <t>Short</t>
        </is>
      </c>
      <c r="I184" s="15" t="inlineStr">
        <is>
          <t>Disney+ / official YouTube</t>
        </is>
      </c>
      <c r="J184" s="18">
        <f>HYPERLINK("https://www.youtube.com/results?search_query=Star%20Wars%20Forces%20of%20Destiny%20Bounty%20of%20Trouble%20official","Open")</f>
        <v/>
      </c>
      <c r="K184" s="15" t="inlineStr">
        <is>
          <t>Rebels era</t>
        </is>
      </c>
    </row>
    <row r="185" ht="15.75" customHeight="1" s="23">
      <c r="A185" s="21" t="b">
        <v>0</v>
      </c>
      <c r="B185" s="21" t="n">
        <v>179</v>
      </c>
      <c r="C185" s="14" t="inlineStr">
        <is>
          <t>Imperial era</t>
        </is>
      </c>
      <c r="D185" s="15" t="inlineStr">
        <is>
          <t>Forces of Destiny: Newest Recruit</t>
        </is>
      </c>
      <c r="E185" s="16" t="inlineStr">
        <is>
          <t>Season 1, Episode 12</t>
        </is>
      </c>
      <c r="F185" s="17" t="inlineStr">
        <is>
          <t>October 1, 2017</t>
        </is>
      </c>
      <c r="G185" s="15" t="inlineStr">
        <is>
          <t>Canon</t>
        </is>
      </c>
      <c r="H185" s="15" t="inlineStr">
        <is>
          <t>Short</t>
        </is>
      </c>
      <c r="I185" s="15" t="inlineStr">
        <is>
          <t>Disney+ / official YouTube</t>
        </is>
      </c>
      <c r="J185" s="18">
        <f>HYPERLINK("https://www.youtube.com/results?search_query=Star%20Wars%20Forces%20of%20Destiny%20Newest%20Recruit%20official","Open")</f>
        <v/>
      </c>
      <c r="K185" s="15" t="inlineStr">
        <is>
          <t>Rebels era</t>
        </is>
      </c>
    </row>
    <row r="186" ht="15.75" customHeight="1" s="23">
      <c r="A186" s="21" t="b">
        <v>0</v>
      </c>
      <c r="B186" s="21" t="n">
        <v>180</v>
      </c>
      <c r="C186" s="14" t="inlineStr">
        <is>
          <t>Imperial era</t>
        </is>
      </c>
      <c r="D186" s="15" t="inlineStr">
        <is>
          <t>Forces of Destiny: Crash Course</t>
        </is>
      </c>
      <c r="E186" s="16" t="inlineStr">
        <is>
          <t>Season 1, Episode 16</t>
        </is>
      </c>
      <c r="F186" s="17" t="inlineStr">
        <is>
          <t>November 1, 2017</t>
        </is>
      </c>
      <c r="G186" s="15" t="inlineStr">
        <is>
          <t>Canon</t>
        </is>
      </c>
      <c r="H186" s="15" t="inlineStr">
        <is>
          <t>Short</t>
        </is>
      </c>
      <c r="I186" s="15" t="inlineStr">
        <is>
          <t>Disney+ / official YouTube</t>
        </is>
      </c>
      <c r="J186" s="18">
        <f>HYPERLINK("https://www.youtube.com/results?search_query=Star%20Wars%20Forces%20of%20Destiny%20Crash%20Course%20official","Open")</f>
        <v/>
      </c>
      <c r="K186" s="15" t="inlineStr">
        <is>
          <t>Rebels era</t>
        </is>
      </c>
    </row>
    <row r="187" ht="15.75" customHeight="1" s="23">
      <c r="A187" s="21" t="b">
        <v>0</v>
      </c>
      <c r="B187" s="21" t="n">
        <v>181</v>
      </c>
      <c r="C187" s="14" t="inlineStr">
        <is>
          <t>Imperial era</t>
        </is>
      </c>
      <c r="D187" s="15" t="inlineStr">
        <is>
          <t>Forces of Destiny: A Disarming Lesson</t>
        </is>
      </c>
      <c r="E187" s="16" t="inlineStr">
        <is>
          <t>Season 2, Episode 16</t>
        </is>
      </c>
      <c r="F187" s="17" t="inlineStr">
        <is>
          <t>May 4, 2018</t>
        </is>
      </c>
      <c r="G187" s="15" t="inlineStr">
        <is>
          <t>Canon</t>
        </is>
      </c>
      <c r="H187" s="15" t="inlineStr">
        <is>
          <t>Short</t>
        </is>
      </c>
      <c r="I187" s="15" t="inlineStr">
        <is>
          <t>Disney+ / official YouTube</t>
        </is>
      </c>
      <c r="J187" s="18">
        <f>HYPERLINK("https://www.youtube.com/results?search_query=Star%20Wars%20Forces%20of%20Destiny%20A%20Disarming%20Lesson%20official","Open")</f>
        <v/>
      </c>
      <c r="K187" s="15" t="inlineStr">
        <is>
          <t>Rebels era</t>
        </is>
      </c>
    </row>
    <row r="188" ht="15.75" customHeight="1" s="23">
      <c r="A188" s="21" t="b">
        <v>0</v>
      </c>
      <c r="B188" s="21" t="n">
        <v>182</v>
      </c>
      <c r="C188" s="14" t="inlineStr">
        <is>
          <t>Imperial era</t>
        </is>
      </c>
      <c r="D188" s="15" t="inlineStr">
        <is>
          <t>Forces of Destiny: Art History</t>
        </is>
      </c>
      <c r="E188" s="16" t="inlineStr">
        <is>
          <t>Season 2, Episode 11</t>
        </is>
      </c>
      <c r="F188" s="17" t="inlineStr">
        <is>
          <t>May 4, 2018</t>
        </is>
      </c>
      <c r="G188" s="15" t="inlineStr">
        <is>
          <t>Canon</t>
        </is>
      </c>
      <c r="H188" s="15" t="inlineStr">
        <is>
          <t>Short</t>
        </is>
      </c>
      <c r="I188" s="15" t="inlineStr">
        <is>
          <t>Disney+ / official YouTube</t>
        </is>
      </c>
      <c r="J188" s="18">
        <f>HYPERLINK("https://www.youtube.com/results?search_query=Star%20Wars%20Forces%20of%20Destiny%20Art%20History%20official","Open")</f>
        <v/>
      </c>
      <c r="K188" s="15" t="inlineStr">
        <is>
          <t>Late Rebels era</t>
        </is>
      </c>
    </row>
    <row r="189" ht="15.75" customHeight="1" s="23">
      <c r="A189" s="21" t="b">
        <v>0</v>
      </c>
      <c r="B189" s="21" t="n">
        <v>183</v>
      </c>
      <c r="C189" s="14" t="inlineStr">
        <is>
          <t>Imperial era</t>
        </is>
      </c>
      <c r="D189" s="15" t="inlineStr">
        <is>
          <t>Forces of Destiny: Accidental Allies</t>
        </is>
      </c>
      <c r="E189" s="16" t="inlineStr">
        <is>
          <t>Season 1, Episode 13</t>
        </is>
      </c>
      <c r="F189" s="17" t="inlineStr">
        <is>
          <t>October 29, 2017</t>
        </is>
      </c>
      <c r="G189" s="15" t="inlineStr">
        <is>
          <t>Canon</t>
        </is>
      </c>
      <c r="H189" s="15" t="inlineStr">
        <is>
          <t>Short</t>
        </is>
      </c>
      <c r="I189" s="15" t="inlineStr">
        <is>
          <t>Disney+ / official YouTube</t>
        </is>
      </c>
      <c r="J189" s="18">
        <f>HYPERLINK("https://www.youtube.com/results?search_query=Star%20Wars%20Forces%20of%20Destiny%20Accidental%20Allies%20official","Open")</f>
        <v/>
      </c>
      <c r="K189" s="15" t="inlineStr">
        <is>
          <t>Before Rogue One</t>
        </is>
      </c>
    </row>
    <row r="190" ht="15.75" customHeight="1" s="23">
      <c r="A190" s="21" t="b">
        <v>0</v>
      </c>
      <c r="B190" s="21" t="n">
        <v>184</v>
      </c>
      <c r="C190" s="14" t="inlineStr">
        <is>
          <t>Imperial era</t>
        </is>
      </c>
      <c r="D190" s="15" t="inlineStr">
        <is>
          <t>Forces of Destiny: The Stranger</t>
        </is>
      </c>
      <c r="E190" s="16" t="inlineStr">
        <is>
          <t>Season 1, Episode 7</t>
        </is>
      </c>
      <c r="F190" s="17" t="inlineStr">
        <is>
          <t>July 9, 2017</t>
        </is>
      </c>
      <c r="G190" s="15" t="inlineStr">
        <is>
          <t>Canon</t>
        </is>
      </c>
      <c r="H190" s="15" t="inlineStr">
        <is>
          <t>Short</t>
        </is>
      </c>
      <c r="I190" s="15" t="inlineStr">
        <is>
          <t>Disney+ / official YouTube</t>
        </is>
      </c>
      <c r="J190" s="18">
        <f>HYPERLINK("https://www.youtube.com/results?search_query=Star%20Wars%20Forces%20of%20Destiny%20The%20Stranger%20official","Open")</f>
        <v/>
      </c>
      <c r="K190" s="15" t="inlineStr">
        <is>
          <t>Before Rogue One</t>
        </is>
      </c>
    </row>
    <row r="191" ht="15.75" customHeight="1" s="23">
      <c r="A191" s="21" t="b">
        <v>0</v>
      </c>
      <c r="B191" s="21" t="n">
        <v>185</v>
      </c>
      <c r="C191" s="14" t="inlineStr">
        <is>
          <t>Imperial era</t>
        </is>
      </c>
      <c r="D191" s="15" t="inlineStr">
        <is>
          <t>Forces of Destiny: Jyn's Trade</t>
        </is>
      </c>
      <c r="E191" s="16" t="inlineStr">
        <is>
          <t>Season 2, Episode 4</t>
        </is>
      </c>
      <c r="F191" s="17" t="inlineStr">
        <is>
          <t>March 19, 2018</t>
        </is>
      </c>
      <c r="G191" s="15" t="inlineStr">
        <is>
          <t>Canon</t>
        </is>
      </c>
      <c r="H191" s="15" t="inlineStr">
        <is>
          <t>Short</t>
        </is>
      </c>
      <c r="I191" s="15" t="inlineStr">
        <is>
          <t>Disney+ / official YouTube</t>
        </is>
      </c>
      <c r="J191" s="18">
        <f>HYPERLINK("https://www.youtube.com/results?search_query=Star%20Wars%20Forces%20of%20Destiny%20Jyn's%20Trade%20official","Open")</f>
        <v/>
      </c>
      <c r="K191" s="15" t="inlineStr">
        <is>
          <t>Before Rogue One</t>
        </is>
      </c>
    </row>
    <row r="192" ht="15.75" customHeight="1" s="23">
      <c r="A192" s="21" t="b">
        <v>0</v>
      </c>
      <c r="B192" s="21" t="n">
        <v>186</v>
      </c>
      <c r="C192" s="14" t="inlineStr">
        <is>
          <t>Imperial era</t>
        </is>
      </c>
      <c r="D192" s="15" t="inlineStr">
        <is>
          <t>Tales of the Underworld: Cad Bane trilogy</t>
        </is>
      </c>
      <c r="E192" s="16" t="inlineStr"/>
      <c r="F192" s="17" t="inlineStr">
        <is>
          <t>May 4, 2025</t>
        </is>
      </c>
      <c r="G192" s="15" t="inlineStr">
        <is>
          <t>Canon</t>
        </is>
      </c>
      <c r="H192" s="15" t="inlineStr">
        <is>
          <t>3 episodes</t>
        </is>
      </c>
      <c r="I192" s="15" t="inlineStr">
        <is>
          <t>Disney+</t>
        </is>
      </c>
      <c r="J192" s="19" t="inlineStr"/>
      <c r="K192" s="15" t="inlineStr"/>
    </row>
    <row r="193" ht="15.75" customHeight="1" s="23">
      <c r="A193" s="21" t="b">
        <v>0</v>
      </c>
      <c r="B193" s="21" t="n">
        <v>187</v>
      </c>
      <c r="C193" s="14" t="inlineStr">
        <is>
          <t>Imperial era</t>
        </is>
      </c>
      <c r="D193" s="15" t="inlineStr">
        <is>
          <t>Tales of the Empire: Morgan Elsbeth trilogy</t>
        </is>
      </c>
      <c r="E193" s="16" t="inlineStr"/>
      <c r="F193" s="17" t="inlineStr">
        <is>
          <t>May 4, 2024</t>
        </is>
      </c>
      <c r="G193" s="15" t="inlineStr">
        <is>
          <t>Canon</t>
        </is>
      </c>
      <c r="H193" s="15" t="inlineStr">
        <is>
          <t>3 episodes</t>
        </is>
      </c>
      <c r="I193" s="15" t="inlineStr">
        <is>
          <t>Disney+</t>
        </is>
      </c>
      <c r="J193" s="19" t="inlineStr"/>
      <c r="K193" s="15" t="inlineStr"/>
    </row>
    <row r="194" ht="15.75" customHeight="1" s="23">
      <c r="A194" s="21" t="b">
        <v>0</v>
      </c>
      <c r="B194" s="21" t="n">
        <v>188</v>
      </c>
      <c r="C194" s="14" t="inlineStr">
        <is>
          <t>Imperial era</t>
        </is>
      </c>
      <c r="D194" s="15" t="inlineStr">
        <is>
          <t>Vader Immortal</t>
        </is>
      </c>
      <c r="E194" s="16" t="inlineStr"/>
      <c r="F194" s="15" t="inlineStr">
        <is>
          <t>May 21; Sept. 25; Nov. 21, 2019</t>
        </is>
      </c>
      <c r="G194" s="15" t="inlineStr">
        <is>
          <t>Canon</t>
        </is>
      </c>
      <c r="H194" s="15" t="inlineStr">
        <is>
          <t>VR game movie</t>
        </is>
      </c>
      <c r="I194" s="15" t="inlineStr">
        <is>
          <t>YouTube</t>
        </is>
      </c>
      <c r="J194" s="18">
        <f>HYPERLINK("https://www.youtube.com/results?search_query=Vader+Immortal+full+game+movie+all+episodes+no+commentary","Open")</f>
        <v/>
      </c>
      <c r="K194" s="15" t="inlineStr">
        <is>
          <t>Episodes I–III</t>
        </is>
      </c>
    </row>
    <row r="195" ht="15.75" customHeight="1" s="23">
      <c r="A195" s="21" t="b">
        <v>0</v>
      </c>
      <c r="B195" s="21" t="n">
        <v>189</v>
      </c>
      <c r="C195" s="14" t="inlineStr">
        <is>
          <t>Imperial era</t>
        </is>
      </c>
      <c r="D195" s="15" t="inlineStr">
        <is>
          <t>Rogue One</t>
        </is>
      </c>
      <c r="E195" s="16" t="inlineStr"/>
      <c r="F195" s="17" t="inlineStr">
        <is>
          <t>December 16, 2016</t>
        </is>
      </c>
      <c r="G195" s="15" t="inlineStr">
        <is>
          <t>Canon</t>
        </is>
      </c>
      <c r="H195" s="15" t="inlineStr">
        <is>
          <t>Movie</t>
        </is>
      </c>
      <c r="I195" s="15" t="inlineStr">
        <is>
          <t>Disney+</t>
        </is>
      </c>
      <c r="J195" s="19" t="inlineStr"/>
      <c r="K195" s="15" t="inlineStr"/>
    </row>
    <row r="196" ht="15.75" customHeight="1" s="23">
      <c r="A196" s="21" t="b">
        <v>0</v>
      </c>
      <c r="B196" s="21" t="n">
        <v>190</v>
      </c>
      <c r="C196" s="14" t="inlineStr">
        <is>
          <t>Imperial era</t>
        </is>
      </c>
      <c r="D196" s="15" t="inlineStr">
        <is>
          <t>Episode IV: A New Hope</t>
        </is>
      </c>
      <c r="E196" s="16" t="inlineStr"/>
      <c r="F196" s="17" t="inlineStr">
        <is>
          <t>May 25, 1977</t>
        </is>
      </c>
      <c r="G196" s="15" t="inlineStr">
        <is>
          <t>Canon</t>
        </is>
      </c>
      <c r="H196" s="15" t="inlineStr">
        <is>
          <t>Movie</t>
        </is>
      </c>
      <c r="I196" s="15" t="inlineStr">
        <is>
          <t>Disney+</t>
        </is>
      </c>
      <c r="J196" s="19" t="inlineStr"/>
      <c r="K196" s="15" t="inlineStr"/>
    </row>
    <row r="197" ht="15.75" customHeight="1" s="23">
      <c r="A197" s="21" t="b">
        <v>0</v>
      </c>
      <c r="B197" s="21" t="n">
        <v>191</v>
      </c>
      <c r="C197" s="14" t="inlineStr">
        <is>
          <t>Imperial era</t>
        </is>
      </c>
      <c r="D197" s="15" t="inlineStr">
        <is>
          <t>SC 38 Reimagined</t>
        </is>
      </c>
      <c r="E197" s="16" t="inlineStr"/>
      <c r="F197" s="17" t="inlineStr">
        <is>
          <t>May 8, 2019</t>
        </is>
      </c>
      <c r="G197" s="15" t="inlineStr">
        <is>
          <t>Fan / non-canon</t>
        </is>
      </c>
      <c r="H197" s="15" t="inlineStr">
        <is>
          <t>Fan film</t>
        </is>
      </c>
      <c r="I197" s="15" t="inlineStr">
        <is>
          <t>YouTube</t>
        </is>
      </c>
      <c r="J197" s="18">
        <f>HYPERLINK("https://www.youtube.com/results?search_query=SC+38+Reimagined+FXitinPost","Open")</f>
        <v/>
      </c>
      <c r="K197" s="15" t="inlineStr">
        <is>
          <t>Extended alternate version of the Obi-Wan/Vader duel inside A New Hope</t>
        </is>
      </c>
    </row>
    <row r="198" ht="15.75" customHeight="1" s="23">
      <c r="A198" s="21" t="b">
        <v>0</v>
      </c>
      <c r="B198" s="21" t="n">
        <v>192</v>
      </c>
      <c r="C198" s="14" t="inlineStr">
        <is>
          <t>Galactic Civil War</t>
        </is>
      </c>
      <c r="D198" s="15" t="inlineStr">
        <is>
          <t>The Star Wars Holiday Special</t>
        </is>
      </c>
      <c r="E198" s="16" t="inlineStr"/>
      <c r="F198" s="17" t="inlineStr">
        <is>
          <t>November 17, 1978</t>
        </is>
      </c>
      <c r="G198" s="15" t="inlineStr">
        <is>
          <t>Canon-adjacent oddity</t>
        </is>
      </c>
      <c r="H198" s="15" t="inlineStr">
        <is>
          <t>TV special</t>
        </is>
      </c>
      <c r="I198" s="15" t="inlineStr">
        <is>
          <t>No official stream</t>
        </is>
      </c>
      <c r="J198" s="19" t="inlineStr"/>
      <c r="K198" s="15" t="inlineStr">
        <is>
          <t>Complete special is not officially available</t>
        </is>
      </c>
    </row>
    <row r="199" ht="15.75" customHeight="1" s="23">
      <c r="A199" s="21" t="b">
        <v>0</v>
      </c>
      <c r="B199" s="21" t="n">
        <v>193</v>
      </c>
      <c r="C199" s="14" t="inlineStr">
        <is>
          <t>Galactic Civil War</t>
        </is>
      </c>
      <c r="D199" s="15" t="inlineStr">
        <is>
          <t>The Story of the Faithful Wookiee</t>
        </is>
      </c>
      <c r="E199" s="16" t="inlineStr"/>
      <c r="F199" s="17" t="inlineStr">
        <is>
          <t>November 17, 1978</t>
        </is>
      </c>
      <c r="G199" s="15" t="inlineStr">
        <is>
          <t>Canon-adjacent</t>
        </is>
      </c>
      <c r="H199" s="15" t="inlineStr">
        <is>
          <t>Animated short</t>
        </is>
      </c>
      <c r="I199" s="15" t="inlineStr">
        <is>
          <t>Disney+</t>
        </is>
      </c>
      <c r="J199" s="19" t="inlineStr"/>
      <c r="K199" s="15" t="inlineStr">
        <is>
          <t>Animated Holiday Special segment introducing Boba Fett</t>
        </is>
      </c>
    </row>
    <row r="200" ht="15.75" customHeight="1" s="23">
      <c r="A200" s="21" t="b">
        <v>0</v>
      </c>
      <c r="B200" s="21" t="n">
        <v>194</v>
      </c>
      <c r="C200" s="14" t="inlineStr">
        <is>
          <t>Galactic Civil War</t>
        </is>
      </c>
      <c r="D200" s="15" t="inlineStr">
        <is>
          <t>Forces of Destiny: Beasts of Echo Base</t>
        </is>
      </c>
      <c r="E200" s="16" t="inlineStr">
        <is>
          <t>Season 1, Episode 5</t>
        </is>
      </c>
      <c r="F200" s="17" t="inlineStr">
        <is>
          <t>July 7, 2017</t>
        </is>
      </c>
      <c r="G200" s="15" t="inlineStr">
        <is>
          <t>Canon</t>
        </is>
      </c>
      <c r="H200" s="15" t="inlineStr">
        <is>
          <t>Short</t>
        </is>
      </c>
      <c r="I200" s="15" t="inlineStr">
        <is>
          <t>Disney+ / official YouTube</t>
        </is>
      </c>
      <c r="J200" s="18">
        <f>HYPERLINK("https://www.youtube.com/results?search_query=Star%20Wars%20Forces%20of%20Destiny%20Beasts%20of%20Echo%20Base%20official","Open")</f>
        <v/>
      </c>
      <c r="K200" s="15" t="inlineStr">
        <is>
          <t>Before The Empire Strikes Back</t>
        </is>
      </c>
    </row>
    <row r="201" ht="15.75" customHeight="1" s="23">
      <c r="A201" s="21" t="b">
        <v>0</v>
      </c>
      <c r="B201" s="21" t="n">
        <v>195</v>
      </c>
      <c r="C201" s="14" t="inlineStr">
        <is>
          <t>Galactic Civil War</t>
        </is>
      </c>
      <c r="D201" s="15" t="inlineStr">
        <is>
          <t>Episode V: The Empire Strikes Back</t>
        </is>
      </c>
      <c r="E201" s="16" t="inlineStr"/>
      <c r="F201" s="17" t="inlineStr">
        <is>
          <t>May 21, 1980</t>
        </is>
      </c>
      <c r="G201" s="15" t="inlineStr">
        <is>
          <t>Canon</t>
        </is>
      </c>
      <c r="H201" s="15" t="inlineStr">
        <is>
          <t>Movie</t>
        </is>
      </c>
      <c r="I201" s="15" t="inlineStr">
        <is>
          <t>Disney+</t>
        </is>
      </c>
      <c r="J201" s="19" t="inlineStr"/>
      <c r="K201" s="15" t="inlineStr"/>
    </row>
    <row r="202" ht="15.75" customHeight="1" s="23">
      <c r="A202" s="21" t="b">
        <v>0</v>
      </c>
      <c r="B202" s="21" t="n">
        <v>196</v>
      </c>
      <c r="C202" s="14" t="inlineStr">
        <is>
          <t>Galactic Civil War</t>
        </is>
      </c>
      <c r="D202" s="15" t="inlineStr">
        <is>
          <t>Forces of Destiny: The Path Ahead</t>
        </is>
      </c>
      <c r="E202" s="16" t="inlineStr">
        <is>
          <t>Season 2, Episode 7</t>
        </is>
      </c>
      <c r="F202" s="17" t="inlineStr">
        <is>
          <t>March 19, 2018</t>
        </is>
      </c>
      <c r="G202" s="15" t="inlineStr">
        <is>
          <t>Canon</t>
        </is>
      </c>
      <c r="H202" s="15" t="inlineStr">
        <is>
          <t>Short</t>
        </is>
      </c>
      <c r="I202" s="15" t="inlineStr">
        <is>
          <t>Disney+ / official YouTube</t>
        </is>
      </c>
      <c r="J202" s="18">
        <f>HYPERLINK("https://www.youtube.com/results?search_query=Star%20Wars%20Forces%20of%20Destiny%20The%20Path%20Ahead%20official","Open")</f>
        <v/>
      </c>
      <c r="K202" s="15" t="inlineStr">
        <is>
          <t>During The Empire Strikes Back</t>
        </is>
      </c>
    </row>
    <row r="203" ht="15.75" customHeight="1" s="23">
      <c r="A203" s="21" t="b">
        <v>0</v>
      </c>
      <c r="B203" s="21" t="n">
        <v>197</v>
      </c>
      <c r="C203" s="14" t="inlineStr">
        <is>
          <t>Galactic Civil War</t>
        </is>
      </c>
      <c r="D203" s="15" t="inlineStr">
        <is>
          <t>Star Wars Outlaws</t>
        </is>
      </c>
      <c r="E203" s="16" t="inlineStr"/>
      <c r="F203" s="17" t="inlineStr">
        <is>
          <t>August 30, 2024</t>
        </is>
      </c>
      <c r="G203" s="15" t="inlineStr">
        <is>
          <t>Canon</t>
        </is>
      </c>
      <c r="H203" s="15" t="inlineStr">
        <is>
          <t>Game movie</t>
        </is>
      </c>
      <c r="I203" s="15" t="inlineStr">
        <is>
          <t>YouTube</t>
        </is>
      </c>
      <c r="J203" s="18">
        <f>HYPERLINK("https://www.youtube.com/watch?v=ENdpvW1otMQ","Open")</f>
        <v/>
      </c>
      <c r="K203" s="15" t="inlineStr">
        <is>
          <t>Wild Card Nov. 21, 2024; A Pirate's Fortune May 15, 2025</t>
        </is>
      </c>
    </row>
    <row r="204" ht="15.75" customHeight="1" s="23">
      <c r="A204" s="21" t="b">
        <v>0</v>
      </c>
      <c r="B204" s="21" t="n">
        <v>198</v>
      </c>
      <c r="C204" s="14" t="inlineStr">
        <is>
          <t>Galactic Civil War</t>
        </is>
      </c>
      <c r="D204" s="15" t="inlineStr">
        <is>
          <t>Ewoks animated series</t>
        </is>
      </c>
      <c r="E204" s="16" t="inlineStr"/>
      <c r="F204" s="15" t="inlineStr">
        <is>
          <t>September 7, 1985–December 13, 1986</t>
        </is>
      </c>
      <c r="G204" s="15" t="inlineStr">
        <is>
          <t>Legends</t>
        </is>
      </c>
      <c r="H204" s="15" t="inlineStr">
        <is>
          <t>Animated series</t>
        </is>
      </c>
      <c r="I204" s="15" t="inlineStr">
        <is>
          <t>Disney+</t>
        </is>
      </c>
      <c r="J204" s="19" t="inlineStr"/>
      <c r="K204" s="15" t="inlineStr"/>
    </row>
    <row r="205" ht="15.75" customHeight="1" s="23">
      <c r="A205" s="21" t="b">
        <v>0</v>
      </c>
      <c r="B205" s="21" t="n">
        <v>199</v>
      </c>
      <c r="C205" s="14" t="inlineStr">
        <is>
          <t>Galactic Civil War</t>
        </is>
      </c>
      <c r="D205" s="15" t="inlineStr">
        <is>
          <t>Caravan of Courage: An Ewok Adventure</t>
        </is>
      </c>
      <c r="E205" s="16" t="inlineStr"/>
      <c r="F205" s="17" t="inlineStr">
        <is>
          <t>November 25, 1984</t>
        </is>
      </c>
      <c r="G205" s="15" t="inlineStr">
        <is>
          <t>Legends</t>
        </is>
      </c>
      <c r="H205" s="15" t="inlineStr">
        <is>
          <t>TV movie</t>
        </is>
      </c>
      <c r="I205" s="15" t="inlineStr">
        <is>
          <t>Disney+</t>
        </is>
      </c>
      <c r="J205" s="19" t="inlineStr"/>
      <c r="K205" s="15" t="inlineStr"/>
    </row>
    <row r="206" ht="15.75" customHeight="1" s="23">
      <c r="A206" s="21" t="b">
        <v>0</v>
      </c>
      <c r="B206" s="21" t="n">
        <v>200</v>
      </c>
      <c r="C206" s="14" t="inlineStr">
        <is>
          <t>Galactic Civil War</t>
        </is>
      </c>
      <c r="D206" s="15" t="inlineStr">
        <is>
          <t>Ewoks: The Battle for Endor</t>
        </is>
      </c>
      <c r="E206" s="16" t="inlineStr"/>
      <c r="F206" s="17" t="inlineStr">
        <is>
          <t>November 24, 1985</t>
        </is>
      </c>
      <c r="G206" s="15" t="inlineStr">
        <is>
          <t>Legends</t>
        </is>
      </c>
      <c r="H206" s="15" t="inlineStr">
        <is>
          <t>TV movie</t>
        </is>
      </c>
      <c r="I206" s="15" t="inlineStr">
        <is>
          <t>Disney+</t>
        </is>
      </c>
      <c r="J206" s="19" t="inlineStr"/>
      <c r="K206" s="15" t="inlineStr"/>
    </row>
    <row r="207" ht="15.75" customHeight="1" s="23">
      <c r="A207" s="21" t="b">
        <v>0</v>
      </c>
      <c r="B207" s="21" t="n">
        <v>201</v>
      </c>
      <c r="C207" s="14" t="inlineStr">
        <is>
          <t>Galactic Civil War</t>
        </is>
      </c>
      <c r="D207" s="15" t="inlineStr">
        <is>
          <t>Forces of Destiny: Bounty Hunted</t>
        </is>
      </c>
      <c r="E207" s="16" t="inlineStr">
        <is>
          <t>Season 2, Episode 6</t>
        </is>
      </c>
      <c r="F207" s="17" t="inlineStr">
        <is>
          <t>March 19, 2018</t>
        </is>
      </c>
      <c r="G207" s="15" t="inlineStr">
        <is>
          <t>Canon</t>
        </is>
      </c>
      <c r="H207" s="15" t="inlineStr">
        <is>
          <t>Short</t>
        </is>
      </c>
      <c r="I207" s="15" t="inlineStr">
        <is>
          <t>Disney+ / official YouTube</t>
        </is>
      </c>
      <c r="J207" s="18">
        <f>HYPERLINK("https://www.youtube.com/results?search_query=Star%20Wars%20Forces%20of%20Destiny%20Bounty%20Hunted%20official","Open")</f>
        <v/>
      </c>
      <c r="K207" s="15" t="inlineStr">
        <is>
          <t>Before Return of the Jedi</t>
        </is>
      </c>
    </row>
    <row r="208" ht="15.75" customHeight="1" s="23">
      <c r="A208" s="21" t="b">
        <v>0</v>
      </c>
      <c r="B208" s="21" t="n">
        <v>202</v>
      </c>
      <c r="C208" s="14" t="inlineStr">
        <is>
          <t>Galactic Civil War</t>
        </is>
      </c>
      <c r="D208" s="15" t="inlineStr">
        <is>
          <t>Episode VI: Return of the Jedi</t>
        </is>
      </c>
      <c r="E208" s="16" t="inlineStr"/>
      <c r="F208" s="17" t="inlineStr">
        <is>
          <t>May 25, 1983</t>
        </is>
      </c>
      <c r="G208" s="15" t="inlineStr">
        <is>
          <t>Canon</t>
        </is>
      </c>
      <c r="H208" s="15" t="inlineStr">
        <is>
          <t>Movie</t>
        </is>
      </c>
      <c r="I208" s="15" t="inlineStr">
        <is>
          <t>Disney+</t>
        </is>
      </c>
      <c r="J208" s="19" t="inlineStr"/>
      <c r="K208" s="15" t="inlineStr"/>
    </row>
    <row r="209" ht="15.75" customHeight="1" s="23">
      <c r="A209" s="21" t="b">
        <v>0</v>
      </c>
      <c r="B209" s="21" t="n">
        <v>203</v>
      </c>
      <c r="C209" s="14" t="inlineStr">
        <is>
          <t>Galactic Civil War</t>
        </is>
      </c>
      <c r="D209" s="15" t="inlineStr">
        <is>
          <t>Forces of Destiny: Ewok Escape</t>
        </is>
      </c>
      <c r="E209" s="16" t="inlineStr">
        <is>
          <t>Season 1, Episode 3</t>
        </is>
      </c>
      <c r="F209" s="17" t="inlineStr">
        <is>
          <t>July 5, 2017</t>
        </is>
      </c>
      <c r="G209" s="15" t="inlineStr">
        <is>
          <t>Canon</t>
        </is>
      </c>
      <c r="H209" s="15" t="inlineStr">
        <is>
          <t>Short</t>
        </is>
      </c>
      <c r="I209" s="15" t="inlineStr">
        <is>
          <t>Disney+ / official YouTube</t>
        </is>
      </c>
      <c r="J209" s="18">
        <f>HYPERLINK("https://www.youtube.com/results?search_query=Star%20Wars%20Forces%20of%20Destiny%20Ewok%20Escape%20official","Open")</f>
        <v/>
      </c>
      <c r="K209" s="15" t="inlineStr">
        <is>
          <t>During Return of the Jedi</t>
        </is>
      </c>
    </row>
    <row r="210" ht="15.75" customHeight="1" s="23">
      <c r="A210" s="21" t="b">
        <v>0</v>
      </c>
      <c r="B210" s="21" t="n">
        <v>204</v>
      </c>
      <c r="C210" s="14" t="inlineStr">
        <is>
          <t>Galactic Civil War</t>
        </is>
      </c>
      <c r="D210" s="15" t="inlineStr">
        <is>
          <t>Forces of Destiny: Chopper and Friends</t>
        </is>
      </c>
      <c r="E210" s="16" t="inlineStr">
        <is>
          <t>Season 2, Episode 9</t>
        </is>
      </c>
      <c r="F210" s="17" t="inlineStr">
        <is>
          <t>May 4, 2018</t>
        </is>
      </c>
      <c r="G210" s="15" t="inlineStr">
        <is>
          <t>Canon</t>
        </is>
      </c>
      <c r="H210" s="15" t="inlineStr">
        <is>
          <t>Short</t>
        </is>
      </c>
      <c r="I210" s="15" t="inlineStr">
        <is>
          <t>Disney+ / official YouTube</t>
        </is>
      </c>
      <c r="J210" s="18">
        <f>HYPERLINK("https://www.youtube.com/results?search_query=Star%20Wars%20Forces%20of%20Destiny%20Chopper%20and%20Friends%20official","Open")</f>
        <v/>
      </c>
      <c r="K210" s="15" t="inlineStr">
        <is>
          <t>Endor era</t>
        </is>
      </c>
    </row>
    <row r="211" ht="15.75" customHeight="1" s="23">
      <c r="A211" s="21" t="b">
        <v>0</v>
      </c>
      <c r="B211" s="21" t="n">
        <v>205</v>
      </c>
      <c r="C211" s="14" t="inlineStr">
        <is>
          <t>Galactic Civil War</t>
        </is>
      </c>
      <c r="D211" s="15" t="inlineStr">
        <is>
          <t>Forces of Destiny: Traps and Tribulations</t>
        </is>
      </c>
      <c r="E211" s="16" t="inlineStr">
        <is>
          <t>Season 2, Episode 15</t>
        </is>
      </c>
      <c r="F211" s="17" t="inlineStr">
        <is>
          <t>May 4, 2018</t>
        </is>
      </c>
      <c r="G211" s="15" t="inlineStr">
        <is>
          <t>Canon</t>
        </is>
      </c>
      <c r="H211" s="15" t="inlineStr">
        <is>
          <t>Short</t>
        </is>
      </c>
      <c r="I211" s="15" t="inlineStr">
        <is>
          <t>Disney+ / official YouTube</t>
        </is>
      </c>
      <c r="J211" s="18">
        <f>HYPERLINK("https://www.youtube.com/results?search_query=Star%20Wars%20Forces%20of%20Destiny%20Traps%20and%20Tribulations%20official","Open")</f>
        <v/>
      </c>
      <c r="K211" s="15" t="inlineStr">
        <is>
          <t>Endor era</t>
        </is>
      </c>
    </row>
    <row r="212" ht="15.75" customHeight="1" s="23">
      <c r="A212" s="21" t="b">
        <v>0</v>
      </c>
      <c r="B212" s="21" t="n">
        <v>206</v>
      </c>
      <c r="C212" s="14" t="inlineStr">
        <is>
          <t>Galactic Civil War</t>
        </is>
      </c>
      <c r="D212" s="15" t="inlineStr">
        <is>
          <t>Forces of Destiny: An Imperial Feast</t>
        </is>
      </c>
      <c r="E212" s="16" t="inlineStr">
        <is>
          <t>Season 1, Episode 14</t>
        </is>
      </c>
      <c r="F212" s="17" t="inlineStr">
        <is>
          <t>October 30, 2017</t>
        </is>
      </c>
      <c r="G212" s="15" t="inlineStr">
        <is>
          <t>Canon</t>
        </is>
      </c>
      <c r="H212" s="15" t="inlineStr">
        <is>
          <t>Short</t>
        </is>
      </c>
      <c r="I212" s="15" t="inlineStr">
        <is>
          <t>Disney+ / official YouTube</t>
        </is>
      </c>
      <c r="J212" s="18">
        <f>HYPERLINK("https://www.youtube.com/results?search_query=Star%20Wars%20Forces%20of%20Destiny%20An%20Imperial%20Feast%20official","Open")</f>
        <v/>
      </c>
      <c r="K212" s="15" t="inlineStr">
        <is>
          <t>After Return of the Jedi</t>
        </is>
      </c>
    </row>
    <row r="213" ht="15.75" customHeight="1" s="23">
      <c r="A213" s="21" t="b">
        <v>0</v>
      </c>
      <c r="B213" s="21" t="n">
        <v>207</v>
      </c>
      <c r="C213" s="14" t="inlineStr">
        <is>
          <t>New Republic</t>
        </is>
      </c>
      <c r="D213" s="15" t="inlineStr">
        <is>
          <t>Battlefront II campaign</t>
        </is>
      </c>
      <c r="E213" s="16" t="inlineStr"/>
      <c r="F213" s="17" t="inlineStr">
        <is>
          <t>November 17, 2017</t>
        </is>
      </c>
      <c r="G213" s="15" t="inlineStr">
        <is>
          <t>Canon</t>
        </is>
      </c>
      <c r="H213" s="15" t="inlineStr">
        <is>
          <t>Game movie</t>
        </is>
      </c>
      <c r="I213" s="15" t="inlineStr">
        <is>
          <t>YouTube</t>
        </is>
      </c>
      <c r="J213" s="18">
        <f>HYPERLINK("https://www.youtube.com/results?search_query=STAR+WARS+BATTLEFRONT+2+All+Cutscenes+Game+Movie+2017+Gamer%27s+Little+Playground","Open")</f>
        <v/>
      </c>
      <c r="K213" s="15" t="inlineStr">
        <is>
          <t>Main post-Endor campaign</t>
        </is>
      </c>
    </row>
    <row r="214" ht="15.75" customHeight="1" s="23">
      <c r="A214" s="21" t="b">
        <v>0</v>
      </c>
      <c r="B214" s="21" t="n">
        <v>208</v>
      </c>
      <c r="C214" s="14" t="inlineStr">
        <is>
          <t>New Republic</t>
        </is>
      </c>
      <c r="D214" s="15" t="inlineStr">
        <is>
          <t>Star Wars: Squadrons</t>
        </is>
      </c>
      <c r="E214" s="16" t="inlineStr"/>
      <c r="F214" s="17" t="inlineStr">
        <is>
          <t>October 2, 2020</t>
        </is>
      </c>
      <c r="G214" s="15" t="inlineStr">
        <is>
          <t>Canon</t>
        </is>
      </c>
      <c r="H214" s="15" t="inlineStr">
        <is>
          <t>Game movie</t>
        </is>
      </c>
      <c r="I214" s="15" t="inlineStr">
        <is>
          <t>YouTube</t>
        </is>
      </c>
      <c r="J214" s="18">
        <f>HYPERLINK("https://www.youtube.com/watch?v=k9W0XsRxLBU","Open")</f>
        <v/>
      </c>
      <c r="K214" s="15" t="inlineStr"/>
    </row>
    <row r="215" ht="15.75" customHeight="1" s="23">
      <c r="A215" s="21" t="b">
        <v>0</v>
      </c>
      <c r="B215" s="21" t="n">
        <v>209</v>
      </c>
      <c r="C215" s="14" t="inlineStr">
        <is>
          <t>New Republic</t>
        </is>
      </c>
      <c r="D215" s="15" t="inlineStr">
        <is>
          <t>Star Wars: Uprising</t>
        </is>
      </c>
      <c r="E215" s="16" t="inlineStr"/>
      <c r="F215" s="17" t="inlineStr">
        <is>
          <t>September 10, 2015</t>
        </is>
      </c>
      <c r="G215" s="15" t="inlineStr">
        <is>
          <t>Canon</t>
        </is>
      </c>
      <c r="H215" s="15" t="inlineStr">
        <is>
          <t>Game recording</t>
        </is>
      </c>
      <c r="I215" s="15" t="inlineStr">
        <is>
          <t>YouTube</t>
        </is>
      </c>
      <c r="J215" s="18">
        <f>HYPERLINK("https://www.youtube.com/results?search_query=Star+Wars+Uprising+full+story+gameplay+movie","Open")</f>
        <v/>
      </c>
      <c r="K215" s="15" t="inlineStr">
        <is>
          <t>Servers closed November 17, 2016</t>
        </is>
      </c>
    </row>
    <row r="216" ht="15.75" customHeight="1" s="23">
      <c r="A216" s="21" t="b">
        <v>0</v>
      </c>
      <c r="B216" s="21" t="n">
        <v>210</v>
      </c>
      <c r="C216" s="14" t="inlineStr">
        <is>
          <t>New Republic</t>
        </is>
      </c>
      <c r="D216" s="15" t="inlineStr">
        <is>
          <t>The Mandalorian Season 1</t>
        </is>
      </c>
      <c r="E216" s="16" t="inlineStr"/>
      <c r="F216" s="15" t="inlineStr">
        <is>
          <t>November 12–December 27, 2019</t>
        </is>
      </c>
      <c r="G216" s="15" t="inlineStr">
        <is>
          <t>Canon</t>
        </is>
      </c>
      <c r="H216" s="15" t="inlineStr">
        <is>
          <t>Season</t>
        </is>
      </c>
      <c r="I216" s="15" t="inlineStr">
        <is>
          <t>Disney+</t>
        </is>
      </c>
      <c r="J216" s="19" t="inlineStr"/>
      <c r="K216" s="15" t="inlineStr"/>
    </row>
    <row r="217" ht="15.75" customHeight="1" s="23">
      <c r="A217" s="21" t="b">
        <v>0</v>
      </c>
      <c r="B217" s="21" t="n">
        <v>211</v>
      </c>
      <c r="C217" s="14" t="inlineStr">
        <is>
          <t>New Republic</t>
        </is>
      </c>
      <c r="D217" s="15" t="inlineStr">
        <is>
          <t>The Mandalorian Season 2</t>
        </is>
      </c>
      <c r="E217" s="16" t="inlineStr"/>
      <c r="F217" s="15" t="inlineStr">
        <is>
          <t>October 30–December 18, 2020</t>
        </is>
      </c>
      <c r="G217" s="15" t="inlineStr">
        <is>
          <t>Canon</t>
        </is>
      </c>
      <c r="H217" s="15" t="inlineStr">
        <is>
          <t>Season</t>
        </is>
      </c>
      <c r="I217" s="15" t="inlineStr">
        <is>
          <t>Disney+</t>
        </is>
      </c>
      <c r="J217" s="19" t="inlineStr"/>
      <c r="K217" s="15" t="inlineStr"/>
    </row>
    <row r="218" ht="15.75" customHeight="1" s="23">
      <c r="A218" s="21" t="b">
        <v>0</v>
      </c>
      <c r="B218" s="21" t="n">
        <v>212</v>
      </c>
      <c r="C218" s="14" t="inlineStr">
        <is>
          <t>New Republic</t>
        </is>
      </c>
      <c r="D218" s="15" t="inlineStr">
        <is>
          <t>The Book of Boba Fett</t>
        </is>
      </c>
      <c r="E218" s="16" t="inlineStr"/>
      <c r="F218" s="15" t="inlineStr">
        <is>
          <t>December 29, 2021–February 9, 2022</t>
        </is>
      </c>
      <c r="G218" s="15" t="inlineStr">
        <is>
          <t>Canon</t>
        </is>
      </c>
      <c r="H218" s="15" t="inlineStr">
        <is>
          <t>Series</t>
        </is>
      </c>
      <c r="I218" s="15" t="inlineStr">
        <is>
          <t>Disney+</t>
        </is>
      </c>
      <c r="J218" s="19" t="inlineStr"/>
      <c r="K218" s="15" t="inlineStr">
        <is>
          <t>Episodes 5–7 function as Mandalorian Season 2.5</t>
        </is>
      </c>
    </row>
    <row r="219" ht="15.75" customHeight="1" s="23">
      <c r="A219" s="21" t="b">
        <v>0</v>
      </c>
      <c r="B219" s="21" t="n">
        <v>213</v>
      </c>
      <c r="C219" s="14" t="inlineStr">
        <is>
          <t>New Republic</t>
        </is>
      </c>
      <c r="D219" s="15" t="inlineStr">
        <is>
          <t>The Mandalorian Season 3</t>
        </is>
      </c>
      <c r="E219" s="16" t="inlineStr"/>
      <c r="F219" s="15" t="inlineStr">
        <is>
          <t>March 1–April 19, 2023</t>
        </is>
      </c>
      <c r="G219" s="15" t="inlineStr">
        <is>
          <t>Canon</t>
        </is>
      </c>
      <c r="H219" s="15" t="inlineStr">
        <is>
          <t>Season</t>
        </is>
      </c>
      <c r="I219" s="15" t="inlineStr">
        <is>
          <t>Disney+</t>
        </is>
      </c>
      <c r="J219" s="19" t="inlineStr"/>
      <c r="K219" s="15" t="inlineStr"/>
    </row>
    <row r="220" ht="15.75" customHeight="1" s="23">
      <c r="A220" s="21" t="b">
        <v>0</v>
      </c>
      <c r="B220" s="21" t="n">
        <v>214</v>
      </c>
      <c r="C220" s="14" t="inlineStr">
        <is>
          <t>New Republic</t>
        </is>
      </c>
      <c r="D220" s="15" t="inlineStr">
        <is>
          <t>Ahsoka Season 1</t>
        </is>
      </c>
      <c r="E220" s="16" t="inlineStr"/>
      <c r="F220" s="15" t="inlineStr">
        <is>
          <t>August 22–October 3, 2023</t>
        </is>
      </c>
      <c r="G220" s="15" t="inlineStr">
        <is>
          <t>Canon</t>
        </is>
      </c>
      <c r="H220" s="15" t="inlineStr">
        <is>
          <t>Season</t>
        </is>
      </c>
      <c r="I220" s="15" t="inlineStr">
        <is>
          <t>Disney+</t>
        </is>
      </c>
      <c r="J220" s="19" t="inlineStr"/>
      <c r="K220" s="15" t="inlineStr"/>
    </row>
    <row r="221" ht="15.75" customHeight="1" s="23">
      <c r="A221" s="21" t="b">
        <v>0</v>
      </c>
      <c r="B221" s="21" t="n">
        <v>215</v>
      </c>
      <c r="C221" s="14" t="inlineStr">
        <is>
          <t>New Republic</t>
        </is>
      </c>
      <c r="D221" s="15" t="inlineStr">
        <is>
          <t>Tales of the Empire: The Path of Hate</t>
        </is>
      </c>
      <c r="E221" s="16" t="inlineStr"/>
      <c r="F221" s="17" t="inlineStr">
        <is>
          <t>May 4, 2024</t>
        </is>
      </c>
      <c r="G221" s="15" t="inlineStr">
        <is>
          <t>Canon</t>
        </is>
      </c>
      <c r="H221" s="15" t="inlineStr">
        <is>
          <t>Episode</t>
        </is>
      </c>
      <c r="I221" s="15" t="inlineStr">
        <is>
          <t>Disney+</t>
        </is>
      </c>
      <c r="J221" s="19" t="inlineStr"/>
      <c r="K221" s="15" t="inlineStr"/>
    </row>
    <row r="222" ht="15.75" customHeight="1" s="23">
      <c r="A222" s="21" t="b">
        <v>0</v>
      </c>
      <c r="B222" s="21" t="n">
        <v>216</v>
      </c>
      <c r="C222" s="14" t="inlineStr">
        <is>
          <t>New Republic</t>
        </is>
      </c>
      <c r="D222" s="15" t="inlineStr">
        <is>
          <t>Skeleton Crew</t>
        </is>
      </c>
      <c r="E222" s="16" t="inlineStr"/>
      <c r="F222" s="15" t="inlineStr">
        <is>
          <t>December 2, 2024–January 14, 2025</t>
        </is>
      </c>
      <c r="G222" s="15" t="inlineStr">
        <is>
          <t>Canon</t>
        </is>
      </c>
      <c r="H222" s="15" t="inlineStr">
        <is>
          <t>Series</t>
        </is>
      </c>
      <c r="I222" s="15" t="inlineStr">
        <is>
          <t>Disney+</t>
        </is>
      </c>
      <c r="J222" s="19" t="inlineStr"/>
      <c r="K222" s="15" t="inlineStr"/>
    </row>
    <row r="223" ht="15.75" customHeight="1" s="23">
      <c r="A223" s="21" t="b">
        <v>0</v>
      </c>
      <c r="B223" s="21" t="n">
        <v>217</v>
      </c>
      <c r="C223" s="14" t="inlineStr">
        <is>
          <t>New Republic</t>
        </is>
      </c>
      <c r="D223" s="15" t="inlineStr">
        <is>
          <t>The Mandalorian and Grogu</t>
        </is>
      </c>
      <c r="E223" s="16" t="inlineStr"/>
      <c r="F223" s="15" t="inlineStr">
        <is>
          <t>Theaters May 22, 2026; Disney+ Sept. 2, 2026</t>
        </is>
      </c>
      <c r="G223" s="15" t="inlineStr">
        <is>
          <t>Canon</t>
        </is>
      </c>
      <c r="H223" s="15" t="inlineStr">
        <is>
          <t>Movie</t>
        </is>
      </c>
      <c r="I223" s="15" t="inlineStr">
        <is>
          <t>Disney+</t>
        </is>
      </c>
      <c r="J223" s="19" t="inlineStr"/>
      <c r="K223" s="15" t="inlineStr"/>
    </row>
    <row r="224" ht="15.75" customHeight="1" s="23">
      <c r="A224" s="21" t="b">
        <v>0</v>
      </c>
      <c r="B224" s="21" t="n">
        <v>218</v>
      </c>
      <c r="C224" s="14" t="inlineStr">
        <is>
          <t>Sequel era</t>
        </is>
      </c>
      <c r="D224" s="15" t="inlineStr">
        <is>
          <t>Forces of Destiny: The Happabore Hazard</t>
        </is>
      </c>
      <c r="E224" s="16" t="inlineStr">
        <is>
          <t>Season 1, Episode 15</t>
        </is>
      </c>
      <c r="F224" s="17" t="inlineStr">
        <is>
          <t>October 31, 2017</t>
        </is>
      </c>
      <c r="G224" s="15" t="inlineStr">
        <is>
          <t>Canon</t>
        </is>
      </c>
      <c r="H224" s="15" t="inlineStr">
        <is>
          <t>Short</t>
        </is>
      </c>
      <c r="I224" s="15" t="inlineStr">
        <is>
          <t>Disney+ / official YouTube</t>
        </is>
      </c>
      <c r="J224" s="18">
        <f>HYPERLINK("https://www.youtube.com/results?search_query=Star%20Wars%20Forces%20of%20Destiny%20The%20Happabore%20Hazard%20official","Open")</f>
        <v/>
      </c>
      <c r="K224" s="15" t="inlineStr">
        <is>
          <t>Before The Force Awakens</t>
        </is>
      </c>
    </row>
    <row r="225" ht="15.75" customHeight="1" s="23">
      <c r="A225" s="21" t="b">
        <v>0</v>
      </c>
      <c r="B225" s="21" t="n">
        <v>219</v>
      </c>
      <c r="C225" s="14" t="inlineStr">
        <is>
          <t>Sequel era</t>
        </is>
      </c>
      <c r="D225" s="15" t="inlineStr">
        <is>
          <t>Forces of Destiny: Run Rey Run</t>
        </is>
      </c>
      <c r="E225" s="16" t="inlineStr">
        <is>
          <t>Season 2, Episode 5</t>
        </is>
      </c>
      <c r="F225" s="17" t="inlineStr">
        <is>
          <t>March 19, 2018</t>
        </is>
      </c>
      <c r="G225" s="15" t="inlineStr">
        <is>
          <t>Canon</t>
        </is>
      </c>
      <c r="H225" s="15" t="inlineStr">
        <is>
          <t>Short</t>
        </is>
      </c>
      <c r="I225" s="15" t="inlineStr">
        <is>
          <t>Disney+ / official YouTube</t>
        </is>
      </c>
      <c r="J225" s="18">
        <f>HYPERLINK("https://www.youtube.com/results?search_query=Star%20Wars%20Forces%20of%20Destiny%20Run%20Rey%20Run%20official","Open")</f>
        <v/>
      </c>
      <c r="K225" s="15" t="inlineStr">
        <is>
          <t>Before The Force Awakens</t>
        </is>
      </c>
    </row>
    <row r="226" ht="15.75" customHeight="1" s="23">
      <c r="A226" s="21" t="b">
        <v>0</v>
      </c>
      <c r="B226" s="21" t="n">
        <v>220</v>
      </c>
      <c r="C226" s="14" t="inlineStr">
        <is>
          <t>Sequel era</t>
        </is>
      </c>
      <c r="D226" s="15" t="inlineStr">
        <is>
          <t>Resistance Season 1, Episodes 1–19</t>
        </is>
      </c>
      <c r="E226" s="16" t="inlineStr"/>
      <c r="F226" s="15" t="inlineStr">
        <is>
          <t>October 7, 2018–March 10, 2019</t>
        </is>
      </c>
      <c r="G226" s="15" t="inlineStr">
        <is>
          <t>Canon</t>
        </is>
      </c>
      <c r="H226" s="15" t="inlineStr">
        <is>
          <t>Episodes</t>
        </is>
      </c>
      <c r="I226" s="15" t="inlineStr">
        <is>
          <t>Disney+</t>
        </is>
      </c>
      <c r="J226" s="19" t="inlineStr"/>
      <c r="K226" s="15" t="inlineStr"/>
    </row>
    <row r="227" ht="15.75" customHeight="1" s="23">
      <c r="A227" s="21" t="b">
        <v>0</v>
      </c>
      <c r="B227" s="21" t="n">
        <v>221</v>
      </c>
      <c r="C227" s="14" t="inlineStr">
        <is>
          <t>Sequel era</t>
        </is>
      </c>
      <c r="D227" s="15" t="inlineStr">
        <is>
          <t>Episode VII: The Force Awakens</t>
        </is>
      </c>
      <c r="E227" s="16" t="inlineStr"/>
      <c r="F227" s="17" t="inlineStr">
        <is>
          <t>December 18, 2015</t>
        </is>
      </c>
      <c r="G227" s="15" t="inlineStr">
        <is>
          <t>Canon</t>
        </is>
      </c>
      <c r="H227" s="15" t="inlineStr">
        <is>
          <t>Movie</t>
        </is>
      </c>
      <c r="I227" s="15" t="inlineStr">
        <is>
          <t>Disney+</t>
        </is>
      </c>
      <c r="J227" s="19" t="inlineStr"/>
      <c r="K227" s="15" t="inlineStr"/>
    </row>
    <row r="228" ht="15.75" customHeight="1" s="23">
      <c r="A228" s="21" t="b">
        <v>0</v>
      </c>
      <c r="B228" s="21" t="n">
        <v>222</v>
      </c>
      <c r="C228" s="14" t="inlineStr">
        <is>
          <t>Sequel era</t>
        </is>
      </c>
      <c r="D228" s="15" t="inlineStr">
        <is>
          <t>Forces of Destiny: Sands of Jakku</t>
        </is>
      </c>
      <c r="E228" s="16" t="inlineStr">
        <is>
          <t>Season 1, Episode 1</t>
        </is>
      </c>
      <c r="F228" s="17" t="inlineStr">
        <is>
          <t>July 3, 2017</t>
        </is>
      </c>
      <c r="G228" s="15" t="inlineStr">
        <is>
          <t>Canon</t>
        </is>
      </c>
      <c r="H228" s="15" t="inlineStr">
        <is>
          <t>Short</t>
        </is>
      </c>
      <c r="I228" s="15" t="inlineStr">
        <is>
          <t>Disney+ / official YouTube</t>
        </is>
      </c>
      <c r="J228" s="18">
        <f>HYPERLINK("https://www.youtube.com/results?search_query=Star%20Wars%20Forces%20of%20Destiny%20Sands%20of%20Jakku%20official","Open")</f>
        <v/>
      </c>
      <c r="K228" s="15" t="inlineStr">
        <is>
          <t>During The Force Awakens</t>
        </is>
      </c>
    </row>
    <row r="229" ht="15.75" customHeight="1" s="23">
      <c r="A229" s="21" t="b">
        <v>0</v>
      </c>
      <c r="B229" s="21" t="n">
        <v>223</v>
      </c>
      <c r="C229" s="14" t="inlineStr">
        <is>
          <t>Sequel era</t>
        </is>
      </c>
      <c r="D229" s="15" t="inlineStr">
        <is>
          <t>Forces of Destiny: BB-8 Bandits</t>
        </is>
      </c>
      <c r="E229" s="16" t="inlineStr">
        <is>
          <t>Season 1, Episode 2</t>
        </is>
      </c>
      <c r="F229" s="17" t="inlineStr">
        <is>
          <t>July 4, 2017</t>
        </is>
      </c>
      <c r="G229" s="15" t="inlineStr">
        <is>
          <t>Canon</t>
        </is>
      </c>
      <c r="H229" s="15" t="inlineStr">
        <is>
          <t>Short</t>
        </is>
      </c>
      <c r="I229" s="15" t="inlineStr">
        <is>
          <t>Disney+ / official YouTube</t>
        </is>
      </c>
      <c r="J229" s="18">
        <f>HYPERLINK("https://www.youtube.com/results?search_query=Star%20Wars%20Forces%20of%20Destiny%20BB-8%20Bandits%20official","Open")</f>
        <v/>
      </c>
      <c r="K229" s="15" t="inlineStr">
        <is>
          <t>During The Force Awakens</t>
        </is>
      </c>
    </row>
    <row r="230" ht="15.75" customHeight="1" s="23">
      <c r="A230" s="21" t="b">
        <v>0</v>
      </c>
      <c r="B230" s="21" t="n">
        <v>224</v>
      </c>
      <c r="C230" s="14" t="inlineStr">
        <is>
          <t>Sequel era</t>
        </is>
      </c>
      <c r="D230" s="15" t="inlineStr">
        <is>
          <t>Forces of Destiny: Tracker Trouble</t>
        </is>
      </c>
      <c r="E230" s="16" t="inlineStr">
        <is>
          <t>Season 1, Episode 9</t>
        </is>
      </c>
      <c r="F230" s="17" t="inlineStr">
        <is>
          <t>October 2, 2017</t>
        </is>
      </c>
      <c r="G230" s="15" t="inlineStr">
        <is>
          <t>Canon</t>
        </is>
      </c>
      <c r="H230" s="15" t="inlineStr">
        <is>
          <t>Short</t>
        </is>
      </c>
      <c r="I230" s="15" t="inlineStr">
        <is>
          <t>Disney+ / official YouTube</t>
        </is>
      </c>
      <c r="J230" s="18">
        <f>HYPERLINK("https://www.youtube.com/results?search_query=Star%20Wars%20Forces%20of%20Destiny%20Tracker%20Trouble%20official","Open")</f>
        <v/>
      </c>
      <c r="K230" s="15" t="inlineStr">
        <is>
          <t>During The Force Awakens</t>
        </is>
      </c>
    </row>
    <row r="231" ht="15.75" customHeight="1" s="23">
      <c r="A231" s="21" t="b">
        <v>0</v>
      </c>
      <c r="B231" s="21" t="n">
        <v>225</v>
      </c>
      <c r="C231" s="14" t="inlineStr">
        <is>
          <t>Sequel era</t>
        </is>
      </c>
      <c r="D231" s="15" t="inlineStr">
        <is>
          <t>Forces of Destiny: Perilous Pursuit</t>
        </is>
      </c>
      <c r="E231" s="16" t="inlineStr">
        <is>
          <t>Season 2, Episode 14</t>
        </is>
      </c>
      <c r="F231" s="17" t="inlineStr">
        <is>
          <t>May 4, 2018</t>
        </is>
      </c>
      <c r="G231" s="15" t="inlineStr">
        <is>
          <t>Canon</t>
        </is>
      </c>
      <c r="H231" s="15" t="inlineStr">
        <is>
          <t>Short</t>
        </is>
      </c>
      <c r="I231" s="15" t="inlineStr">
        <is>
          <t>Disney+ / official YouTube</t>
        </is>
      </c>
      <c r="J231" s="18">
        <f>HYPERLINK("https://www.youtube.com/results?search_query=Star%20Wars%20Forces%20of%20Destiny%20Perilous%20Pursuit%20official","Open")</f>
        <v/>
      </c>
      <c r="K231" s="15" t="inlineStr">
        <is>
          <t>During The Force Awakens</t>
        </is>
      </c>
    </row>
    <row r="232" ht="15.75" customHeight="1" s="23">
      <c r="A232" s="21" t="b">
        <v>0</v>
      </c>
      <c r="B232" s="21" t="n">
        <v>226</v>
      </c>
      <c r="C232" s="14" t="inlineStr">
        <is>
          <t>Sequel era</t>
        </is>
      </c>
      <c r="D232" s="15" t="inlineStr">
        <is>
          <t>Resistance Season 1, Episodes 20–21</t>
        </is>
      </c>
      <c r="E232" s="16" t="inlineStr"/>
      <c r="F232" s="17" t="inlineStr">
        <is>
          <t>March 17, 2019</t>
        </is>
      </c>
      <c r="G232" s="15" t="inlineStr">
        <is>
          <t>Canon</t>
        </is>
      </c>
      <c r="H232" s="15" t="inlineStr">
        <is>
          <t>Episodes</t>
        </is>
      </c>
      <c r="I232" s="15" t="inlineStr">
        <is>
          <t>Disney+</t>
        </is>
      </c>
      <c r="J232" s="19" t="inlineStr"/>
      <c r="K232" s="15" t="inlineStr"/>
    </row>
    <row r="233" ht="15.75" customHeight="1" s="23">
      <c r="A233" s="21" t="b">
        <v>0</v>
      </c>
      <c r="B233" s="21" t="n">
        <v>227</v>
      </c>
      <c r="C233" s="14" t="inlineStr">
        <is>
          <t>Sequel era</t>
        </is>
      </c>
      <c r="D233" s="15" t="inlineStr">
        <is>
          <t>Battlefront II: Resurrection</t>
        </is>
      </c>
      <c r="E233" s="16" t="inlineStr"/>
      <c r="F233" s="17" t="inlineStr">
        <is>
          <t>December 13, 2017</t>
        </is>
      </c>
      <c r="G233" s="15" t="inlineStr">
        <is>
          <t>Canon</t>
        </is>
      </c>
      <c r="H233" s="15" t="inlineStr">
        <is>
          <t>Game movie</t>
        </is>
      </c>
      <c r="I233" s="15" t="inlineStr">
        <is>
          <t>YouTube</t>
        </is>
      </c>
      <c r="J233" s="18">
        <f>HYPERLINK("https://www.youtube.com/watch?v=mhzAepud5k0","Open")</f>
        <v/>
      </c>
      <c r="K233" s="15" t="inlineStr">
        <is>
          <t>Overlaps The Force Awakens and leads toward The Last Jedi</t>
        </is>
      </c>
    </row>
    <row r="234" ht="15.75" customHeight="1" s="23">
      <c r="A234" s="21" t="b">
        <v>0</v>
      </c>
      <c r="B234" s="21" t="n">
        <v>228</v>
      </c>
      <c r="C234" s="14" t="inlineStr">
        <is>
          <t>Sequel era</t>
        </is>
      </c>
      <c r="D234" s="15" t="inlineStr">
        <is>
          <t>Episode VIII: The Last Jedi</t>
        </is>
      </c>
      <c r="E234" s="16" t="inlineStr"/>
      <c r="F234" s="17" t="inlineStr">
        <is>
          <t>December 15, 2017</t>
        </is>
      </c>
      <c r="G234" s="15" t="inlineStr">
        <is>
          <t>Canon</t>
        </is>
      </c>
      <c r="H234" s="15" t="inlineStr">
        <is>
          <t>Movie</t>
        </is>
      </c>
      <c r="I234" s="15" t="inlineStr">
        <is>
          <t>Disney+</t>
        </is>
      </c>
      <c r="J234" s="19" t="inlineStr"/>
      <c r="K234" s="15" t="inlineStr"/>
    </row>
    <row r="235" ht="15.75" customHeight="1" s="23">
      <c r="A235" s="21" t="b">
        <v>0</v>
      </c>
      <c r="B235" s="21" t="n">
        <v>229</v>
      </c>
      <c r="C235" s="14" t="inlineStr">
        <is>
          <t>Sequel era</t>
        </is>
      </c>
      <c r="D235" s="15" t="inlineStr">
        <is>
          <t>Forces of Destiny: Shuttle Shock</t>
        </is>
      </c>
      <c r="E235" s="16" t="inlineStr">
        <is>
          <t>Season 2, Episode 3</t>
        </is>
      </c>
      <c r="F235" s="17" t="inlineStr">
        <is>
          <t>March 19, 2018</t>
        </is>
      </c>
      <c r="G235" s="15" t="inlineStr">
        <is>
          <t>Canon</t>
        </is>
      </c>
      <c r="H235" s="15" t="inlineStr">
        <is>
          <t>Short</t>
        </is>
      </c>
      <c r="I235" s="15" t="inlineStr">
        <is>
          <t>Disney+ / official YouTube</t>
        </is>
      </c>
      <c r="J235" s="18">
        <f>HYPERLINK("https://www.youtube.com/results?search_query=Star%20Wars%20Forces%20of%20Destiny%20Shuttle%20Shock%20official","Open")</f>
        <v/>
      </c>
      <c r="K235" s="15" t="inlineStr">
        <is>
          <t>During The Last Jedi</t>
        </is>
      </c>
    </row>
    <row r="236" ht="15.75" customHeight="1" s="23">
      <c r="A236" s="21" t="b">
        <v>0</v>
      </c>
      <c r="B236" s="21" t="n">
        <v>230</v>
      </c>
      <c r="C236" s="14" t="inlineStr">
        <is>
          <t>Sequel era</t>
        </is>
      </c>
      <c r="D236" s="15" t="inlineStr">
        <is>
          <t>Forces of Destiny: Porg Problems</t>
        </is>
      </c>
      <c r="E236" s="16" t="inlineStr">
        <is>
          <t>Season 2, Episode 8</t>
        </is>
      </c>
      <c r="F236" s="17" t="inlineStr">
        <is>
          <t>March 19, 2018</t>
        </is>
      </c>
      <c r="G236" s="15" t="inlineStr">
        <is>
          <t>Canon</t>
        </is>
      </c>
      <c r="H236" s="15" t="inlineStr">
        <is>
          <t>Short</t>
        </is>
      </c>
      <c r="I236" s="15" t="inlineStr">
        <is>
          <t>Disney+ / official YouTube</t>
        </is>
      </c>
      <c r="J236" s="18">
        <f>HYPERLINK("https://www.youtube.com/results?search_query=Star%20Wars%20Forces%20of%20Destiny%20Porg%20Problems%20official","Open")</f>
        <v/>
      </c>
      <c r="K236" s="15" t="inlineStr">
        <is>
          <t>During The Last Jedi</t>
        </is>
      </c>
    </row>
    <row r="237" ht="15.75" customHeight="1" s="23">
      <c r="A237" s="21" t="b">
        <v>0</v>
      </c>
      <c r="B237" s="21" t="n">
        <v>231</v>
      </c>
      <c r="C237" s="14" t="inlineStr">
        <is>
          <t>Sequel era</t>
        </is>
      </c>
      <c r="D237" s="15" t="inlineStr">
        <is>
          <t>Forces of Destiny: Porgs!</t>
        </is>
      </c>
      <c r="E237" s="16" t="inlineStr">
        <is>
          <t>Season 2, Episode 13</t>
        </is>
      </c>
      <c r="F237" s="17" t="inlineStr">
        <is>
          <t>May 4, 2018</t>
        </is>
      </c>
      <c r="G237" s="15" t="inlineStr">
        <is>
          <t>Canon</t>
        </is>
      </c>
      <c r="H237" s="15" t="inlineStr">
        <is>
          <t>Short</t>
        </is>
      </c>
      <c r="I237" s="15" t="inlineStr">
        <is>
          <t>Disney+ / official YouTube</t>
        </is>
      </c>
      <c r="J237" s="18">
        <f>HYPERLINK("https://www.youtube.com/results?search_query=Star%20Wars%20Forces%20of%20Destiny%20Porgs!%20official","Open")</f>
        <v/>
      </c>
      <c r="K237" s="15" t="inlineStr">
        <is>
          <t>During The Last Jedi</t>
        </is>
      </c>
    </row>
    <row r="238" ht="15.75" customHeight="1" s="23">
      <c r="A238" s="21" t="b">
        <v>0</v>
      </c>
      <c r="B238" s="21" t="n">
        <v>232</v>
      </c>
      <c r="C238" s="14" t="inlineStr">
        <is>
          <t>Sequel era</t>
        </is>
      </c>
      <c r="D238" s="15" t="inlineStr">
        <is>
          <t>Resistance Season 2</t>
        </is>
      </c>
      <c r="E238" s="16" t="inlineStr"/>
      <c r="F238" s="15" t="inlineStr">
        <is>
          <t>October 6, 2019–January 26, 2020</t>
        </is>
      </c>
      <c r="G238" s="15" t="inlineStr">
        <is>
          <t>Canon</t>
        </is>
      </c>
      <c r="H238" s="15" t="inlineStr">
        <is>
          <t>Season</t>
        </is>
      </c>
      <c r="I238" s="15" t="inlineStr">
        <is>
          <t>Disney+</t>
        </is>
      </c>
      <c r="J238" s="19" t="inlineStr"/>
      <c r="K238" s="15" t="inlineStr"/>
    </row>
    <row r="239" ht="15.75" customHeight="1" s="23">
      <c r="A239" s="21" t="b">
        <v>0</v>
      </c>
      <c r="B239" s="21" t="n">
        <v>233</v>
      </c>
      <c r="C239" s="14" t="inlineStr">
        <is>
          <t>Sequel era</t>
        </is>
      </c>
      <c r="D239" s="15" t="inlineStr">
        <is>
          <t>Tales from the Galaxy's Edge</t>
        </is>
      </c>
      <c r="E239" s="16" t="inlineStr"/>
      <c r="F239" s="17" t="inlineStr">
        <is>
          <t>November 19, 2020</t>
        </is>
      </c>
      <c r="G239" s="15" t="inlineStr">
        <is>
          <t>Canon</t>
        </is>
      </c>
      <c r="H239" s="15" t="inlineStr">
        <is>
          <t>VR game movie</t>
        </is>
      </c>
      <c r="I239" s="15" t="inlineStr">
        <is>
          <t>YouTube</t>
        </is>
      </c>
      <c r="J239" s="18">
        <f>HYPERLINK("https://www.youtube.com/results?search_query=Star+Wars+Tales+from+the+Galaxy%27s+Edge+full+game+movie+no+commentary","Open")</f>
        <v/>
      </c>
      <c r="K239" s="15" t="inlineStr">
        <is>
          <t>Last Call Sept. 15, 2021; Enhanced Edition Feb. 22, 2023</t>
        </is>
      </c>
    </row>
    <row r="240" ht="15.75" customHeight="1" s="23">
      <c r="A240" s="21" t="b">
        <v>0</v>
      </c>
      <c r="B240" s="21" t="n">
        <v>234</v>
      </c>
      <c r="C240" s="14" t="inlineStr">
        <is>
          <t>Sequel era</t>
        </is>
      </c>
      <c r="D240" s="15" t="inlineStr">
        <is>
          <t>Episode IX: The Rise of Skywalker</t>
        </is>
      </c>
      <c r="E240" s="16" t="inlineStr"/>
      <c r="F240" s="17" t="inlineStr">
        <is>
          <t>December 20, 2019</t>
        </is>
      </c>
      <c r="G240" s="15" t="inlineStr">
        <is>
          <t>Canon</t>
        </is>
      </c>
      <c r="H240" s="15" t="inlineStr">
        <is>
          <t>Movie</t>
        </is>
      </c>
      <c r="I240" s="15" t="inlineStr">
        <is>
          <t>Disney+</t>
        </is>
      </c>
      <c r="J240" s="19" t="inlineStr"/>
      <c r="K240" s="15" t="inlineStr"/>
    </row>
    <row r="241" ht="15.75" customHeight="1" s="23">
      <c r="A241" s="21" t="b">
        <v>0</v>
      </c>
      <c r="B241" s="21" t="inlineStr">
        <is>
          <t>B1</t>
        </is>
      </c>
      <c r="C241" s="14" t="inlineStr">
        <is>
          <t>Bonus: Legends</t>
        </is>
      </c>
      <c r="D241" s="15" t="inlineStr">
        <is>
          <t>Dark Empire audio drama</t>
        </is>
      </c>
      <c r="E241" s="16" t="inlineStr"/>
      <c r="F241" s="17" t="inlineStr">
        <is>
          <t>1994</t>
        </is>
      </c>
      <c r="G241" s="15" t="inlineStr">
        <is>
          <t>Legends</t>
        </is>
      </c>
      <c r="H241" s="15" t="inlineStr">
        <is>
          <t>Audio drama</t>
        </is>
      </c>
      <c r="I241" s="15" t="inlineStr">
        <is>
          <t>Library / used CD</t>
        </is>
      </c>
      <c r="J241" s="18">
        <f>HYPERLINK("https://digital.darkhorse.com/series/109/star-wars-dark-empire","Open")</f>
        <v/>
      </c>
      <c r="K241" s="15" t="inlineStr">
        <is>
          <t>Out of print</t>
        </is>
      </c>
    </row>
    <row r="242" ht="15.75" customHeight="1" s="23">
      <c r="A242" s="21" t="b">
        <v>0</v>
      </c>
      <c r="B242" s="21" t="inlineStr">
        <is>
          <t>B2</t>
        </is>
      </c>
      <c r="C242" s="14" t="inlineStr">
        <is>
          <t>Bonus: Visions</t>
        </is>
      </c>
      <c r="D242" s="15" t="inlineStr">
        <is>
          <t>Star Wars: Visions Volume 1</t>
        </is>
      </c>
      <c r="E242" s="16" t="inlineStr"/>
      <c r="F242" s="17" t="inlineStr">
        <is>
          <t>September 22, 2021</t>
        </is>
      </c>
      <c r="G242" s="15" t="inlineStr">
        <is>
          <t>Alternate universe</t>
        </is>
      </c>
      <c r="H242" s="15" t="inlineStr">
        <is>
          <t>Anthology</t>
        </is>
      </c>
      <c r="I242" s="15" t="inlineStr">
        <is>
          <t>Disney+</t>
        </is>
      </c>
      <c r="J242" s="19" t="inlineStr"/>
      <c r="K242" s="15" t="inlineStr"/>
    </row>
    <row r="243" ht="15.75" customHeight="1" s="23">
      <c r="A243" s="21" t="b">
        <v>0</v>
      </c>
      <c r="B243" s="21" t="inlineStr">
        <is>
          <t>B3</t>
        </is>
      </c>
      <c r="C243" s="14" t="inlineStr">
        <is>
          <t>Bonus: The Ninth Jedi</t>
        </is>
      </c>
      <c r="D243" s="15" t="inlineStr">
        <is>
          <t>The Ninth Jedi</t>
        </is>
      </c>
      <c r="E243" s="16" t="inlineStr"/>
      <c r="F243" s="17" t="inlineStr">
        <is>
          <t>September 22, 2021</t>
        </is>
      </c>
      <c r="G243" s="15" t="inlineStr">
        <is>
          <t>Alternate universe</t>
        </is>
      </c>
      <c r="H243" s="15" t="inlineStr">
        <is>
          <t>Visions short</t>
        </is>
      </c>
      <c r="I243" s="15" t="inlineStr">
        <is>
          <t>Disney+</t>
        </is>
      </c>
      <c r="J243" s="19" t="inlineStr"/>
      <c r="K243" s="15" t="inlineStr">
        <is>
          <t>Watch first in the Ninth Jedi storyline</t>
        </is>
      </c>
    </row>
    <row r="244" ht="15.75" customHeight="1" s="23">
      <c r="A244" s="21" t="b">
        <v>0</v>
      </c>
      <c r="B244" s="21" t="inlineStr">
        <is>
          <t>B4</t>
        </is>
      </c>
      <c r="C244" s="14" t="inlineStr">
        <is>
          <t>Bonus: Visions</t>
        </is>
      </c>
      <c r="D244" s="15" t="inlineStr">
        <is>
          <t>Star Wars: Visions Volume 2</t>
        </is>
      </c>
      <c r="E244" s="16" t="inlineStr"/>
      <c r="F244" s="17" t="inlineStr">
        <is>
          <t>May 4, 2023</t>
        </is>
      </c>
      <c r="G244" s="15" t="inlineStr">
        <is>
          <t>Alternate universe</t>
        </is>
      </c>
      <c r="H244" s="15" t="inlineStr">
        <is>
          <t>Anthology</t>
        </is>
      </c>
      <c r="I244" s="15" t="inlineStr">
        <is>
          <t>Disney+</t>
        </is>
      </c>
      <c r="J244" s="19" t="inlineStr"/>
      <c r="K244" s="15" t="inlineStr"/>
    </row>
    <row r="245" ht="15.75" customHeight="1" s="23">
      <c r="A245" s="21" t="b">
        <v>0</v>
      </c>
      <c r="B245" s="21" t="inlineStr">
        <is>
          <t>B5</t>
        </is>
      </c>
      <c r="C245" s="14" t="inlineStr">
        <is>
          <t>Bonus: Visions</t>
        </is>
      </c>
      <c r="D245" s="15" t="inlineStr">
        <is>
          <t>Star Wars: Visions Volume 3</t>
        </is>
      </c>
      <c r="E245" s="16" t="inlineStr"/>
      <c r="F245" s="17" t="inlineStr">
        <is>
          <t>October 29, 2025</t>
        </is>
      </c>
      <c r="G245" s="15" t="inlineStr">
        <is>
          <t>Alternate universe</t>
        </is>
      </c>
      <c r="H245" s="15" t="inlineStr">
        <is>
          <t>Anthology</t>
        </is>
      </c>
      <c r="I245" s="15" t="inlineStr">
        <is>
          <t>Disney+</t>
        </is>
      </c>
      <c r="J245" s="19" t="inlineStr"/>
      <c r="K245" s="15" t="inlineStr"/>
    </row>
    <row r="246" ht="15.75" customHeight="1" s="23">
      <c r="A246" s="21" t="b">
        <v>0</v>
      </c>
      <c r="B246" s="21" t="inlineStr">
        <is>
          <t>B6</t>
        </is>
      </c>
      <c r="C246" s="14" t="inlineStr">
        <is>
          <t>Bonus: The Ninth Jedi</t>
        </is>
      </c>
      <c r="D246" s="15" t="inlineStr">
        <is>
          <t>The Ninth Jedi: Child of Hope</t>
        </is>
      </c>
      <c r="E246" s="16" t="inlineStr"/>
      <c r="F246" s="17" t="inlineStr">
        <is>
          <t>October 29, 2025</t>
        </is>
      </c>
      <c r="G246" s="15" t="inlineStr">
        <is>
          <t>Alternate universe</t>
        </is>
      </c>
      <c r="H246" s="15" t="inlineStr">
        <is>
          <t>Visions short</t>
        </is>
      </c>
      <c r="I246" s="15" t="inlineStr">
        <is>
          <t>Disney+</t>
        </is>
      </c>
      <c r="J246" s="19" t="inlineStr"/>
      <c r="K246" s="15" t="inlineStr">
        <is>
          <t>Watch second in the Ninth Jedi storyline</t>
        </is>
      </c>
    </row>
    <row r="247" ht="15.75" customHeight="1" s="23">
      <c r="A247" s="21" t="b">
        <v>0</v>
      </c>
      <c r="B247" s="21" t="inlineStr">
        <is>
          <t>B7</t>
        </is>
      </c>
      <c r="C247" s="14" t="inlineStr">
        <is>
          <t>Bonus: The Ninth Jedi</t>
        </is>
      </c>
      <c r="D247" s="15" t="inlineStr">
        <is>
          <t>Star Wars: Visions Presents – The Ninth Jedi</t>
        </is>
      </c>
      <c r="E247" s="16" t="inlineStr"/>
      <c r="F247" s="17" t="inlineStr">
        <is>
          <t>August 5, 2026</t>
        </is>
      </c>
      <c r="G247" s="15" t="inlineStr">
        <is>
          <t>Alternate universe</t>
        </is>
      </c>
      <c r="H247" s="15" t="inlineStr">
        <is>
          <t>8-episode series</t>
        </is>
      </c>
      <c r="I247" s="15" t="inlineStr">
        <is>
          <t>Disney+ / Hulu</t>
        </is>
      </c>
      <c r="J247" s="19" t="inlineStr"/>
      <c r="K247" s="15" t="inlineStr">
        <is>
          <t>Watch third in the Ninth Jedi storyline</t>
        </is>
      </c>
    </row>
    <row r="248" ht="15.75" customHeight="1" s="23">
      <c r="A248" s="21" t="b">
        <v>0</v>
      </c>
      <c r="B248" s="21" t="inlineStr">
        <is>
          <t>B8</t>
        </is>
      </c>
      <c r="C248" s="14" t="inlineStr">
        <is>
          <t>Bonus: LEGO</t>
        </is>
      </c>
      <c r="D248" s="15" t="inlineStr">
        <is>
          <t>The Freemaker Adventures</t>
        </is>
      </c>
      <c r="E248" s="16" t="inlineStr"/>
      <c r="F248" s="15" t="inlineStr">
        <is>
          <t>June 20, 2016–August 16, 2017</t>
        </is>
      </c>
      <c r="G248" s="15" t="inlineStr">
        <is>
          <t>LEGO</t>
        </is>
      </c>
      <c r="H248" s="15" t="inlineStr">
        <is>
          <t>Series</t>
        </is>
      </c>
      <c r="I248" s="15" t="inlineStr">
        <is>
          <t>Disney+</t>
        </is>
      </c>
      <c r="J248" s="19" t="inlineStr"/>
      <c r="K248" s="15" t="inlineStr"/>
    </row>
    <row r="249" ht="15.75" customHeight="1" s="23">
      <c r="A249" s="21" t="b">
        <v>0</v>
      </c>
      <c r="B249" s="21" t="inlineStr">
        <is>
          <t>B9</t>
        </is>
      </c>
      <c r="C249" s="14" t="inlineStr">
        <is>
          <t>Bonus: LEGO</t>
        </is>
      </c>
      <c r="D249" s="15" t="inlineStr">
        <is>
          <t>LEGO Star Wars: All-Stars</t>
        </is>
      </c>
      <c r="E249" s="16" t="inlineStr"/>
      <c r="F249" s="15" t="inlineStr">
        <is>
          <t>October 29–December 8, 2018</t>
        </is>
      </c>
      <c r="G249" s="15" t="inlineStr">
        <is>
          <t>LEGO</t>
        </is>
      </c>
      <c r="H249" s="15" t="inlineStr">
        <is>
          <t>Series / shorts</t>
        </is>
      </c>
      <c r="I249" s="15" t="inlineStr">
        <is>
          <t>Disney+</t>
        </is>
      </c>
      <c r="J249" s="19" t="inlineStr"/>
      <c r="K249" s="15" t="inlineStr"/>
    </row>
    <row r="250" ht="15.75" customHeight="1" s="23">
      <c r="A250" s="21" t="b">
        <v>0</v>
      </c>
      <c r="B250" s="21" t="inlineStr">
        <is>
          <t>B10</t>
        </is>
      </c>
      <c r="C250" s="14" t="inlineStr">
        <is>
          <t>Bonus: LEGO</t>
        </is>
      </c>
      <c r="D250" s="15" t="inlineStr">
        <is>
          <t>LEGO Star Wars: Droid Tales</t>
        </is>
      </c>
      <c r="E250" s="16" t="inlineStr"/>
      <c r="F250" s="15" t="inlineStr">
        <is>
          <t>July 6–November 2, 2015</t>
        </is>
      </c>
      <c r="G250" s="15" t="inlineStr">
        <is>
          <t>LEGO</t>
        </is>
      </c>
      <c r="H250" s="15" t="inlineStr">
        <is>
          <t>Series</t>
        </is>
      </c>
      <c r="I250" s="15" t="inlineStr">
        <is>
          <t>Disney+</t>
        </is>
      </c>
      <c r="J250" s="19" t="inlineStr"/>
      <c r="K250" s="15" t="inlineStr"/>
    </row>
    <row r="251" ht="15.75" customHeight="1" s="23">
      <c r="A251" s="21" t="b">
        <v>0</v>
      </c>
      <c r="B251" s="21" t="inlineStr">
        <is>
          <t>B11</t>
        </is>
      </c>
      <c r="C251" s="14" t="inlineStr">
        <is>
          <t>Bonus: LEGO</t>
        </is>
      </c>
      <c r="D251" s="15" t="inlineStr">
        <is>
          <t>The LEGO Star Wars Holiday Special</t>
        </is>
      </c>
      <c r="E251" s="16" t="inlineStr"/>
      <c r="F251" s="17" t="inlineStr">
        <is>
          <t>November 17, 2020</t>
        </is>
      </c>
      <c r="G251" s="15" t="inlineStr">
        <is>
          <t>LEGO</t>
        </is>
      </c>
      <c r="H251" s="15" t="inlineStr">
        <is>
          <t>Special</t>
        </is>
      </c>
      <c r="I251" s="15" t="inlineStr">
        <is>
          <t>Disney+</t>
        </is>
      </c>
      <c r="J251" s="19" t="inlineStr"/>
      <c r="K251" s="15" t="inlineStr"/>
    </row>
    <row r="252" ht="15.75" customHeight="1" s="23">
      <c r="A252" s="21" t="b">
        <v>0</v>
      </c>
      <c r="B252" s="21" t="inlineStr">
        <is>
          <t>B12</t>
        </is>
      </c>
      <c r="C252" s="14" t="inlineStr">
        <is>
          <t>Bonus: LEGO</t>
        </is>
      </c>
      <c r="D252" s="15" t="inlineStr">
        <is>
          <t>LEGO Star Wars: Terrifying Tales</t>
        </is>
      </c>
      <c r="E252" s="16" t="inlineStr"/>
      <c r="F252" s="17" t="inlineStr">
        <is>
          <t>October 1, 2021</t>
        </is>
      </c>
      <c r="G252" s="15" t="inlineStr">
        <is>
          <t>LEGO</t>
        </is>
      </c>
      <c r="H252" s="15" t="inlineStr">
        <is>
          <t>Special</t>
        </is>
      </c>
      <c r="I252" s="15" t="inlineStr">
        <is>
          <t>Disney+</t>
        </is>
      </c>
      <c r="J252" s="19" t="inlineStr"/>
      <c r="K252" s="15" t="inlineStr"/>
    </row>
    <row r="253" ht="15.75" customHeight="1" s="23">
      <c r="A253" s="21" t="b">
        <v>0</v>
      </c>
      <c r="B253" s="21" t="inlineStr">
        <is>
          <t>B13</t>
        </is>
      </c>
      <c r="C253" s="14" t="inlineStr">
        <is>
          <t>Bonus: LEGO</t>
        </is>
      </c>
      <c r="D253" s="15" t="inlineStr">
        <is>
          <t>LEGO Star Wars Summer Vacation</t>
        </is>
      </c>
      <c r="E253" s="16" t="inlineStr"/>
      <c r="F253" s="17" t="inlineStr">
        <is>
          <t>August 5, 2022</t>
        </is>
      </c>
      <c r="G253" s="15" t="inlineStr">
        <is>
          <t>LEGO</t>
        </is>
      </c>
      <c r="H253" s="15" t="inlineStr">
        <is>
          <t>Special</t>
        </is>
      </c>
      <c r="I253" s="15" t="inlineStr">
        <is>
          <t>Disney+</t>
        </is>
      </c>
      <c r="J253" s="19" t="inlineStr"/>
      <c r="K253" s="15" t="inlineStr"/>
    </row>
    <row r="254" ht="15.75" customHeight="1" s="23">
      <c r="A254" s="21" t="b">
        <v>0</v>
      </c>
      <c r="B254" s="21" t="inlineStr">
        <is>
          <t>B14</t>
        </is>
      </c>
      <c r="C254" s="14" t="inlineStr">
        <is>
          <t>Bonus: LEGO</t>
        </is>
      </c>
      <c r="D254" s="15" t="inlineStr">
        <is>
          <t>LEGO Star Wars: Rebuild the Galaxy</t>
        </is>
      </c>
      <c r="E254" s="16" t="inlineStr"/>
      <c r="F254" s="17" t="inlineStr">
        <is>
          <t>September 13, 2024</t>
        </is>
      </c>
      <c r="G254" s="15" t="inlineStr">
        <is>
          <t>LEGO</t>
        </is>
      </c>
      <c r="H254" s="15" t="inlineStr">
        <is>
          <t>Special</t>
        </is>
      </c>
      <c r="I254" s="15" t="inlineStr">
        <is>
          <t>Disney+</t>
        </is>
      </c>
      <c r="J254" s="19" t="inlineStr"/>
      <c r="K254" s="15" t="inlineStr"/>
    </row>
    <row r="255" ht="15.75" customHeight="1" s="23">
      <c r="A255" s="21" t="b">
        <v>0</v>
      </c>
      <c r="B255" s="21" t="inlineStr">
        <is>
          <t>B15</t>
        </is>
      </c>
      <c r="C255" s="14" t="inlineStr">
        <is>
          <t>Bonus: LEGO</t>
        </is>
      </c>
      <c r="D255" s="15" t="inlineStr">
        <is>
          <t>Rebuild the Galaxy: Pieces of the Past</t>
        </is>
      </c>
      <c r="E255" s="16" t="inlineStr"/>
      <c r="F255" s="17" t="inlineStr">
        <is>
          <t>September 19, 2025</t>
        </is>
      </c>
      <c r="G255" s="15" t="inlineStr">
        <is>
          <t>LEGO</t>
        </is>
      </c>
      <c r="H255" s="15" t="inlineStr">
        <is>
          <t>Special</t>
        </is>
      </c>
      <c r="I255" s="15" t="inlineStr">
        <is>
          <t>Disney+</t>
        </is>
      </c>
      <c r="J255" s="19" t="inlineStr"/>
      <c r="K255" s="15" t="inlineStr"/>
    </row>
    <row r="256" ht="15.75" customHeight="1" s="23">
      <c r="A256" s="21" t="b">
        <v>0</v>
      </c>
      <c r="B256" s="21" t="inlineStr">
        <is>
          <t>B16</t>
        </is>
      </c>
      <c r="C256" s="14" t="inlineStr">
        <is>
          <t>Bonus: Retellings</t>
        </is>
      </c>
      <c r="D256" s="15" t="inlineStr">
        <is>
          <t>Galaxy of Adventures</t>
        </is>
      </c>
      <c r="E256" s="16" t="inlineStr"/>
      <c r="F256" s="15" t="inlineStr">
        <is>
          <t>November 30, 2018–October 2, 2020</t>
        </is>
      </c>
      <c r="G256" s="15" t="inlineStr">
        <is>
          <t>Retelling</t>
        </is>
      </c>
      <c r="H256" s="15" t="inlineStr">
        <is>
          <t>Shorts</t>
        </is>
      </c>
      <c r="I256" s="15" t="inlineStr">
        <is>
          <t>YouTube</t>
        </is>
      </c>
      <c r="J256" s="18">
        <f>HYPERLINK("https://www.youtube.com/results?search_query=Star+Wars+Galaxy+of+Adventures+official","Open")</f>
        <v/>
      </c>
      <c r="K256" s="15" t="inlineStr">
        <is>
          <t>Animated retellings rather than new continuity</t>
        </is>
      </c>
    </row>
    <row r="257" ht="15.75" customHeight="1" s="23">
      <c r="A257" s="21" t="b">
        <v>0</v>
      </c>
      <c r="B257" s="21" t="inlineStr">
        <is>
          <t>B17</t>
        </is>
      </c>
      <c r="C257" s="14" t="inlineStr">
        <is>
          <t>Bonus: Kids</t>
        </is>
      </c>
      <c r="D257" s="15" t="inlineStr">
        <is>
          <t>Galaxy of Creatures</t>
        </is>
      </c>
      <c r="E257" s="16" t="inlineStr"/>
      <c r="F257" s="15" t="inlineStr">
        <is>
          <t>Began October 14, 2021</t>
        </is>
      </c>
      <c r="G257" s="15" t="inlineStr">
        <is>
          <t>Kids</t>
        </is>
      </c>
      <c r="H257" s="15" t="inlineStr">
        <is>
          <t>Shorts</t>
        </is>
      </c>
      <c r="I257" s="15" t="inlineStr">
        <is>
          <t>YouTube</t>
        </is>
      </c>
      <c r="J257" s="18">
        <f>HYPERLINK("https://www.youtube.com/results?search_query=Star+Wars+Galaxy+of+Creatures+official","Open")</f>
        <v/>
      </c>
      <c r="K257" s="15" t="inlineStr"/>
    </row>
    <row r="258" ht="15.75" customHeight="1" s="23">
      <c r="A258" s="21" t="b">
        <v>0</v>
      </c>
      <c r="B258" s="21" t="inlineStr">
        <is>
          <t>B18</t>
        </is>
      </c>
      <c r="C258" s="14" t="inlineStr">
        <is>
          <t>Bonus: Kids</t>
        </is>
      </c>
      <c r="D258" s="15" t="inlineStr">
        <is>
          <t>Galactic Pals</t>
        </is>
      </c>
      <c r="E258" s="16" t="inlineStr"/>
      <c r="F258" s="15" t="inlineStr">
        <is>
          <t>Began April 12, 2022</t>
        </is>
      </c>
      <c r="G258" s="15" t="inlineStr">
        <is>
          <t>Kids</t>
        </is>
      </c>
      <c r="H258" s="15" t="inlineStr">
        <is>
          <t>Shorts</t>
        </is>
      </c>
      <c r="I258" s="15" t="inlineStr">
        <is>
          <t>YouTube</t>
        </is>
      </c>
      <c r="J258" s="18">
        <f>HYPERLINK("https://www.youtube.com/results?search_query=Star+Wars+Galactic+Pals+official","Open")</f>
        <v/>
      </c>
      <c r="K258" s="15" t="inlineStr"/>
    </row>
    <row r="259" ht="15.75" customHeight="1" s="23">
      <c r="A259" s="21" t="b">
        <v>0</v>
      </c>
      <c r="B259" s="21" t="inlineStr">
        <is>
          <t>B19</t>
        </is>
      </c>
      <c r="C259" s="14" t="inlineStr">
        <is>
          <t>Bonus: Fan film</t>
        </is>
      </c>
      <c r="D259" s="15" t="inlineStr">
        <is>
          <t>Dark Resurrection Volume 0</t>
        </is>
      </c>
      <c r="E259" s="16" t="inlineStr"/>
      <c r="F259" s="17" t="inlineStr">
        <is>
          <t>September 8, 2011</t>
        </is>
      </c>
      <c r="G259" s="15" t="inlineStr">
        <is>
          <t>Fan / non-canon</t>
        </is>
      </c>
      <c r="H259" s="15" t="inlineStr">
        <is>
          <t>Fan film</t>
        </is>
      </c>
      <c r="I259" s="15" t="inlineStr">
        <is>
          <t>YouTube</t>
        </is>
      </c>
      <c r="J259" s="18">
        <f>HYPERLINK("https://www.youtube.com/watch?v=lQzOQI1Rdn0","Open")</f>
        <v/>
      </c>
      <c r="K259" s="15" t="inlineStr">
        <is>
          <t>Watch before Volume 1</t>
        </is>
      </c>
    </row>
    <row r="260" ht="15.75" customHeight="1" s="23">
      <c r="A260" s="21" t="b">
        <v>0</v>
      </c>
      <c r="B260" s="21" t="inlineStr">
        <is>
          <t>B20</t>
        </is>
      </c>
      <c r="C260" s="14" t="inlineStr">
        <is>
          <t>Bonus: Fan film</t>
        </is>
      </c>
      <c r="D260" s="15" t="inlineStr">
        <is>
          <t>Dark Resurrection Volume 1</t>
        </is>
      </c>
      <c r="E260" s="16" t="inlineStr"/>
      <c r="F260" s="17" t="inlineStr">
        <is>
          <t>June 7, 2007</t>
        </is>
      </c>
      <c r="G260" s="15" t="inlineStr">
        <is>
          <t>Fan / non-canon</t>
        </is>
      </c>
      <c r="H260" s="15" t="inlineStr">
        <is>
          <t>Fan film</t>
        </is>
      </c>
      <c r="I260" s="15" t="inlineStr">
        <is>
          <t>YouTube</t>
        </is>
      </c>
      <c r="J260" s="18">
        <f>HYPERLINK("https://www.youtube.com/watch?v=3DZzpKMGmUs","Open")</f>
        <v/>
      </c>
      <c r="K260" s="15" t="inlineStr">
        <is>
          <t>Story sequel to Volume 0 despite earlier release</t>
        </is>
      </c>
    </row>
    <row r="261" ht="15.75" customHeight="1" s="23">
      <c r="A261" s="21" t="b">
        <v>0</v>
      </c>
      <c r="B261" s="21" t="inlineStr">
        <is>
          <t>B21</t>
        </is>
      </c>
      <c r="C261" s="14" t="inlineStr">
        <is>
          <t>Bonus: Parody</t>
        </is>
      </c>
      <c r="D261" s="15" t="inlineStr">
        <is>
          <t>Robot Chicken: Star Wars</t>
        </is>
      </c>
      <c r="E261" s="16" t="inlineStr"/>
      <c r="F261" s="17" t="inlineStr">
        <is>
          <t>June 17, 2007</t>
        </is>
      </c>
      <c r="G261" s="15" t="inlineStr">
        <is>
          <t>Parody</t>
        </is>
      </c>
      <c r="H261" s="15" t="inlineStr">
        <is>
          <t>Special</t>
        </is>
      </c>
      <c r="I261" s="15" t="inlineStr">
        <is>
          <t>Hulu</t>
        </is>
      </c>
      <c r="J261" s="18">
        <f>HYPERLINK("https://www.hulu.com/series/robot-chicken-star-wars-f91fc72a-5abb-4b95-9d78-dcc0d5fc764a","Open")</f>
        <v/>
      </c>
      <c r="K261" s="15" t="inlineStr"/>
    </row>
    <row r="262" ht="15.75" customHeight="1" s="23">
      <c r="A262" s="21" t="b">
        <v>0</v>
      </c>
      <c r="B262" s="21" t="inlineStr">
        <is>
          <t>B22</t>
        </is>
      </c>
      <c r="C262" s="14" t="inlineStr">
        <is>
          <t>Bonus: Parody</t>
        </is>
      </c>
      <c r="D262" s="15" t="inlineStr">
        <is>
          <t>Robot Chicken: Star Wars Episode II</t>
        </is>
      </c>
      <c r="E262" s="16" t="inlineStr"/>
      <c r="F262" s="17" t="inlineStr">
        <is>
          <t>November 16, 2008</t>
        </is>
      </c>
      <c r="G262" s="15" t="inlineStr">
        <is>
          <t>Parody</t>
        </is>
      </c>
      <c r="H262" s="15" t="inlineStr">
        <is>
          <t>Special</t>
        </is>
      </c>
      <c r="I262" s="15" t="inlineStr">
        <is>
          <t>Hulu</t>
        </is>
      </c>
      <c r="J262" s="18">
        <f>HYPERLINK("https://www.hulu.com/series/robot-chicken-star-wars-f91fc72a-5abb-4b95-9d78-dcc0d5fc764a","Open")</f>
        <v/>
      </c>
      <c r="K262" s="15" t="inlineStr"/>
    </row>
    <row r="263" ht="15.75" customHeight="1" s="23">
      <c r="A263" s="21" t="b">
        <v>0</v>
      </c>
      <c r="B263" s="21" t="inlineStr">
        <is>
          <t>B23</t>
        </is>
      </c>
      <c r="C263" s="14" t="inlineStr">
        <is>
          <t>Bonus: Parody</t>
        </is>
      </c>
      <c r="D263" s="15" t="inlineStr">
        <is>
          <t>Robot Chicken: Star Wars Episode III</t>
        </is>
      </c>
      <c r="E263" s="16" t="inlineStr"/>
      <c r="F263" s="17" t="inlineStr">
        <is>
          <t>December 19, 2010</t>
        </is>
      </c>
      <c r="G263" s="15" t="inlineStr">
        <is>
          <t>Parody</t>
        </is>
      </c>
      <c r="H263" s="15" t="inlineStr">
        <is>
          <t>Special</t>
        </is>
      </c>
      <c r="I263" s="15" t="inlineStr">
        <is>
          <t>Hulu</t>
        </is>
      </c>
      <c r="J263" s="18">
        <f>HYPERLINK("https://www.hulu.com/series/robot-chicken-star-wars-f91fc72a-5abb-4b95-9d78-dcc0d5fc764a","Open")</f>
        <v/>
      </c>
      <c r="K263" s="15" t="inlineStr"/>
    </row>
    <row r="264" ht="15.75" customHeight="1" s="23">
      <c r="A264" s="21" t="b">
        <v>0</v>
      </c>
      <c r="B264" s="21" t="inlineStr">
        <is>
          <t>B24</t>
        </is>
      </c>
      <c r="C264" s="14" t="inlineStr">
        <is>
          <t>Bonus: Parody</t>
        </is>
      </c>
      <c r="D264" s="15" t="inlineStr">
        <is>
          <t>Family Guy: Blue Harvest</t>
        </is>
      </c>
      <c r="E264" s="16" t="inlineStr"/>
      <c r="F264" s="17" t="inlineStr">
        <is>
          <t>September 23, 2007</t>
        </is>
      </c>
      <c r="G264" s="15" t="inlineStr">
        <is>
          <t>Parody</t>
        </is>
      </c>
      <c r="H264" s="15" t="inlineStr">
        <is>
          <t>Episode</t>
        </is>
      </c>
      <c r="I264" s="15" t="inlineStr">
        <is>
          <t>Hulu</t>
        </is>
      </c>
      <c r="J264" s="18">
        <f>HYPERLINK("https://www.hulu.com/guides/family-guy-star-wars-episodes","Open")</f>
        <v/>
      </c>
      <c r="K264" s="15" t="inlineStr"/>
    </row>
    <row r="265" ht="15.75" customHeight="1" s="23">
      <c r="A265" s="21" t="b">
        <v>0</v>
      </c>
      <c r="B265" s="21" t="inlineStr">
        <is>
          <t>B25</t>
        </is>
      </c>
      <c r="C265" s="14" t="inlineStr">
        <is>
          <t>Bonus: Parody</t>
        </is>
      </c>
      <c r="D265" s="15" t="inlineStr">
        <is>
          <t>Something, Something, Something, Dark Side</t>
        </is>
      </c>
      <c r="E265" s="16" t="inlineStr"/>
      <c r="F265" s="17" t="inlineStr">
        <is>
          <t>December 22, 2009</t>
        </is>
      </c>
      <c r="G265" s="15" t="inlineStr">
        <is>
          <t>Parody</t>
        </is>
      </c>
      <c r="H265" s="15" t="inlineStr">
        <is>
          <t>Special</t>
        </is>
      </c>
      <c r="I265" s="15" t="inlineStr">
        <is>
          <t>Hulu</t>
        </is>
      </c>
      <c r="J265" s="18">
        <f>HYPERLINK("https://www.hulu.com/guides/family-guy-star-wars-episodes","Open")</f>
        <v/>
      </c>
      <c r="K265" s="15" t="inlineStr"/>
    </row>
    <row r="266" ht="15.75" customHeight="1" s="23">
      <c r="A266" s="21" t="b">
        <v>0</v>
      </c>
      <c r="B266" s="21" t="inlineStr">
        <is>
          <t>B26</t>
        </is>
      </c>
      <c r="C266" s="14" t="inlineStr">
        <is>
          <t>Bonus: Parody</t>
        </is>
      </c>
      <c r="D266" s="15" t="inlineStr">
        <is>
          <t>It's a Trap!</t>
        </is>
      </c>
      <c r="E266" s="16" t="inlineStr"/>
      <c r="F266" s="17" t="inlineStr">
        <is>
          <t>December 21, 2010</t>
        </is>
      </c>
      <c r="G266" s="15" t="inlineStr">
        <is>
          <t>Parody</t>
        </is>
      </c>
      <c r="H266" s="15" t="inlineStr">
        <is>
          <t>Special</t>
        </is>
      </c>
      <c r="I266" s="15" t="inlineStr">
        <is>
          <t>Hulu</t>
        </is>
      </c>
      <c r="J266" s="18">
        <f>HYPERLINK("https://www.hulu.com/guides/family-guy-star-wars-episodes","Open")</f>
        <v/>
      </c>
      <c r="K266" s="15" t="inlineStr"/>
    </row>
    <row r="267" ht="15.75" customHeight="1" s="23">
      <c r="A267" s="21" t="b">
        <v>0</v>
      </c>
      <c r="B267" s="21" t="inlineStr">
        <is>
          <t>B27</t>
        </is>
      </c>
      <c r="C267" s="14" t="inlineStr">
        <is>
          <t>Bonus: Duel of the Fates</t>
        </is>
      </c>
      <c r="D267" s="15" t="inlineStr">
        <is>
          <t>Colin Trevorrow's abandoned Episode IX screenplay</t>
        </is>
      </c>
      <c r="E267" s="16" t="inlineStr"/>
      <c r="F267" s="15" t="inlineStr">
        <is>
          <t>Draft December 2016; leaked 2020</t>
        </is>
      </c>
      <c r="G267" s="15" t="inlineStr">
        <is>
          <t>Unused concept</t>
        </is>
      </c>
      <c r="H267" s="15" t="inlineStr">
        <is>
          <t>Screenplay</t>
        </is>
      </c>
      <c r="I267" s="15" t="inlineStr">
        <is>
          <t>Online</t>
        </is>
      </c>
      <c r="J267" s="19" t="inlineStr"/>
      <c r="K267" s="15" t="inlineStr">
        <is>
          <t>Background before watching recreations</t>
        </is>
      </c>
    </row>
    <row r="268" ht="15.75" customHeight="1" s="23">
      <c r="A268" s="21" t="b">
        <v>0</v>
      </c>
      <c r="B268" s="21" t="inlineStr">
        <is>
          <t>B28</t>
        </is>
      </c>
      <c r="C268" s="14" t="inlineStr">
        <is>
          <t>Bonus: Duel of the Fates</t>
        </is>
      </c>
      <c r="D268" s="15" t="inlineStr">
        <is>
          <t>Mr Sunday Movies animated summary</t>
        </is>
      </c>
      <c r="E268" s="16" t="inlineStr"/>
      <c r="F268" s="17" t="inlineStr">
        <is>
          <t>2020</t>
        </is>
      </c>
      <c r="G268" s="15" t="inlineStr">
        <is>
          <t>Fan / non-canon</t>
        </is>
      </c>
      <c r="H268" s="15" t="inlineStr">
        <is>
          <t>Animated summary</t>
        </is>
      </c>
      <c r="I268" s="15" t="inlineStr">
        <is>
          <t>YouTube</t>
        </is>
      </c>
      <c r="J268" s="18">
        <f>HYPERLINK("https://www.youtube.com/watch?v=9WEU1b2t1zM","Open")</f>
        <v/>
      </c>
      <c r="K268" s="15" t="inlineStr"/>
    </row>
    <row r="269" ht="15.75" customHeight="1" s="23">
      <c r="A269" s="21" t="b">
        <v>0</v>
      </c>
      <c r="B269" s="21" t="inlineStr">
        <is>
          <t>B29</t>
        </is>
      </c>
      <c r="C269" s="14" t="inlineStr">
        <is>
          <t>Bonus: Duel of the Fates</t>
        </is>
      </c>
      <c r="D269" s="15" t="inlineStr">
        <is>
          <t>Full fan motion-comic adaptation</t>
        </is>
      </c>
      <c r="E269" s="16" t="inlineStr"/>
      <c r="F269" s="17" t="inlineStr">
        <is>
          <t>December 31, 2022</t>
        </is>
      </c>
      <c r="G269" s="15" t="inlineStr">
        <is>
          <t>Fan / non-canon</t>
        </is>
      </c>
      <c r="H269" s="15" t="inlineStr">
        <is>
          <t>Motion comic</t>
        </is>
      </c>
      <c r="I269" s="15" t="inlineStr">
        <is>
          <t>YouTube</t>
        </is>
      </c>
      <c r="J269" s="18">
        <f>HYPERLINK("https://www.youtube.com/watch?v=E02BkoY_K0I","Open")</f>
        <v/>
      </c>
      <c r="K269" s="15" t="inlineStr"/>
    </row>
    <row r="270" ht="15.75" customHeight="1" s="23">
      <c r="A270" s="21" t="b">
        <v>0</v>
      </c>
      <c r="B270" s="21" t="inlineStr">
        <is>
          <t>SWS-035</t>
        </is>
      </c>
      <c r="C270" s="14" t="inlineStr">
        <is>
          <t>Skywalker Stories — Old Republic</t>
        </is>
      </c>
      <c r="D270" s="24" t="inlineStr">
        <is>
          <t>Star Wars: Darth Revan Learns His True Identity</t>
        </is>
      </c>
      <c r="E270" s="25" t="inlineStr"/>
      <c r="F270" s="26" t="inlineStr">
        <is>
          <t>Displayed as “1y ago” on October 17, 2026</t>
        </is>
      </c>
      <c r="G270" s="24" t="inlineStr">
        <is>
          <t>Fan-made / non-canon</t>
        </is>
      </c>
      <c r="H270" s="24" t="inlineStr">
        <is>
          <t>AI fan film</t>
        </is>
      </c>
      <c r="I270" s="24" t="inlineStr">
        <is>
          <t>YouTube — Skywalker Stories</t>
        </is>
      </c>
      <c r="J270" s="27">
        <f>HYPERLINK("https://www.youtube.com/watch?v=IcRO8M_msRo","Open")</f>
        <v/>
      </c>
      <c r="K270" s="24" t="inlineStr">
        <is>
          <t>Skywalker Stories. During Knights of the Old Republic, around Revan's identity revelation. Placement confidence: High.</t>
        </is>
      </c>
    </row>
    <row r="271" ht="15.75" customHeight="1" s="23">
      <c r="A271" s="21" t="b">
        <v>0</v>
      </c>
      <c r="B271" s="21" t="inlineStr">
        <is>
          <t>SWS-049</t>
        </is>
      </c>
      <c r="C271" s="14" t="inlineStr">
        <is>
          <t>Skywalker Stories — Fall of the Jedi</t>
        </is>
      </c>
      <c r="D271" s="24" t="inlineStr">
        <is>
          <t>Star Wars - Palpatine and Plagueis Discuss Power, Legacy, and the Rule of Two</t>
        </is>
      </c>
      <c r="E271" s="25" t="inlineStr"/>
      <c r="F271" s="26" t="inlineStr">
        <is>
          <t>Displayed as “1y ago” on October 17, 2026</t>
        </is>
      </c>
      <c r="G271" s="24" t="inlineStr">
        <is>
          <t>Fan-made / non-canon</t>
        </is>
      </c>
      <c r="H271" s="24" t="inlineStr">
        <is>
          <t>AI fan film</t>
        </is>
      </c>
      <c r="I271" s="24" t="inlineStr">
        <is>
          <t>YouTube — Skywalker Stories</t>
        </is>
      </c>
      <c r="J271" s="27">
        <f>HYPERLINK("https://www.youtube.com/watch?v=0nuUWBSGZjM","Open")</f>
        <v/>
      </c>
      <c r="K271" s="24" t="inlineStr">
        <is>
          <t>Skywalker Stories. Before or around Episode I, while Darth Plagueis is still alive. Placement confidence: Medium.</t>
        </is>
      </c>
    </row>
    <row r="272" ht="15.75" customHeight="1" s="23">
      <c r="A272" s="21" t="b">
        <v>0</v>
      </c>
      <c r="B272" s="21" t="inlineStr">
        <is>
          <t>SWS-033</t>
        </is>
      </c>
      <c r="C272" s="14" t="inlineStr">
        <is>
          <t>Skywalker Stories — Fall of the Jedi</t>
        </is>
      </c>
      <c r="D272" s="24" t="inlineStr">
        <is>
          <t>Star Wars: Darth Plagueis influences Sifo Dyas To Order The Clone Army from Kamino</t>
        </is>
      </c>
      <c r="E272" s="25" t="inlineStr"/>
      <c r="F272" s="26" t="inlineStr">
        <is>
          <t>Displayed as “1y ago” on October 17, 2026</t>
        </is>
      </c>
      <c r="G272" s="24" t="inlineStr">
        <is>
          <t>Fan-made / non-canon</t>
        </is>
      </c>
      <c r="H272" s="24" t="inlineStr">
        <is>
          <t>AI fan film</t>
        </is>
      </c>
      <c r="I272" s="24" t="inlineStr">
        <is>
          <t>YouTube — Skywalker Stories</t>
        </is>
      </c>
      <c r="J272" s="27">
        <f>HYPERLINK("https://www.youtube.com/watch?v=iRE10jSTzWA","Open")</f>
        <v/>
      </c>
      <c r="K272" s="24" t="inlineStr">
        <is>
          <t>Skywalker Stories. Around the Naboo crisis, before the clone army is ordered; Legends-inspired. Placement confidence: Medium.</t>
        </is>
      </c>
    </row>
    <row r="273" ht="15.75" customHeight="1" s="23">
      <c r="A273" s="21" t="b">
        <v>0</v>
      </c>
      <c r="B273" s="21" t="inlineStr">
        <is>
          <t>SWS-011</t>
        </is>
      </c>
      <c r="C273" s="14" t="inlineStr">
        <is>
          <t>Skywalker Stories — Fall of the Jedi</t>
        </is>
      </c>
      <c r="D273" s="24" t="inlineStr">
        <is>
          <t>Star Wars: Duel of the Fates</t>
        </is>
      </c>
      <c r="E273" s="25" t="inlineStr"/>
      <c r="F273" s="26" t="inlineStr">
        <is>
          <t>Displayed as “8mo ago” on October 17, 2026</t>
        </is>
      </c>
      <c r="G273" s="24" t="inlineStr">
        <is>
          <t>Fan-made / non-canon</t>
        </is>
      </c>
      <c r="H273" s="24" t="inlineStr">
        <is>
          <t>AI fan film</t>
        </is>
      </c>
      <c r="I273" s="24" t="inlineStr">
        <is>
          <t>YouTube — Skywalker Stories</t>
        </is>
      </c>
      <c r="J273" s="27">
        <f>HYPERLINK("https://www.youtube.com/watch?v=x-OiA2TsDuo","Open")</f>
        <v/>
      </c>
      <c r="K273" s="24" t="inlineStr">
        <is>
          <t>Skywalker Stories. Alongside the climax of Episode I: The Phantom Menace. Placement confidence: High.</t>
        </is>
      </c>
    </row>
    <row r="274" ht="15.75" customHeight="1" s="23">
      <c r="A274" s="21" t="b">
        <v>0</v>
      </c>
      <c r="B274" s="21" t="inlineStr">
        <is>
          <t>SWS-036</t>
        </is>
      </c>
      <c r="C274" s="14" t="inlineStr">
        <is>
          <t>Skywalker Stories — Fall of the Jedi</t>
        </is>
      </c>
      <c r="D274" s="24" t="inlineStr">
        <is>
          <t>Star Wars: Count Dooku Leaves the Jedi Order &amp; Joins Darth Sidious</t>
        </is>
      </c>
      <c r="E274" s="25" t="inlineStr"/>
      <c r="F274" s="26" t="inlineStr">
        <is>
          <t>Displayed as “1y ago” on October 17, 2026</t>
        </is>
      </c>
      <c r="G274" s="24" t="inlineStr">
        <is>
          <t>Fan-made / non-canon</t>
        </is>
      </c>
      <c r="H274" s="24" t="inlineStr">
        <is>
          <t>AI fan film</t>
        </is>
      </c>
      <c r="I274" s="24" t="inlineStr">
        <is>
          <t>YouTube — Skywalker Stories</t>
        </is>
      </c>
      <c r="J274" s="27">
        <f>HYPERLINK("https://www.youtube.com/watch?v=rzyuNoS8WwI","Open")</f>
        <v/>
      </c>
      <c r="K274" s="24" t="inlineStr">
        <is>
          <t>Skywalker Stories. After Qui-Gon Jinn's death and before Episode II. Placement confidence: High.</t>
        </is>
      </c>
    </row>
    <row r="275" ht="15.75" customHeight="1" s="23">
      <c r="A275" s="21" t="b">
        <v>0</v>
      </c>
      <c r="B275" s="21" t="inlineStr">
        <is>
          <t>SWS-022</t>
        </is>
      </c>
      <c r="C275" s="14" t="inlineStr">
        <is>
          <t>Skywalker Stories — Fall of the Jedi</t>
        </is>
      </c>
      <c r="D275" s="24" t="inlineStr">
        <is>
          <t>Star Wars: Count Dooku Becomes Darth Tyranus</t>
        </is>
      </c>
      <c r="E275" s="25" t="inlineStr"/>
      <c r="F275" s="26" t="inlineStr">
        <is>
          <t>Displayed as “1y ago” on October 17, 2026</t>
        </is>
      </c>
      <c r="G275" s="24" t="inlineStr">
        <is>
          <t>Fan-made / non-canon</t>
        </is>
      </c>
      <c r="H275" s="24" t="inlineStr">
        <is>
          <t>AI fan film</t>
        </is>
      </c>
      <c r="I275" s="24" t="inlineStr">
        <is>
          <t>YouTube — Skywalker Stories</t>
        </is>
      </c>
      <c r="J275" s="27">
        <f>HYPERLINK("https://www.youtube.com/watch?v=m0EYZ5kk48Y","Open")</f>
        <v/>
      </c>
      <c r="K275" s="24" t="inlineStr">
        <is>
          <t>Skywalker Stories. Between Episodes I and II, before the clone army conspiracy is complete. Placement confidence: High.</t>
        </is>
      </c>
    </row>
    <row r="276" ht="15.75" customHeight="1" s="23">
      <c r="A276" s="21" t="b">
        <v>0</v>
      </c>
      <c r="B276" s="21" t="inlineStr">
        <is>
          <t>SWS-013</t>
        </is>
      </c>
      <c r="C276" s="14" t="inlineStr">
        <is>
          <t>Skywalker Stories — Fall of the Jedi</t>
        </is>
      </c>
      <c r="D276" s="24" t="inlineStr">
        <is>
          <t>Star Wars: Count Dooku Becomes Darth Tyranus &amp; Recruits Jango Fett For The Clone Army</t>
        </is>
      </c>
      <c r="E276" s="25" t="inlineStr"/>
      <c r="F276" s="26" t="inlineStr">
        <is>
          <t>Displayed as “9mo ago” on October 17, 2026</t>
        </is>
      </c>
      <c r="G276" s="24" t="inlineStr">
        <is>
          <t>Fan-made / non-canon</t>
        </is>
      </c>
      <c r="H276" s="24" t="inlineStr">
        <is>
          <t>AI fan film</t>
        </is>
      </c>
      <c r="I276" s="24" t="inlineStr">
        <is>
          <t>YouTube — Skywalker Stories</t>
        </is>
      </c>
      <c r="J276" s="27">
        <f>HYPERLINK("https://www.youtube.com/watch?v=86WZyh5SG7w","Open")</f>
        <v/>
      </c>
      <c r="K276" s="24" t="inlineStr">
        <is>
          <t>Skywalker Stories. Between Episodes I and II, before the clone army conspiracy is complete. Placement confidence: High.</t>
        </is>
      </c>
    </row>
    <row r="277" ht="15.75" customHeight="1" s="23">
      <c r="A277" s="21" t="b">
        <v>0</v>
      </c>
      <c r="B277" s="21" t="inlineStr">
        <is>
          <t>SWS-004</t>
        </is>
      </c>
      <c r="C277" s="14" t="inlineStr">
        <is>
          <t>Skywalker Stories — Fall of the Jedi</t>
        </is>
      </c>
      <c r="D277" s="24" t="inlineStr">
        <is>
          <t>Star Wars: Dooku Becomes Darth Tyranus &amp; Recruits Jango Fett For The Clone Army</t>
        </is>
      </c>
      <c r="E277" s="25" t="inlineStr"/>
      <c r="F277" s="26" t="inlineStr">
        <is>
          <t>Displayed as “4mo ago” on October 17, 2026</t>
        </is>
      </c>
      <c r="G277" s="24" t="inlineStr">
        <is>
          <t>Fan-made / non-canon</t>
        </is>
      </c>
      <c r="H277" s="24" t="inlineStr">
        <is>
          <t>AI fan film</t>
        </is>
      </c>
      <c r="I277" s="24" t="inlineStr">
        <is>
          <t>YouTube — Skywalker Stories</t>
        </is>
      </c>
      <c r="J277" s="27">
        <f>HYPERLINK("https://www.youtube.com/watch?v=a4A4vwGA7dY","Open")</f>
        <v/>
      </c>
      <c r="K277" s="24" t="inlineStr">
        <is>
          <t>Skywalker Stories. Between Episodes I and II, before the clone army conspiracy is complete. Placement confidence: High.</t>
        </is>
      </c>
    </row>
    <row r="278" ht="15.75" customHeight="1" s="23">
      <c r="A278" s="21" t="b">
        <v>0</v>
      </c>
      <c r="B278" s="21" t="inlineStr">
        <is>
          <t>SWS-032</t>
        </is>
      </c>
      <c r="C278" s="14" t="inlineStr">
        <is>
          <t>Skywalker Stories — Fall of the Jedi</t>
        </is>
      </c>
      <c r="D278" s="24" t="inlineStr">
        <is>
          <t>Star Wars: Count Dooku Has Sifo-Dyas Killed &amp; Recruits Jango Fett For The Clone Army</t>
        </is>
      </c>
      <c r="E278" s="25" t="inlineStr"/>
      <c r="F278" s="26" t="inlineStr">
        <is>
          <t>Displayed as “1y ago” on October 17, 2026</t>
        </is>
      </c>
      <c r="G278" s="24" t="inlineStr">
        <is>
          <t>Fan-made / non-canon</t>
        </is>
      </c>
      <c r="H278" s="24" t="inlineStr">
        <is>
          <t>AI fan film</t>
        </is>
      </c>
      <c r="I278" s="24" t="inlineStr">
        <is>
          <t>YouTube — Skywalker Stories</t>
        </is>
      </c>
      <c r="J278" s="27">
        <f>HYPERLINK("https://www.youtube.com/watch?v=flBV1QCY_oQ","Open")</f>
        <v/>
      </c>
      <c r="K278" s="24" t="inlineStr">
        <is>
          <t>Skywalker Stories. Between Episodes I and II, during creation of the clone army. Placement confidence: High.</t>
        </is>
      </c>
    </row>
    <row r="279" ht="15.75" customHeight="1" s="23">
      <c r="A279" s="21" t="b">
        <v>0</v>
      </c>
      <c r="B279" s="21" t="inlineStr">
        <is>
          <t>SWS-010</t>
        </is>
      </c>
      <c r="C279" s="14" t="inlineStr">
        <is>
          <t>Skywalker Stories — Fall of the Jedi</t>
        </is>
      </c>
      <c r="D279" s="24" t="inlineStr">
        <is>
          <t>Star Wars: Dooku Sends Jango &amp; Boba Fett To Kill A Clone Before Attack Of The Clones</t>
        </is>
      </c>
      <c r="E279" s="25" t="inlineStr"/>
      <c r="F279" s="26" t="inlineStr">
        <is>
          <t>Displayed as “7mo ago” on October 17, 2026</t>
        </is>
      </c>
      <c r="G279" s="24" t="inlineStr">
        <is>
          <t>Fan-made / non-canon</t>
        </is>
      </c>
      <c r="H279" s="24" t="inlineStr">
        <is>
          <t>AI fan film</t>
        </is>
      </c>
      <c r="I279" s="24" t="inlineStr">
        <is>
          <t>YouTube — Skywalker Stories</t>
        </is>
      </c>
      <c r="J279" s="27">
        <f>HYPERLINK("https://www.youtube.com/watch?v=zwOdVAkpUVM","Open")</f>
        <v/>
      </c>
      <c r="K279" s="24" t="inlineStr">
        <is>
          <t>Skywalker Stories. Between Episodes I and II, during creation of the clone army. Placement confidence: High.</t>
        </is>
      </c>
    </row>
    <row r="280" ht="15.75" customHeight="1" s="23">
      <c r="A280" s="21" t="b">
        <v>0</v>
      </c>
      <c r="B280" s="21" t="inlineStr">
        <is>
          <t>SWS-027</t>
        </is>
      </c>
      <c r="C280" s="14" t="inlineStr">
        <is>
          <t>Skywalker Stories — Clone Wars</t>
        </is>
      </c>
      <c r="D280" s="24" t="inlineStr">
        <is>
          <t>Star Wars: Padawan Anakin Skywalker Fights Darth Maul and Learns The "System"</t>
        </is>
      </c>
      <c r="E280" s="25" t="inlineStr"/>
      <c r="F280" s="26" t="inlineStr">
        <is>
          <t>Displayed as “1y ago” on October 17, 2026</t>
        </is>
      </c>
      <c r="G280" s="24" t="inlineStr">
        <is>
          <t>Fan-made / non-canon</t>
        </is>
      </c>
      <c r="H280" s="24" t="inlineStr">
        <is>
          <t>AI fan film</t>
        </is>
      </c>
      <c r="I280" s="24" t="inlineStr">
        <is>
          <t>YouTube — Skywalker Stories</t>
        </is>
      </c>
      <c r="J280" s="27">
        <f>HYPERLINK("https://www.youtube.com/watch?v=WOS7i42ggU8","Open")</f>
        <v/>
      </c>
      <c r="K280" s="24" t="inlineStr">
        <is>
          <t>Skywalker Stories. Alternate Clone Wars-era encounter; exact placement is uncertain. Placement confidence: Low.</t>
        </is>
      </c>
    </row>
    <row r="281" ht="15.75" customHeight="1" s="23">
      <c r="A281" s="21" t="b">
        <v>0</v>
      </c>
      <c r="B281" s="21" t="inlineStr">
        <is>
          <t>SWS-053</t>
        </is>
      </c>
      <c r="C281" s="14" t="inlineStr">
        <is>
          <t>Skywalker Stories — Clone Wars</t>
        </is>
      </c>
      <c r="D281" s="24" t="inlineStr">
        <is>
          <t>Star Wars - Ahsoka leaves the Jedi Order</t>
        </is>
      </c>
      <c r="E281" s="25" t="inlineStr"/>
      <c r="F281" s="26" t="inlineStr">
        <is>
          <t>Displayed as “1y ago” on October 17, 2026</t>
        </is>
      </c>
      <c r="G281" s="24" t="inlineStr">
        <is>
          <t>Fan-made / non-canon</t>
        </is>
      </c>
      <c r="H281" s="24" t="inlineStr">
        <is>
          <t>AI fan film</t>
        </is>
      </c>
      <c r="I281" s="24" t="inlineStr">
        <is>
          <t>YouTube — Skywalker Stories</t>
        </is>
      </c>
      <c r="J281" s="27">
        <f>HYPERLINK("https://www.youtube.com/watch?v=_Svu4Ix5_aw","Open")</f>
        <v/>
      </c>
      <c r="K281" s="24" t="inlineStr">
        <is>
          <t>Skywalker Stories. Around The Clone Wars Season 5 finale, after Ahsoka leaves the Order. Placement confidence: High.</t>
        </is>
      </c>
    </row>
    <row r="282" ht="15.75" customHeight="1" s="23">
      <c r="A282" s="21" t="b">
        <v>0</v>
      </c>
      <c r="B282" s="21" t="inlineStr">
        <is>
          <t>SWS-055</t>
        </is>
      </c>
      <c r="C282" s="14" t="inlineStr">
        <is>
          <t>Skywalker Stories — Clone Wars</t>
        </is>
      </c>
      <c r="D282" s="24" t="inlineStr">
        <is>
          <t>Star Wars -  Darth Sidious and Dooku capture Darth Maul</t>
        </is>
      </c>
      <c r="E282" s="25" t="inlineStr"/>
      <c r="F282" s="26" t="inlineStr">
        <is>
          <t>Displayed as “1y ago” on October 17, 2026</t>
        </is>
      </c>
      <c r="G282" s="24" t="inlineStr">
        <is>
          <t>Fan-made / non-canon</t>
        </is>
      </c>
      <c r="H282" s="24" t="inlineStr">
        <is>
          <t>AI fan film</t>
        </is>
      </c>
      <c r="I282" s="24" t="inlineStr">
        <is>
          <t>YouTube — Skywalker Stories</t>
        </is>
      </c>
      <c r="J282" s="27">
        <f>HYPERLINK("https://www.youtube.com/watch?v=Gg3JeXUY5os","Open")</f>
        <v/>
      </c>
      <c r="K282" s="24" t="inlineStr">
        <is>
          <t>Skywalker Stories. Son of Dathomir arc, after The Clone Wars Season 5 and before Season 7. Placement confidence: High.</t>
        </is>
      </c>
    </row>
    <row r="283" ht="15.75" customHeight="1" s="23">
      <c r="A283" s="21" t="b">
        <v>0</v>
      </c>
      <c r="B283" s="21" t="inlineStr">
        <is>
          <t>SWS-054</t>
        </is>
      </c>
      <c r="C283" s="14" t="inlineStr">
        <is>
          <t>Skywalker Stories — Clone Wars</t>
        </is>
      </c>
      <c r="D283" s="24" t="inlineStr">
        <is>
          <t>Star Wars - Darth Maul tortured by Dooku</t>
        </is>
      </c>
      <c r="E283" s="25" t="inlineStr"/>
      <c r="F283" s="26" t="inlineStr">
        <is>
          <t>Displayed as “1y ago” on October 17, 2026</t>
        </is>
      </c>
      <c r="G283" s="24" t="inlineStr">
        <is>
          <t>Fan-made / non-canon</t>
        </is>
      </c>
      <c r="H283" s="24" t="inlineStr">
        <is>
          <t>AI fan film</t>
        </is>
      </c>
      <c r="I283" s="24" t="inlineStr">
        <is>
          <t>YouTube — Skywalker Stories</t>
        </is>
      </c>
      <c r="J283" s="27">
        <f>HYPERLINK("https://www.youtube.com/watch?v=ulc-IMqfnTY","Open")</f>
        <v/>
      </c>
      <c r="K283" s="24" t="inlineStr">
        <is>
          <t>Skywalker Stories. Son of Dathomir arc, after The Clone Wars Season 5 and before Season 7. Placement confidence: High.</t>
        </is>
      </c>
    </row>
    <row r="284" ht="15.75" customHeight="1" s="23">
      <c r="A284" s="21" t="b">
        <v>0</v>
      </c>
      <c r="B284" s="21" t="inlineStr">
        <is>
          <t>SWS-003</t>
        </is>
      </c>
      <c r="C284" s="14" t="inlineStr">
        <is>
          <t>Skywalker Stories — Clone Wars</t>
        </is>
      </c>
      <c r="D284" s="24" t="inlineStr">
        <is>
          <t>Star Wars: Darth Maul Tortured By Count Dooku and Sidious | Son of Dathomir</t>
        </is>
      </c>
      <c r="E284" s="25" t="inlineStr"/>
      <c r="F284" s="26" t="inlineStr">
        <is>
          <t>July 31, 2026</t>
        </is>
      </c>
      <c r="G284" s="24" t="inlineStr">
        <is>
          <t>Fan-made / non-canon</t>
        </is>
      </c>
      <c r="H284" s="24" t="inlineStr">
        <is>
          <t>AI fan film</t>
        </is>
      </c>
      <c r="I284" s="24" t="inlineStr">
        <is>
          <t>YouTube — Skywalker Stories</t>
        </is>
      </c>
      <c r="J284" s="27">
        <f>HYPERLINK("https://www.youtube.com/watch?v=tgd4sWo_xRw","Open")</f>
        <v/>
      </c>
      <c r="K284" s="24" t="inlineStr">
        <is>
          <t>Skywalker Stories. Son of Dathomir arc, after The Clone Wars Season 5 and before Season 7. Placement confidence: High.</t>
        </is>
      </c>
    </row>
    <row r="285" ht="15.75" customHeight="1" s="23">
      <c r="A285" s="21" t="b">
        <v>0</v>
      </c>
      <c r="B285" s="21" t="inlineStr">
        <is>
          <t>SWS-030</t>
        </is>
      </c>
      <c r="C285" s="14" t="inlineStr">
        <is>
          <t>Skywalker Stories — Clone Wars</t>
        </is>
      </c>
      <c r="D285" s="24" t="inlineStr">
        <is>
          <t>Star Wars: Darth Maul tortured by Dooku &amp; Sidious - Son Of Dathomir</t>
        </is>
      </c>
      <c r="E285" s="25" t="inlineStr"/>
      <c r="F285" s="26" t="inlineStr">
        <is>
          <t>Displayed as “1y ago” on October 17, 2026</t>
        </is>
      </c>
      <c r="G285" s="24" t="inlineStr">
        <is>
          <t>Fan-made / non-canon</t>
        </is>
      </c>
      <c r="H285" s="24" t="inlineStr">
        <is>
          <t>AI fan film</t>
        </is>
      </c>
      <c r="I285" s="24" t="inlineStr">
        <is>
          <t>YouTube — Skywalker Stories</t>
        </is>
      </c>
      <c r="J285" s="27">
        <f>HYPERLINK("https://www.youtube.com/watch?v=xnQm-wAzSSM","Open")</f>
        <v/>
      </c>
      <c r="K285" s="24" t="inlineStr">
        <is>
          <t>Skywalker Stories. Son of Dathomir arc, after The Clone Wars Season 5 and before Season 7. Placement confidence: High.</t>
        </is>
      </c>
    </row>
    <row r="286" ht="15.75" customHeight="1" s="23">
      <c r="A286" s="21" t="b">
        <v>0</v>
      </c>
      <c r="B286" s="21" t="inlineStr">
        <is>
          <t>SWS-112</t>
        </is>
      </c>
      <c r="C286" s="14" t="inlineStr">
        <is>
          <t>Skywalker Stories — Clone Wars</t>
        </is>
      </c>
      <c r="D286" s="24" t="inlineStr">
        <is>
          <t>(AI) Deepfaking Hayden Christensen into the Clone Wars - Ahsoka and Anakin Farewell</t>
        </is>
      </c>
      <c r="E286" s="25" t="inlineStr"/>
      <c r="F286" s="26" t="inlineStr">
        <is>
          <t>Displayed as “2y ago” on October 17, 2026</t>
        </is>
      </c>
      <c r="G286" s="24" t="inlineStr">
        <is>
          <t>Fan-made / non-canon</t>
        </is>
      </c>
      <c r="H286" s="24" t="inlineStr">
        <is>
          <t>AI fan film</t>
        </is>
      </c>
      <c r="I286" s="24" t="inlineStr">
        <is>
          <t>YouTube — Skywalker Stories</t>
        </is>
      </c>
      <c r="J286" s="27">
        <f>HYPERLINK("https://www.youtube.com/watch?v=EoLM56huNUU","Open")</f>
        <v/>
      </c>
      <c r="K286" s="24" t="inlineStr">
        <is>
          <t>Skywalker Stories. Visual re-edit alongside The Clone Wars; no new story continuity. Placement confidence: Medium.</t>
        </is>
      </c>
    </row>
    <row r="287" ht="15.75" customHeight="1" s="23">
      <c r="A287" s="21" t="b">
        <v>0</v>
      </c>
      <c r="B287" s="21" t="inlineStr">
        <is>
          <t>SWS-111</t>
        </is>
      </c>
      <c r="C287" s="14" t="inlineStr">
        <is>
          <t>Skywalker Stories — Clone Wars</t>
        </is>
      </c>
      <c r="D287" s="24" t="inlineStr">
        <is>
          <t>Star Wars Deepfake - Hayden Christensen Anakin Skywalker The Clone Wars</t>
        </is>
      </c>
      <c r="E287" s="25" t="inlineStr"/>
      <c r="F287" s="26" t="inlineStr">
        <is>
          <t>Displayed as “2y ago” on October 17, 2026</t>
        </is>
      </c>
      <c r="G287" s="24" t="inlineStr">
        <is>
          <t>Fan-made / non-canon</t>
        </is>
      </c>
      <c r="H287" s="24" t="inlineStr">
        <is>
          <t>AI fan film</t>
        </is>
      </c>
      <c r="I287" s="24" t="inlineStr">
        <is>
          <t>YouTube — Skywalker Stories</t>
        </is>
      </c>
      <c r="J287" s="27">
        <f>HYPERLINK("https://www.youtube.com/watch?v=lNtB4y3Tf4w","Open")</f>
        <v/>
      </c>
      <c r="K287" s="24" t="inlineStr">
        <is>
          <t>Skywalker Stories. Visual re-edit alongside The Clone Wars; no new story continuity. Placement confidence: Medium.</t>
        </is>
      </c>
    </row>
    <row r="288" ht="15.75" customHeight="1" s="23">
      <c r="A288" s="21" t="b">
        <v>0</v>
      </c>
      <c r="B288" s="21" t="inlineStr">
        <is>
          <t>SWS-031</t>
        </is>
      </c>
      <c r="C288" s="14" t="inlineStr">
        <is>
          <t>Skywalker Stories — Clone Wars</t>
        </is>
      </c>
      <c r="D288" s="24" t="inlineStr">
        <is>
          <t>Star Wars: Yoda Wants Count Dooku To Teach Him The Dark Side</t>
        </is>
      </c>
      <c r="E288" s="25" t="inlineStr"/>
      <c r="F288" s="26" t="inlineStr">
        <is>
          <t>Displayed as “1y ago” on October 17, 2026</t>
        </is>
      </c>
      <c r="G288" s="24" t="inlineStr">
        <is>
          <t>Fan-made / non-canon</t>
        </is>
      </c>
      <c r="H288" s="24" t="inlineStr">
        <is>
          <t>AI fan film</t>
        </is>
      </c>
      <c r="I288" s="24" t="inlineStr">
        <is>
          <t>YouTube — Skywalker Stories</t>
        </is>
      </c>
      <c r="J288" s="27">
        <f>HYPERLINK("https://www.youtube.com/watch?v=_GbEGvfjHYA","Open")</f>
        <v/>
      </c>
      <c r="K288" s="24" t="inlineStr">
        <is>
          <t>Skywalker Stories. During the Clone Wars; Legends/Dark Rendezvous-inspired. Placement confidence: High.</t>
        </is>
      </c>
    </row>
    <row r="289" ht="15.75" customHeight="1" s="23">
      <c r="A289" s="21" t="b">
        <v>0</v>
      </c>
      <c r="B289" s="21" t="inlineStr">
        <is>
          <t>SWS-062</t>
        </is>
      </c>
      <c r="C289" s="14" t="inlineStr">
        <is>
          <t>Skywalker Stories — Clone Wars</t>
        </is>
      </c>
      <c r="D289" s="24" t="inlineStr">
        <is>
          <t>Tales of the Star Wars Galaxy: Dooku tries to lure Yoda into the dark side from Dark Rendezvous</t>
        </is>
      </c>
      <c r="E289" s="25" t="inlineStr"/>
      <c r="F289" s="26" t="inlineStr">
        <is>
          <t>Displayed as “1y ago” on October 17, 2026</t>
        </is>
      </c>
      <c r="G289" s="24" t="inlineStr">
        <is>
          <t>Fan-made / non-canon</t>
        </is>
      </c>
      <c r="H289" s="24" t="inlineStr">
        <is>
          <t>AI fan film</t>
        </is>
      </c>
      <c r="I289" s="24" t="inlineStr">
        <is>
          <t>YouTube — Skywalker Stories</t>
        </is>
      </c>
      <c r="J289" s="27">
        <f>HYPERLINK("https://www.youtube.com/watch?v=cxCOd97GeuU","Open")</f>
        <v/>
      </c>
      <c r="K289" s="24" t="inlineStr">
        <is>
          <t>Skywalker Stories. During the Clone Wars; Legends/Dark Rendezvous-inspired. Placement confidence: High.</t>
        </is>
      </c>
    </row>
    <row r="290" ht="15.75" customHeight="1" s="23">
      <c r="A290" s="21" t="b">
        <v>0</v>
      </c>
      <c r="B290" s="21" t="inlineStr">
        <is>
          <t>SWS-020</t>
        </is>
      </c>
      <c r="C290" s="14" t="inlineStr">
        <is>
          <t>Skywalker Stories — Clone Wars</t>
        </is>
      </c>
      <c r="D290" s="24" t="inlineStr">
        <is>
          <t>Star Wars: Dooku &amp; Palpatine Talk Before Anakin &amp; Obi Wan Arrive To Save Palpatine</t>
        </is>
      </c>
      <c r="E290" s="25" t="inlineStr"/>
      <c r="F290" s="26" t="inlineStr">
        <is>
          <t>Displayed as “1y ago” on October 17, 2026</t>
        </is>
      </c>
      <c r="G290" s="24" t="inlineStr">
        <is>
          <t>Fan-made / non-canon</t>
        </is>
      </c>
      <c r="H290" s="24" t="inlineStr">
        <is>
          <t>AI fan film</t>
        </is>
      </c>
      <c r="I290" s="24" t="inlineStr">
        <is>
          <t>YouTube — Skywalker Stories</t>
        </is>
      </c>
      <c r="J290" s="27">
        <f>HYPERLINK("https://www.youtube.com/watch?v=tzZYxfAbv9U","Open")</f>
        <v/>
      </c>
      <c r="K290" s="24" t="inlineStr">
        <is>
          <t>Skywalker Stories. Immediately before or during the opening of Episode III: Revenge of the Sith. Placement confidence: High.</t>
        </is>
      </c>
    </row>
    <row r="291" ht="15.75" customHeight="1" s="23">
      <c r="A291" s="21" t="b">
        <v>0</v>
      </c>
      <c r="B291" s="21" t="inlineStr">
        <is>
          <t>SWS-041</t>
        </is>
      </c>
      <c r="C291" s="14" t="inlineStr">
        <is>
          <t>Skywalker Stories — Clone Wars</t>
        </is>
      </c>
      <c r="D291" s="24" t="inlineStr">
        <is>
          <t>Star Wars: Dooku &amp; Palpatine Talk Before Anakin &amp; Obi-Wan Rescue Palpatine</t>
        </is>
      </c>
      <c r="E291" s="25" t="inlineStr"/>
      <c r="F291" s="26" t="inlineStr">
        <is>
          <t>Displayed as “1y ago” on October 17, 2026</t>
        </is>
      </c>
      <c r="G291" s="24" t="inlineStr">
        <is>
          <t>Fan-made / non-canon</t>
        </is>
      </c>
      <c r="H291" s="24" t="inlineStr">
        <is>
          <t>AI fan film</t>
        </is>
      </c>
      <c r="I291" s="24" t="inlineStr">
        <is>
          <t>YouTube — Skywalker Stories</t>
        </is>
      </c>
      <c r="J291" s="27">
        <f>HYPERLINK("https://www.youtube.com/watch?v=6iuUSLx8umw","Open")</f>
        <v/>
      </c>
      <c r="K291" s="24" t="inlineStr">
        <is>
          <t>Skywalker Stories. Immediately before or during the opening of Episode III: Revenge of the Sith. Placement confidence: High.</t>
        </is>
      </c>
    </row>
    <row r="292" ht="15.75" customHeight="1" s="23">
      <c r="A292" s="21" t="b">
        <v>0</v>
      </c>
      <c r="B292" s="21" t="inlineStr">
        <is>
          <t>SWS-065</t>
        </is>
      </c>
      <c r="C292" s="14" t="inlineStr">
        <is>
          <t>Skywalker Stories — Clone Wars</t>
        </is>
      </c>
      <c r="D292" s="24" t="inlineStr">
        <is>
          <t>Tales of the Star Wars Galaxy: Palpatine and Count Dooku discuss Obi Wan &amp; Anakin ROTS Novelization</t>
        </is>
      </c>
      <c r="E292" s="25" t="inlineStr"/>
      <c r="F292" s="26" t="inlineStr">
        <is>
          <t>Displayed as “1y ago” on October 17, 2026</t>
        </is>
      </c>
      <c r="G292" s="24" t="inlineStr">
        <is>
          <t>Fan-made / non-canon</t>
        </is>
      </c>
      <c r="H292" s="24" t="inlineStr">
        <is>
          <t>AI fan film</t>
        </is>
      </c>
      <c r="I292" s="24" t="inlineStr">
        <is>
          <t>YouTube — Skywalker Stories</t>
        </is>
      </c>
      <c r="J292" s="27">
        <f>HYPERLINK("https://www.youtube.com/watch?v=6Dvbkja3raE","Open")</f>
        <v/>
      </c>
      <c r="K292" s="24" t="inlineStr">
        <is>
          <t>Skywalker Stories. Immediately before or during the opening of Episode III: Revenge of the Sith. Placement confidence: High.</t>
        </is>
      </c>
    </row>
    <row r="293" ht="15.75" customHeight="1" s="23">
      <c r="A293" s="21" t="b">
        <v>0</v>
      </c>
      <c r="B293" s="21" t="inlineStr">
        <is>
          <t>SWS-067</t>
        </is>
      </c>
      <c r="C293" s="14" t="inlineStr">
        <is>
          <t>Skywalker Stories — Clone Wars</t>
        </is>
      </c>
      <c r="D293" s="24" t="inlineStr">
        <is>
          <t>Tales of the Star Wars Galaxy: Qui Gon Jinn visits Count Dooku before Battle of Coruscant</t>
        </is>
      </c>
      <c r="E293" s="25" t="inlineStr"/>
      <c r="F293" s="26" t="inlineStr">
        <is>
          <t>Displayed as “1y ago” on October 17, 2026</t>
        </is>
      </c>
      <c r="G293" s="24" t="inlineStr">
        <is>
          <t>Fan-made / non-canon</t>
        </is>
      </c>
      <c r="H293" s="24" t="inlineStr">
        <is>
          <t>AI fan film</t>
        </is>
      </c>
      <c r="I293" s="24" t="inlineStr">
        <is>
          <t>YouTube — Skywalker Stories</t>
        </is>
      </c>
      <c r="J293" s="27">
        <f>HYPERLINK("https://www.youtube.com/watch?v=daQ059H2PSg","Open")</f>
        <v/>
      </c>
      <c r="K293" s="24" t="inlineStr">
        <is>
          <t>Skywalker Stories. Immediately before or during the opening of Episode III: Revenge of the Sith. Placement confidence: High.</t>
        </is>
      </c>
    </row>
    <row r="294" ht="15.75" customHeight="1" s="23">
      <c r="A294" s="21" t="b">
        <v>0</v>
      </c>
      <c r="B294" s="21" t="inlineStr">
        <is>
          <t>SWS-042</t>
        </is>
      </c>
      <c r="C294" s="14" t="inlineStr">
        <is>
          <t>Skywalker Stories — Imperial era</t>
        </is>
      </c>
      <c r="D294" s="24" t="inlineStr">
        <is>
          <t>Star Wars: Qui-Gon Jinn visits Anakin on Mustafar</t>
        </is>
      </c>
      <c r="E294" s="25" t="inlineStr"/>
      <c r="F294" s="26" t="inlineStr">
        <is>
          <t>Displayed as “1y ago” on October 17, 2026</t>
        </is>
      </c>
      <c r="G294" s="24" t="inlineStr">
        <is>
          <t>Fan-made / non-canon</t>
        </is>
      </c>
      <c r="H294" s="24" t="inlineStr">
        <is>
          <t>AI fan film</t>
        </is>
      </c>
      <c r="I294" s="24" t="inlineStr">
        <is>
          <t>YouTube — Skywalker Stories</t>
        </is>
      </c>
      <c r="J294" s="27">
        <f>HYPERLINK("https://www.youtube.com/watch?v=CJ1nQpRZsp0","Open")</f>
        <v/>
      </c>
      <c r="K294" s="24" t="inlineStr">
        <is>
          <t>Skywalker Stories. During the Mustafar aftermath of Episode III; alternate fan scene. Placement confidence: High.</t>
        </is>
      </c>
    </row>
    <row r="295" ht="15.75" customHeight="1" s="23">
      <c r="A295" s="21" t="b">
        <v>0</v>
      </c>
      <c r="B295" s="21" t="inlineStr">
        <is>
          <t>SWS-094</t>
        </is>
      </c>
      <c r="C295" s="14" t="inlineStr">
        <is>
          <t>Skywalker Stories — Imperial era</t>
        </is>
      </c>
      <c r="D295" s="24" t="inlineStr">
        <is>
          <t>Tales of the Star Wars Galaxy: Qui Gon Jinn vists Anakin on Mustafar</t>
        </is>
      </c>
      <c r="E295" s="25" t="inlineStr"/>
      <c r="F295" s="26" t="inlineStr">
        <is>
          <t>Displayed as “2y ago” on October 17, 2026</t>
        </is>
      </c>
      <c r="G295" s="24" t="inlineStr">
        <is>
          <t>Fan-made / non-canon</t>
        </is>
      </c>
      <c r="H295" s="24" t="inlineStr">
        <is>
          <t>AI fan film</t>
        </is>
      </c>
      <c r="I295" s="24" t="inlineStr">
        <is>
          <t>YouTube — Skywalker Stories</t>
        </is>
      </c>
      <c r="J295" s="27">
        <f>HYPERLINK("https://www.youtube.com/watch?v=BVgUMU4wnwU","Open")</f>
        <v/>
      </c>
      <c r="K295" s="24" t="inlineStr">
        <is>
          <t>Skywalker Stories. During the Mustafar aftermath of Episode III; alternate fan scene. Placement confidence: High.</t>
        </is>
      </c>
    </row>
    <row r="296" ht="15.75" customHeight="1" s="23">
      <c r="A296" s="21" t="b">
        <v>0</v>
      </c>
      <c r="B296" s="21" t="inlineStr">
        <is>
          <t>SWS-016</t>
        </is>
      </c>
      <c r="C296" s="14" t="inlineStr">
        <is>
          <t>Skywalker Stories — Imperial era</t>
        </is>
      </c>
      <c r="D296" s="24" t="inlineStr">
        <is>
          <t>Star Wars: Darth Vader Bleeds His Kyber Crystal</t>
        </is>
      </c>
      <c r="E296" s="25" t="inlineStr"/>
      <c r="F296" s="26" t="inlineStr">
        <is>
          <t>Displayed as “10mo ago” on October 17, 2026</t>
        </is>
      </c>
      <c r="G296" s="24" t="inlineStr">
        <is>
          <t>Fan-made / non-canon</t>
        </is>
      </c>
      <c r="H296" s="24" t="inlineStr">
        <is>
          <t>AI fan film</t>
        </is>
      </c>
      <c r="I296" s="24" t="inlineStr">
        <is>
          <t>YouTube — Skywalker Stories</t>
        </is>
      </c>
      <c r="J296" s="27">
        <f>HYPERLINK("https://www.youtube.com/watch?v=7jpSHN6xz-g","Open")</f>
        <v/>
      </c>
      <c r="K296" s="24" t="inlineStr">
        <is>
          <t>Skywalker Stories. Immediately after Episode III, during Vader's earliest Imperial missions. Placement confidence: High.</t>
        </is>
      </c>
    </row>
    <row r="297" ht="15.75" customHeight="1" s="23">
      <c r="A297" s="21" t="b">
        <v>0</v>
      </c>
      <c r="B297" s="21" t="inlineStr">
        <is>
          <t>SWS-008</t>
        </is>
      </c>
      <c r="C297" s="14" t="inlineStr">
        <is>
          <t>Skywalker Stories — Imperial era</t>
        </is>
      </c>
      <c r="D297" s="24" t="inlineStr">
        <is>
          <t>Star Wars: Darth Vader Bleeds His Kyber Crystal After Revenge of the Sith</t>
        </is>
      </c>
      <c r="E297" s="25" t="inlineStr"/>
      <c r="F297" s="26" t="inlineStr">
        <is>
          <t>Displayed as “6mo ago” on October 17, 2026</t>
        </is>
      </c>
      <c r="G297" s="24" t="inlineStr">
        <is>
          <t>Fan-made / non-canon</t>
        </is>
      </c>
      <c r="H297" s="24" t="inlineStr">
        <is>
          <t>AI fan film</t>
        </is>
      </c>
      <c r="I297" s="24" t="inlineStr">
        <is>
          <t>YouTube — Skywalker Stories</t>
        </is>
      </c>
      <c r="J297" s="27">
        <f>HYPERLINK("https://www.youtube.com/watch?v=7nEc6XcWl6Y","Open")</f>
        <v/>
      </c>
      <c r="K297" s="24" t="inlineStr">
        <is>
          <t>Skywalker Stories. Immediately after Episode III, during Vader's earliest Imperial missions. Placement confidence: High.</t>
        </is>
      </c>
    </row>
    <row r="298" ht="15.75" customHeight="1" s="23">
      <c r="A298" s="21" t="b">
        <v>0</v>
      </c>
      <c r="B298" s="21" t="inlineStr">
        <is>
          <t>SWS-029</t>
        </is>
      </c>
      <c r="C298" s="14" t="inlineStr">
        <is>
          <t>Skywalker Stories — Imperial era</t>
        </is>
      </c>
      <c r="D298" s="24" t="inlineStr">
        <is>
          <t>Star Wars: Darth Vader Bleeds His Kyber Crystal On Mustafar</t>
        </is>
      </c>
      <c r="E298" s="25" t="inlineStr"/>
      <c r="F298" s="26" t="inlineStr">
        <is>
          <t>Displayed as “1y ago” on October 17, 2026</t>
        </is>
      </c>
      <c r="G298" s="24" t="inlineStr">
        <is>
          <t>Fan-made / non-canon</t>
        </is>
      </c>
      <c r="H298" s="24" t="inlineStr">
        <is>
          <t>AI fan film</t>
        </is>
      </c>
      <c r="I298" s="24" t="inlineStr">
        <is>
          <t>YouTube — Skywalker Stories</t>
        </is>
      </c>
      <c r="J298" s="27">
        <f>HYPERLINK("https://www.youtube.com/watch?v=zhPw1MKUBpU","Open")</f>
        <v/>
      </c>
      <c r="K298" s="24" t="inlineStr">
        <is>
          <t>Skywalker Stories. Immediately after Episode III, during Vader's earliest Imperial missions. Placement confidence: High.</t>
        </is>
      </c>
    </row>
    <row r="299" ht="15.75" customHeight="1" s="23">
      <c r="A299" s="21" t="b">
        <v>0</v>
      </c>
      <c r="B299" s="21" t="inlineStr">
        <is>
          <t>SWS-006</t>
        </is>
      </c>
      <c r="C299" s="14" t="inlineStr">
        <is>
          <t>Skywalker Stories — Imperial era</t>
        </is>
      </c>
      <c r="D299" s="24" t="inlineStr">
        <is>
          <t>Star Wars: Darth Vader Finds Ahsoka's Lightsaber</t>
        </is>
      </c>
      <c r="E299" s="25" t="inlineStr"/>
      <c r="F299" s="26" t="inlineStr">
        <is>
          <t>Displayed as “5mo ago” on October 17, 2026</t>
        </is>
      </c>
      <c r="G299" s="24" t="inlineStr">
        <is>
          <t>Fan-made / non-canon</t>
        </is>
      </c>
      <c r="H299" s="24" t="inlineStr">
        <is>
          <t>AI fan film</t>
        </is>
      </c>
      <c r="I299" s="24" t="inlineStr">
        <is>
          <t>YouTube — Skywalker Stories</t>
        </is>
      </c>
      <c r="J299" s="27">
        <f>HYPERLINK("https://www.youtube.com/watch?v=bfhraDeFixo","Open")</f>
        <v/>
      </c>
      <c r="K299" s="24" t="inlineStr">
        <is>
          <t>Skywalker Stories. Shortly after Order 66, echoing The Clone Wars finale. Placement confidence: High.</t>
        </is>
      </c>
    </row>
    <row r="300" ht="15.75" customHeight="1" s="23">
      <c r="A300" s="21" t="b">
        <v>0</v>
      </c>
      <c r="B300" s="21" t="inlineStr">
        <is>
          <t>SWS-026</t>
        </is>
      </c>
      <c r="C300" s="14" t="inlineStr">
        <is>
          <t>Skywalker Stories — Imperial era</t>
        </is>
      </c>
      <c r="D300" s="24" t="inlineStr">
        <is>
          <t>Star Wars: Darth Vader’s Early Struggles Adapting To Palpatine</t>
        </is>
      </c>
      <c r="E300" s="25" t="inlineStr"/>
      <c r="F300" s="26" t="inlineStr">
        <is>
          <t>Displayed as “1y ago” on October 17, 2026</t>
        </is>
      </c>
      <c r="G300" s="24" t="inlineStr">
        <is>
          <t>Fan-made / non-canon</t>
        </is>
      </c>
      <c r="H300" s="24" t="inlineStr">
        <is>
          <t>AI fan film</t>
        </is>
      </c>
      <c r="I300" s="24" t="inlineStr">
        <is>
          <t>YouTube — Skywalker Stories</t>
        </is>
      </c>
      <c r="J300" s="27">
        <f>HYPERLINK("https://www.youtube.com/watch?v=V7Ry_VieZIQ","Open")</f>
        <v/>
      </c>
      <c r="K300" s="24" t="inlineStr">
        <is>
          <t>Skywalker Stories. Early Imperial era, soon after Anakin becomes Darth Vader. Placement confidence: High.</t>
        </is>
      </c>
    </row>
    <row r="301" ht="15.75" customHeight="1" s="23">
      <c r="A301" s="21" t="b">
        <v>0</v>
      </c>
      <c r="B301" s="21" t="inlineStr">
        <is>
          <t>SWS-064</t>
        </is>
      </c>
      <c r="C301" s="14" t="inlineStr">
        <is>
          <t>Skywalker Stories — Imperial era</t>
        </is>
      </c>
      <c r="D301" s="24" t="inlineStr">
        <is>
          <t>Tales of the Star Wars Galaxy: Darth Vader reflects on his new struggles to Darth Sidious</t>
        </is>
      </c>
      <c r="E301" s="25" t="inlineStr"/>
      <c r="F301" s="26" t="inlineStr">
        <is>
          <t>Displayed as “1y ago” on October 17, 2026</t>
        </is>
      </c>
      <c r="G301" s="24" t="inlineStr">
        <is>
          <t>Fan-made / non-canon</t>
        </is>
      </c>
      <c r="H301" s="24" t="inlineStr">
        <is>
          <t>AI fan film</t>
        </is>
      </c>
      <c r="I301" s="24" t="inlineStr">
        <is>
          <t>YouTube — Skywalker Stories</t>
        </is>
      </c>
      <c r="J301" s="27">
        <f>HYPERLINK("https://www.youtube.com/watch?v=du0JN8-G0Ks","Open")</f>
        <v/>
      </c>
      <c r="K301" s="24" t="inlineStr">
        <is>
          <t>Skywalker Stories. Early Imperial era, soon after Anakin becomes Darth Vader. Placement confidence: High.</t>
        </is>
      </c>
    </row>
    <row r="302" ht="15.75" customHeight="1" s="23">
      <c r="A302" s="21" t="b">
        <v>0</v>
      </c>
      <c r="B302" s="21" t="inlineStr">
        <is>
          <t>SWS-087</t>
        </is>
      </c>
      <c r="C302" s="14" t="inlineStr">
        <is>
          <t>Skywalker Stories — Imperial era</t>
        </is>
      </c>
      <c r="D302" s="24" t="inlineStr">
        <is>
          <t>Tales of the Star Wars Galaxy: Darth Sidious talks to Darth Plagueis</t>
        </is>
      </c>
      <c r="E302" s="25" t="inlineStr"/>
      <c r="F302" s="26" t="inlineStr">
        <is>
          <t>November 25, 2024</t>
        </is>
      </c>
      <c r="G302" s="24" t="inlineStr">
        <is>
          <t>Fan-made / non-canon</t>
        </is>
      </c>
      <c r="H302" s="24" t="inlineStr">
        <is>
          <t>AI fan film</t>
        </is>
      </c>
      <c r="I302" s="24" t="inlineStr">
        <is>
          <t>YouTube — Skywalker Stories</t>
        </is>
      </c>
      <c r="J302" s="27">
        <f>HYPERLINK("https://www.youtube.com/watch?v=retpf1RKl5g","Open")</f>
        <v/>
      </c>
      <c r="K302" s="24" t="inlineStr">
        <is>
          <t>Skywalker Stories. Early Imperial era: Sidious confronts Plagueis's spirit or memory after creating Vader. Placement confidence: Medium.</t>
        </is>
      </c>
    </row>
    <row r="303" ht="15.75" customHeight="1" s="23">
      <c r="A303" s="21" t="b">
        <v>0</v>
      </c>
      <c r="B303" s="21" t="inlineStr">
        <is>
          <t>SWS-077</t>
        </is>
      </c>
      <c r="C303" s="14" t="inlineStr">
        <is>
          <t>Skywalker Stories — Imperial era</t>
        </is>
      </c>
      <c r="D303" s="24" t="inlineStr">
        <is>
          <t>Tales of the Star Wars Galaxy: Count Dooku haunts Darth Vader</t>
        </is>
      </c>
      <c r="E303" s="25" t="inlineStr"/>
      <c r="F303" s="26" t="inlineStr">
        <is>
          <t>Displayed as “1y ago” on October 17, 2026</t>
        </is>
      </c>
      <c r="G303" s="24" t="inlineStr">
        <is>
          <t>Fan-made / non-canon</t>
        </is>
      </c>
      <c r="H303" s="24" t="inlineStr">
        <is>
          <t>AI fan film</t>
        </is>
      </c>
      <c r="I303" s="24" t="inlineStr">
        <is>
          <t>YouTube — Skywalker Stories</t>
        </is>
      </c>
      <c r="J303" s="27">
        <f>HYPERLINK("https://www.youtube.com/watch?v=bL3EPDvptFA","Open")</f>
        <v/>
      </c>
      <c r="K303" s="24" t="inlineStr">
        <is>
          <t>Skywalker Stories. Imperial-era supernatural encounter; fan-made and chronologically approximate. Placement confidence: Medium.</t>
        </is>
      </c>
    </row>
    <row r="304" ht="15.75" customHeight="1" s="23">
      <c r="A304" s="21" t="b">
        <v>0</v>
      </c>
      <c r="B304" s="21" t="inlineStr">
        <is>
          <t>SWS-061</t>
        </is>
      </c>
      <c r="C304" s="14" t="inlineStr">
        <is>
          <t>Skywalker Stories — Imperial era</t>
        </is>
      </c>
      <c r="D304" s="24" t="inlineStr">
        <is>
          <t>Tales of the Star Wars Galaxy: Darth Plagueis talks to Darth Vader about Sidious &amp; Vader's Prophecy</t>
        </is>
      </c>
      <c r="E304" s="25" t="inlineStr"/>
      <c r="F304" s="26" t="inlineStr">
        <is>
          <t>Displayed as “1y ago” on October 17, 2026</t>
        </is>
      </c>
      <c r="G304" s="24" t="inlineStr">
        <is>
          <t>Fan-made / non-canon</t>
        </is>
      </c>
      <c r="H304" s="24" t="inlineStr">
        <is>
          <t>AI fan film</t>
        </is>
      </c>
      <c r="I304" s="24" t="inlineStr">
        <is>
          <t>YouTube — Skywalker Stories</t>
        </is>
      </c>
      <c r="J304" s="27">
        <f>HYPERLINK("https://www.youtube.com/watch?v=anUearSlXUI","Open")</f>
        <v/>
      </c>
      <c r="K304" s="24" t="inlineStr">
        <is>
          <t>Skywalker Stories. Imperial-era supernatural encounter; fan-made and chronologically approximate. Placement confidence: Medium.</t>
        </is>
      </c>
    </row>
    <row r="305" ht="15.75" customHeight="1" s="23">
      <c r="A305" s="21" t="b">
        <v>0</v>
      </c>
      <c r="B305" s="21" t="inlineStr">
        <is>
          <t>SWS-083</t>
        </is>
      </c>
      <c r="C305" s="14" t="inlineStr">
        <is>
          <t>Skywalker Stories — Imperial era</t>
        </is>
      </c>
      <c r="D305" s="24" t="inlineStr">
        <is>
          <t>Tales of the Star Wars Galaxy: Darth Vader encounters Mace Windu at the Jedi Temple</t>
        </is>
      </c>
      <c r="E305" s="25" t="inlineStr"/>
      <c r="F305" s="26" t="inlineStr">
        <is>
          <t>Displayed as “1y ago” on October 17, 2026</t>
        </is>
      </c>
      <c r="G305" s="24" t="inlineStr">
        <is>
          <t>Fan-made / non-canon</t>
        </is>
      </c>
      <c r="H305" s="24" t="inlineStr">
        <is>
          <t>AI fan film</t>
        </is>
      </c>
      <c r="I305" s="24" t="inlineStr">
        <is>
          <t>YouTube — Skywalker Stories</t>
        </is>
      </c>
      <c r="J305" s="27">
        <f>HYPERLINK("https://www.youtube.com/watch?v=uV3C6v6zpN0","Open")</f>
        <v/>
      </c>
      <c r="K305" s="24" t="inlineStr">
        <is>
          <t>Skywalker Stories. Alternate early-Imperial encounter after Order 66; Mace Windu's survival is non-canon. Placement confidence: Low.</t>
        </is>
      </c>
    </row>
    <row r="306" ht="15.75" customHeight="1" s="23">
      <c r="A306" s="21" t="b">
        <v>0</v>
      </c>
      <c r="B306" s="21" t="inlineStr">
        <is>
          <t>SWS-046</t>
        </is>
      </c>
      <c r="C306" s="14" t="inlineStr">
        <is>
          <t>Skywalker Stories — Imperial era</t>
        </is>
      </c>
      <c r="D306" s="24" t="inlineStr">
        <is>
          <t>Star Wars: Darth Vader Haunted By His Past</t>
        </is>
      </c>
      <c r="E306" s="25" t="inlineStr"/>
      <c r="F306" s="26" t="inlineStr">
        <is>
          <t>Displayed as “1y ago” on October 17, 2026</t>
        </is>
      </c>
      <c r="G306" s="24" t="inlineStr">
        <is>
          <t>Fan-made / non-canon</t>
        </is>
      </c>
      <c r="H306" s="24" t="inlineStr">
        <is>
          <t>AI fan film</t>
        </is>
      </c>
      <c r="I306" s="24" t="inlineStr">
        <is>
          <t>YouTube — Skywalker Stories</t>
        </is>
      </c>
      <c r="J306" s="27">
        <f>HYPERLINK("https://www.youtube.com/watch?v=Sx-VIz8Zwq8","Open")</f>
        <v/>
      </c>
      <c r="K306" s="24" t="inlineStr">
        <is>
          <t>Skywalker Stories. Imperial era; exact point in Vader's life is not stated. Placement confidence: Low.</t>
        </is>
      </c>
    </row>
    <row r="307" ht="15.75" customHeight="1" s="23">
      <c r="A307" s="21" t="b">
        <v>0</v>
      </c>
      <c r="B307" s="21" t="inlineStr">
        <is>
          <t>SWS-060</t>
        </is>
      </c>
      <c r="C307" s="14" t="inlineStr">
        <is>
          <t>Skywalker Stories — Imperial era</t>
        </is>
      </c>
      <c r="D307" s="24" t="inlineStr">
        <is>
          <t>Tales of the Star Wars Galaxy: Darth Vader visits Padme's tomb and is haunted by his past</t>
        </is>
      </c>
      <c r="E307" s="25" t="inlineStr"/>
      <c r="F307" s="26" t="inlineStr">
        <is>
          <t>Displayed as “1y ago” on October 17, 2026</t>
        </is>
      </c>
      <c r="G307" s="24" t="inlineStr">
        <is>
          <t>Fan-made / non-canon</t>
        </is>
      </c>
      <c r="H307" s="24" t="inlineStr">
        <is>
          <t>AI fan film</t>
        </is>
      </c>
      <c r="I307" s="24" t="inlineStr">
        <is>
          <t>YouTube — Skywalker Stories</t>
        </is>
      </c>
      <c r="J307" s="27">
        <f>HYPERLINK("https://www.youtube.com/watch?v=-5XZb67aLo0","Open")</f>
        <v/>
      </c>
      <c r="K307" s="24" t="inlineStr">
        <is>
          <t>Skywalker Stories. Imperial era; exact point in Vader's life is not stated. Placement confidence: Low.</t>
        </is>
      </c>
    </row>
    <row r="308" ht="15.75" customHeight="1" s="23">
      <c r="A308" s="21" t="b">
        <v>0</v>
      </c>
      <c r="B308" s="21" t="inlineStr">
        <is>
          <t>SWS-039</t>
        </is>
      </c>
      <c r="C308" s="14" t="inlineStr">
        <is>
          <t>Skywalker Stories — Imperial era</t>
        </is>
      </c>
      <c r="D308" s="24" t="inlineStr">
        <is>
          <t>Star Wars: Darth Vader and Thrawn Work Together</t>
        </is>
      </c>
      <c r="E308" s="25" t="inlineStr"/>
      <c r="F308" s="26" t="inlineStr">
        <is>
          <t>Displayed as “1y ago” on October 17, 2026</t>
        </is>
      </c>
      <c r="G308" s="24" t="inlineStr">
        <is>
          <t>Fan-made / non-canon</t>
        </is>
      </c>
      <c r="H308" s="24" t="inlineStr">
        <is>
          <t>AI fan film</t>
        </is>
      </c>
      <c r="I308" s="24" t="inlineStr">
        <is>
          <t>YouTube — Skywalker Stories</t>
        </is>
      </c>
      <c r="J308" s="27">
        <f>HYPERLINK("https://www.youtube.com/watch?v=g1O95mkSH1Y","Open")</f>
        <v/>
      </c>
      <c r="K308" s="24" t="inlineStr">
        <is>
          <t>Skywalker Stories. Imperial era, before the original trilogy; Thrawn/Vader collaboration. Placement confidence: Medium.</t>
        </is>
      </c>
    </row>
    <row r="309" ht="15.75" customHeight="1" s="23">
      <c r="A309" s="21" t="b">
        <v>0</v>
      </c>
      <c r="B309" s="21" t="inlineStr">
        <is>
          <t>SWS-107</t>
        </is>
      </c>
      <c r="C309" s="14" t="inlineStr">
        <is>
          <t>Skywalker Stories — Imperial era</t>
        </is>
      </c>
      <c r="D309" s="24" t="inlineStr">
        <is>
          <t>Tales of the Sith: Darth Maul encounters Darth Vader</t>
        </is>
      </c>
      <c r="E309" s="25" t="inlineStr"/>
      <c r="F309" s="26" t="inlineStr">
        <is>
          <t>Displayed as “2y ago” on October 17, 2026</t>
        </is>
      </c>
      <c r="G309" s="24" t="inlineStr">
        <is>
          <t>Fan-made / non-canon</t>
        </is>
      </c>
      <c r="H309" s="24" t="inlineStr">
        <is>
          <t>AI fan film</t>
        </is>
      </c>
      <c r="I309" s="24" t="inlineStr">
        <is>
          <t>YouTube — Skywalker Stories</t>
        </is>
      </c>
      <c r="J309" s="27">
        <f>HYPERLINK("https://www.youtube.com/watch?v=7fB2aCxcmiU","Open")</f>
        <v/>
      </c>
      <c r="K309" s="24" t="inlineStr">
        <is>
          <t>Skywalker Stories. Alternate Imperial-era confrontation; exact year is unstated. Placement confidence: Low.</t>
        </is>
      </c>
    </row>
    <row r="310" ht="15.75" customHeight="1" s="23">
      <c r="A310" s="21" t="b">
        <v>0</v>
      </c>
      <c r="B310" s="21" t="inlineStr">
        <is>
          <t>SWS-086</t>
        </is>
      </c>
      <c r="C310" s="14" t="inlineStr">
        <is>
          <t>Skywalker Stories — Imperial era</t>
        </is>
      </c>
      <c r="D310" s="24" t="inlineStr">
        <is>
          <t>Tales of the Star Wars Galaxy: Darth Vader gets visited by Qui Gon Jinn</t>
        </is>
      </c>
      <c r="E310" s="25" t="inlineStr"/>
      <c r="F310" s="26" t="inlineStr">
        <is>
          <t>Displayed as “1y ago” on October 17, 2026</t>
        </is>
      </c>
      <c r="G310" s="24" t="inlineStr">
        <is>
          <t>Fan-made / non-canon</t>
        </is>
      </c>
      <c r="H310" s="24" t="inlineStr">
        <is>
          <t>AI fan film</t>
        </is>
      </c>
      <c r="I310" s="24" t="inlineStr">
        <is>
          <t>YouTube — Skywalker Stories</t>
        </is>
      </c>
      <c r="J310" s="27">
        <f>HYPERLINK("https://www.youtube.com/watch?v=IYV3VJfOnQo","Open")</f>
        <v/>
      </c>
      <c r="K310" s="24" t="inlineStr">
        <is>
          <t>Skywalker Stories. Imperial-era Force-ghost encounter; exact year is unstated. Placement confidence: Low.</t>
        </is>
      </c>
    </row>
    <row r="311" ht="15.75" customHeight="1" s="23">
      <c r="A311" s="21" t="b">
        <v>0</v>
      </c>
      <c r="B311" s="21" t="inlineStr">
        <is>
          <t>SWS-057</t>
        </is>
      </c>
      <c r="C311" s="14" t="inlineStr">
        <is>
          <t>Skywalker Stories — Imperial era</t>
        </is>
      </c>
      <c r="D311" s="24" t="inlineStr">
        <is>
          <t>Tales of the Star Wars Galaxy: Darth Vader talks to Palpatine after killing Ahsoka</t>
        </is>
      </c>
      <c r="E311" s="25" t="inlineStr"/>
      <c r="F311" s="26" t="inlineStr">
        <is>
          <t>Displayed as “1y ago” on October 17, 2026</t>
        </is>
      </c>
      <c r="G311" s="24" t="inlineStr">
        <is>
          <t>Fan-made / non-canon</t>
        </is>
      </c>
      <c r="H311" s="24" t="inlineStr">
        <is>
          <t>AI fan film</t>
        </is>
      </c>
      <c r="I311" s="24" t="inlineStr">
        <is>
          <t>YouTube — Skywalker Stories</t>
        </is>
      </c>
      <c r="J311" s="27">
        <f>HYPERLINK("https://www.youtube.com/watch?v=uVGtjNlTxlI","Open")</f>
        <v/>
      </c>
      <c r="K311" s="24" t="inlineStr">
        <is>
          <t>Skywalker Stories. Alternate outcome to Vader and Ahsoka's Malachor confrontation in Rebels. Placement confidence: Medium.</t>
        </is>
      </c>
    </row>
    <row r="312" ht="15.75" customHeight="1" s="23">
      <c r="A312" s="21" t="b">
        <v>0</v>
      </c>
      <c r="B312" s="21" t="inlineStr">
        <is>
          <t>SWS-005</t>
        </is>
      </c>
      <c r="C312" s="14" t="inlineStr">
        <is>
          <t>Skywalker Stories — Imperial era</t>
        </is>
      </c>
      <c r="D312" s="24" t="inlineStr">
        <is>
          <t>Star Wars: The Death of Darth Maul</t>
        </is>
      </c>
      <c r="E312" s="25" t="inlineStr"/>
      <c r="F312" s="26" t="inlineStr">
        <is>
          <t>Displayed as “4mo ago” on October 17, 2026</t>
        </is>
      </c>
      <c r="G312" s="24" t="inlineStr">
        <is>
          <t>Fan-made / non-canon</t>
        </is>
      </c>
      <c r="H312" s="24" t="inlineStr">
        <is>
          <t>AI fan film</t>
        </is>
      </c>
      <c r="I312" s="24" t="inlineStr">
        <is>
          <t>YouTube — Skywalker Stories</t>
        </is>
      </c>
      <c r="J312" s="27">
        <f>HYPERLINK("https://www.youtube.com/watch?v=qDFfrsb2I_A","Open")</f>
        <v/>
      </c>
      <c r="K312" s="24" t="inlineStr">
        <is>
          <t>Skywalker Stories. Around Rebels Season 3, shortly before A New Hope. Placement confidence: High.</t>
        </is>
      </c>
    </row>
    <row r="313" ht="15.75" customHeight="1" s="23">
      <c r="A313" s="21" t="b">
        <v>0</v>
      </c>
      <c r="B313" s="21" t="inlineStr">
        <is>
          <t>SWS-044</t>
        </is>
      </c>
      <c r="C313" s="14" t="inlineStr">
        <is>
          <t>Skywalker Stories — Galactic Civil War</t>
        </is>
      </c>
      <c r="D313" s="24" t="inlineStr">
        <is>
          <t>Star Wars: Emperor Palpatine Dissolves the Senate</t>
        </is>
      </c>
      <c r="E313" s="25" t="inlineStr"/>
      <c r="F313" s="26" t="inlineStr">
        <is>
          <t>Displayed as “1y ago” on October 17, 2026</t>
        </is>
      </c>
      <c r="G313" s="24" t="inlineStr">
        <is>
          <t>Fan-made / non-canon</t>
        </is>
      </c>
      <c r="H313" s="24" t="inlineStr">
        <is>
          <t>AI fan film</t>
        </is>
      </c>
      <c r="I313" s="24" t="inlineStr">
        <is>
          <t>YouTube — Skywalker Stories</t>
        </is>
      </c>
      <c r="J313" s="27">
        <f>HYPERLINK("https://www.youtube.com/watch?v=wX0v-nPngvQ","Open")</f>
        <v/>
      </c>
      <c r="K313" s="24" t="inlineStr">
        <is>
          <t>Skywalker Stories. Alongside Episode IV: A New Hope, when the Imperial Senate is dissolved. Placement confidence: High.</t>
        </is>
      </c>
    </row>
    <row r="314" ht="15.75" customHeight="1" s="23">
      <c r="A314" s="21" t="b">
        <v>0</v>
      </c>
      <c r="B314" s="21" t="inlineStr">
        <is>
          <t>SWS-110</t>
        </is>
      </c>
      <c r="C314" s="14" t="inlineStr">
        <is>
          <t>Skywalker Stories — Galactic Civil War</t>
        </is>
      </c>
      <c r="D314" s="24" t="inlineStr">
        <is>
          <t>Star Wars Deepfake - Ewan McGregor as Ben Kenobi in A New Hope</t>
        </is>
      </c>
      <c r="E314" s="25" t="inlineStr"/>
      <c r="F314" s="26" t="inlineStr">
        <is>
          <t>Displayed as “2y ago” on October 17, 2026</t>
        </is>
      </c>
      <c r="G314" s="24" t="inlineStr">
        <is>
          <t>Fan-made / non-canon</t>
        </is>
      </c>
      <c r="H314" s="24" t="inlineStr">
        <is>
          <t>AI fan film</t>
        </is>
      </c>
      <c r="I314" s="24" t="inlineStr">
        <is>
          <t>YouTube — Skywalker Stories</t>
        </is>
      </c>
      <c r="J314" s="27">
        <f>HYPERLINK("https://www.youtube.com/watch?v=KknCPAcGKxc","Open")</f>
        <v/>
      </c>
      <c r="K314" s="24" t="inlineStr">
        <is>
          <t>Skywalker Stories. Visual re-edit alongside Episode IV: A New Hope; no new story continuity. Placement confidence: High.</t>
        </is>
      </c>
    </row>
    <row r="315" ht="15.75" customHeight="1" s="23">
      <c r="A315" s="21" t="b">
        <v>0</v>
      </c>
      <c r="B315" s="21" t="inlineStr">
        <is>
          <t>SWS-043</t>
        </is>
      </c>
      <c r="C315" s="14" t="inlineStr">
        <is>
          <t>Skywalker Stories — Galactic Civil War</t>
        </is>
      </c>
      <c r="D315" s="24" t="inlineStr">
        <is>
          <t>Star Wars: Darth Vader Learns About Luke Skywalker</t>
        </is>
      </c>
      <c r="E315" s="25" t="inlineStr"/>
      <c r="F315" s="26" t="inlineStr">
        <is>
          <t>Displayed as “1y ago” on October 17, 2026</t>
        </is>
      </c>
      <c r="G315" s="24" t="inlineStr">
        <is>
          <t>Fan-made / non-canon</t>
        </is>
      </c>
      <c r="H315" s="24" t="inlineStr">
        <is>
          <t>AI fan film</t>
        </is>
      </c>
      <c r="I315" s="24" t="inlineStr">
        <is>
          <t>YouTube — Skywalker Stories</t>
        </is>
      </c>
      <c r="J315" s="27">
        <f>HYPERLINK("https://www.youtube.com/watch?v=Cb52tiDHL0o","Open")</f>
        <v/>
      </c>
      <c r="K315" s="24" t="inlineStr">
        <is>
          <t>Skywalker Stories. Between Episodes IV and V, after Vader learns Luke's identity. Placement confidence: High. Separate upload sharing a title with another channel video.</t>
        </is>
      </c>
    </row>
    <row r="316" ht="15.75" customHeight="1" s="23">
      <c r="A316" s="21" t="b">
        <v>0</v>
      </c>
      <c r="B316" s="21" t="inlineStr">
        <is>
          <t>SWS-009</t>
        </is>
      </c>
      <c r="C316" s="14" t="inlineStr">
        <is>
          <t>Skywalker Stories — Galactic Civil War</t>
        </is>
      </c>
      <c r="D316" s="24" t="inlineStr">
        <is>
          <t>Star Wars: Darth Vader Learns About Luke Skywalker</t>
        </is>
      </c>
      <c r="E316" s="25" t="inlineStr"/>
      <c r="F316" s="26" t="inlineStr">
        <is>
          <t>Displayed as “7mo ago” on October 17, 2026</t>
        </is>
      </c>
      <c r="G316" s="24" t="inlineStr">
        <is>
          <t>Fan-made / non-canon</t>
        </is>
      </c>
      <c r="H316" s="24" t="inlineStr">
        <is>
          <t>AI fan film</t>
        </is>
      </c>
      <c r="I316" s="24" t="inlineStr">
        <is>
          <t>YouTube — Skywalker Stories</t>
        </is>
      </c>
      <c r="J316" s="27">
        <f>HYPERLINK("https://www.youtube.com/watch?v=L3m2BQ6ob7I","Open")</f>
        <v/>
      </c>
      <c r="K316" s="24" t="inlineStr">
        <is>
          <t>Skywalker Stories. Between Episodes IV and V, after Vader learns Luke's identity. Placement confidence: High. Separate upload sharing a title with another channel video.</t>
        </is>
      </c>
    </row>
    <row r="317" ht="15.75" customHeight="1" s="23">
      <c r="A317" s="21" t="b">
        <v>0</v>
      </c>
      <c r="B317" s="21" t="inlineStr">
        <is>
          <t>SWS-085</t>
        </is>
      </c>
      <c r="C317" s="14" t="inlineStr">
        <is>
          <t>Skywalker Stories — Galactic Civil War</t>
        </is>
      </c>
      <c r="D317" s="24" t="inlineStr">
        <is>
          <t>Tales of the Star Wars Galaxy: Darth Vader Learns He Has A Son</t>
        </is>
      </c>
      <c r="E317" s="25" t="inlineStr"/>
      <c r="F317" s="26" t="inlineStr">
        <is>
          <t>Displayed as “1y ago” on October 17, 2026</t>
        </is>
      </c>
      <c r="G317" s="24" t="inlineStr">
        <is>
          <t>Fan-made / non-canon</t>
        </is>
      </c>
      <c r="H317" s="24" t="inlineStr">
        <is>
          <t>AI fan film</t>
        </is>
      </c>
      <c r="I317" s="24" t="inlineStr">
        <is>
          <t>YouTube — Skywalker Stories</t>
        </is>
      </c>
      <c r="J317" s="27">
        <f>HYPERLINK("https://www.youtube.com/watch?v=Qwz8KpGTztk","Open")</f>
        <v/>
      </c>
      <c r="K317" s="24" t="inlineStr">
        <is>
          <t>Skywalker Stories. Between Episodes IV and V, after Vader learns Luke's identity. Placement confidence: High.</t>
        </is>
      </c>
    </row>
    <row r="318" ht="15.75" customHeight="1" s="23">
      <c r="A318" s="21" t="b">
        <v>0</v>
      </c>
      <c r="B318" s="21" t="inlineStr">
        <is>
          <t>SWS-051</t>
        </is>
      </c>
      <c r="C318" s="14" t="inlineStr">
        <is>
          <t>Skywalker Stories — Galactic Civil War</t>
        </is>
      </c>
      <c r="D318" s="24" t="inlineStr">
        <is>
          <t>Star Wars - Qui-Gon visits Darth Vader after fighting Luke Skywalker on Bespin</t>
        </is>
      </c>
      <c r="E318" s="25" t="inlineStr"/>
      <c r="F318" s="26" t="inlineStr">
        <is>
          <t>Displayed as “1y ago” on October 17, 2026</t>
        </is>
      </c>
      <c r="G318" s="24" t="inlineStr">
        <is>
          <t>Fan-made / non-canon</t>
        </is>
      </c>
      <c r="H318" s="24" t="inlineStr">
        <is>
          <t>AI fan film</t>
        </is>
      </c>
      <c r="I318" s="24" t="inlineStr">
        <is>
          <t>YouTube — Skywalker Stories</t>
        </is>
      </c>
      <c r="J318" s="27">
        <f>HYPERLINK("https://www.youtube.com/watch?v=EChIJZdWGY4","Open")</f>
        <v/>
      </c>
      <c r="K318" s="24" t="inlineStr">
        <is>
          <t>Skywalker Stories. Immediately after Episode V: The Empire Strikes Back. Placement confidence: High.</t>
        </is>
      </c>
    </row>
    <row r="319" ht="15.75" customHeight="1" s="23">
      <c r="A319" s="21" t="b">
        <v>0</v>
      </c>
      <c r="B319" s="21" t="inlineStr">
        <is>
          <t>SWS-007</t>
        </is>
      </c>
      <c r="C319" s="14" t="inlineStr">
        <is>
          <t>Skywalker Stories — Galactic Civil War</t>
        </is>
      </c>
      <c r="D319" s="24" t="inlineStr">
        <is>
          <t>Star Wars: Qui Gon Visits Darth Vader After His Fight With Luke Skywalker On Bespin</t>
        </is>
      </c>
      <c r="E319" s="25" t="inlineStr"/>
      <c r="F319" s="26" t="inlineStr">
        <is>
          <t>Displayed as “5mo ago” on October 17, 2026</t>
        </is>
      </c>
      <c r="G319" s="24" t="inlineStr">
        <is>
          <t>Fan-made / non-canon</t>
        </is>
      </c>
      <c r="H319" s="24" t="inlineStr">
        <is>
          <t>AI fan film</t>
        </is>
      </c>
      <c r="I319" s="24" t="inlineStr">
        <is>
          <t>YouTube — Skywalker Stories</t>
        </is>
      </c>
      <c r="J319" s="27">
        <f>HYPERLINK("https://www.youtube.com/watch?v=-bXYD7d1MMg","Open")</f>
        <v/>
      </c>
      <c r="K319" s="24" t="inlineStr">
        <is>
          <t>Skywalker Stories. Immediately after Episode V: The Empire Strikes Back. Placement confidence: High.</t>
        </is>
      </c>
    </row>
    <row r="320" ht="15.75" customHeight="1" s="23">
      <c r="A320" s="21" t="b">
        <v>0</v>
      </c>
      <c r="B320" s="21" t="inlineStr">
        <is>
          <t>SWS-028</t>
        </is>
      </c>
      <c r="C320" s="14" t="inlineStr">
        <is>
          <t>Skywalker Stories — Galactic Civil War</t>
        </is>
      </c>
      <c r="D320" s="24" t="inlineStr">
        <is>
          <t>Star Wars: Qui-Gon Visits Darth Vader After His Duel With Luke Skywalker On Bespin</t>
        </is>
      </c>
      <c r="E320" s="25" t="inlineStr"/>
      <c r="F320" s="26" t="inlineStr">
        <is>
          <t>Displayed as “1y ago” on October 17, 2026</t>
        </is>
      </c>
      <c r="G320" s="24" t="inlineStr">
        <is>
          <t>Fan-made / non-canon</t>
        </is>
      </c>
      <c r="H320" s="24" t="inlineStr">
        <is>
          <t>AI fan film</t>
        </is>
      </c>
      <c r="I320" s="24" t="inlineStr">
        <is>
          <t>YouTube — Skywalker Stories</t>
        </is>
      </c>
      <c r="J320" s="27">
        <f>HYPERLINK("https://www.youtube.com/watch?v=f09zNDZNrro","Open")</f>
        <v/>
      </c>
      <c r="K320" s="24" t="inlineStr">
        <is>
          <t>Skywalker Stories. Immediately after Episode V: The Empire Strikes Back. Placement confidence: High.</t>
        </is>
      </c>
    </row>
    <row r="321" ht="15.75" customHeight="1" s="23">
      <c r="A321" s="21" t="b">
        <v>0</v>
      </c>
      <c r="B321" s="21" t="inlineStr">
        <is>
          <t>SWS-015</t>
        </is>
      </c>
      <c r="C321" s="14" t="inlineStr">
        <is>
          <t>Skywalker Stories — Galactic Civil War</t>
        </is>
      </c>
      <c r="D321" s="24" t="inlineStr">
        <is>
          <t>Star Wars: Qui-Gon Visits Darth Vader After His Fight With Luke Skywalker On Bespin</t>
        </is>
      </c>
      <c r="E321" s="25" t="inlineStr"/>
      <c r="F321" s="26" t="inlineStr">
        <is>
          <t>Displayed as “10mo ago” on October 17, 2026</t>
        </is>
      </c>
      <c r="G321" s="24" t="inlineStr">
        <is>
          <t>Fan-made / non-canon</t>
        </is>
      </c>
      <c r="H321" s="24" t="inlineStr">
        <is>
          <t>AI fan film</t>
        </is>
      </c>
      <c r="I321" s="24" t="inlineStr">
        <is>
          <t>YouTube — Skywalker Stories</t>
        </is>
      </c>
      <c r="J321" s="27">
        <f>HYPERLINK("https://www.youtube.com/watch?v=TbI7E8OoXDI","Open")</f>
        <v/>
      </c>
      <c r="K321" s="24" t="inlineStr">
        <is>
          <t>Skywalker Stories. Immediately after Episode V: The Empire Strikes Back. Placement confidence: High.</t>
        </is>
      </c>
    </row>
    <row r="322" ht="15.75" customHeight="1" s="23">
      <c r="A322" s="21" t="b">
        <v>0</v>
      </c>
      <c r="B322" s="21" t="inlineStr">
        <is>
          <t>SWS-037</t>
        </is>
      </c>
      <c r="C322" s="14" t="inlineStr">
        <is>
          <t>Skywalker Stories — Galactic Civil War</t>
        </is>
      </c>
      <c r="D322" s="24" t="inlineStr">
        <is>
          <t>Star Wars: Qui-Gon Jinn visits Yoda on Dagobah after Luke Confronts Vader</t>
        </is>
      </c>
      <c r="E322" s="25" t="inlineStr"/>
      <c r="F322" s="26" t="inlineStr">
        <is>
          <t>Displayed as “1y ago” on October 17, 2026</t>
        </is>
      </c>
      <c r="G322" s="24" t="inlineStr">
        <is>
          <t>Fan-made / non-canon</t>
        </is>
      </c>
      <c r="H322" s="24" t="inlineStr">
        <is>
          <t>AI fan film</t>
        </is>
      </c>
      <c r="I322" s="24" t="inlineStr">
        <is>
          <t>YouTube — Skywalker Stories</t>
        </is>
      </c>
      <c r="J322" s="27">
        <f>HYPERLINK("https://www.youtube.com/watch?v=Jeme4doSM34","Open")</f>
        <v/>
      </c>
      <c r="K322" s="24" t="inlineStr">
        <is>
          <t>Skywalker Stories. Between Episodes V and VI, after Luke's confrontation with Vader. Placement confidence: High.</t>
        </is>
      </c>
    </row>
    <row r="323" ht="15.75" customHeight="1" s="23">
      <c r="A323" s="21" t="b">
        <v>0</v>
      </c>
      <c r="B323" s="21" t="inlineStr">
        <is>
          <t>SWS-012</t>
        </is>
      </c>
      <c r="C323" s="14" t="inlineStr">
        <is>
          <t>Skywalker Stories — Galactic Civil War</t>
        </is>
      </c>
      <c r="D323" s="24" t="inlineStr">
        <is>
          <t>Star Wars: Darth Vader Visits Padme's Tomb Before Return of the Jedi</t>
        </is>
      </c>
      <c r="E323" s="25" t="inlineStr"/>
      <c r="F323" s="26" t="inlineStr">
        <is>
          <t>Displayed as “8mo ago” on October 17, 2026</t>
        </is>
      </c>
      <c r="G323" s="24" t="inlineStr">
        <is>
          <t>Fan-made / non-canon</t>
        </is>
      </c>
      <c r="H323" s="24" t="inlineStr">
        <is>
          <t>AI fan film</t>
        </is>
      </c>
      <c r="I323" s="24" t="inlineStr">
        <is>
          <t>YouTube — Skywalker Stories</t>
        </is>
      </c>
      <c r="J323" s="27">
        <f>HYPERLINK("https://www.youtube.com/watch?v=IEwgJfQ0MKE","Open")</f>
        <v/>
      </c>
      <c r="K323" s="24" t="inlineStr">
        <is>
          <t>Skywalker Stories. Between Episodes V and VI, before Return of the Jedi. Placement confidence: High.</t>
        </is>
      </c>
    </row>
    <row r="324" ht="15.75" customHeight="1" s="23">
      <c r="A324" s="21" t="b">
        <v>0</v>
      </c>
      <c r="B324" s="21" t="inlineStr">
        <is>
          <t>SWS-023</t>
        </is>
      </c>
      <c r="C324" s="14" t="inlineStr">
        <is>
          <t>Skywalker Stories — Galactic Civil War</t>
        </is>
      </c>
      <c r="D324" s="24" t="inlineStr">
        <is>
          <t>Star Wars: Darth Vader's Journey To Redemption At Padme's Tomb</t>
        </is>
      </c>
      <c r="E324" s="25" t="inlineStr"/>
      <c r="F324" s="26" t="inlineStr">
        <is>
          <t>Displayed as “1y ago” on October 17, 2026</t>
        </is>
      </c>
      <c r="G324" s="24" t="inlineStr">
        <is>
          <t>Fan-made / non-canon</t>
        </is>
      </c>
      <c r="H324" s="24" t="inlineStr">
        <is>
          <t>AI fan film</t>
        </is>
      </c>
      <c r="I324" s="24" t="inlineStr">
        <is>
          <t>YouTube — Skywalker Stories</t>
        </is>
      </c>
      <c r="J324" s="27">
        <f>HYPERLINK("https://www.youtube.com/watch?v=5jQtkG1ysow","Open")</f>
        <v/>
      </c>
      <c r="K324" s="24" t="inlineStr">
        <is>
          <t>Skywalker Stories. Vader-era Padmé-tomb story, placed provisionally before Return of the Jedi. Placement confidence: Medium.</t>
        </is>
      </c>
    </row>
    <row r="325" ht="15.75" customHeight="1" s="23">
      <c r="A325" s="21" t="b">
        <v>0</v>
      </c>
      <c r="B325" s="21" t="inlineStr">
        <is>
          <t>SWS-045</t>
        </is>
      </c>
      <c r="C325" s="14" t="inlineStr">
        <is>
          <t>Skywalker Stories — Galactic Civil War</t>
        </is>
      </c>
      <c r="D325" s="24" t="inlineStr">
        <is>
          <t>Star Wars: Darth Vader's Journey to Redemption at Padme's Tomb</t>
        </is>
      </c>
      <c r="E325" s="25" t="inlineStr"/>
      <c r="F325" s="26" t="inlineStr">
        <is>
          <t>Displayed as “1y ago” on October 17, 2026</t>
        </is>
      </c>
      <c r="G325" s="24" t="inlineStr">
        <is>
          <t>Fan-made / non-canon</t>
        </is>
      </c>
      <c r="H325" s="24" t="inlineStr">
        <is>
          <t>AI fan film</t>
        </is>
      </c>
      <c r="I325" s="24" t="inlineStr">
        <is>
          <t>YouTube — Skywalker Stories</t>
        </is>
      </c>
      <c r="J325" s="27">
        <f>HYPERLINK("https://www.youtube.com/watch?v=HsC2UzDVPSI","Open")</f>
        <v/>
      </c>
      <c r="K325" s="24" t="inlineStr">
        <is>
          <t>Skywalker Stories. Vader-era Padmé-tomb story, placed provisionally before Return of the Jedi. Placement confidence: Medium.</t>
        </is>
      </c>
    </row>
    <row r="326" ht="15.75" customHeight="1" s="23">
      <c r="A326" s="21" t="b">
        <v>0</v>
      </c>
      <c r="B326" s="21" t="inlineStr">
        <is>
          <t>SWS-038</t>
        </is>
      </c>
      <c r="C326" s="14" t="inlineStr">
        <is>
          <t>Skywalker Stories — New Republic</t>
        </is>
      </c>
      <c r="D326" s="24" t="inlineStr">
        <is>
          <t>Star Wars: The Redemption of Anakin Skywalker</t>
        </is>
      </c>
      <c r="E326" s="25" t="inlineStr"/>
      <c r="F326" s="26" t="inlineStr">
        <is>
          <t>Displayed as “1y ago” on October 17, 2026</t>
        </is>
      </c>
      <c r="G326" s="24" t="inlineStr">
        <is>
          <t>Fan-made / non-canon</t>
        </is>
      </c>
      <c r="H326" s="24" t="inlineStr">
        <is>
          <t>AI fan film</t>
        </is>
      </c>
      <c r="I326" s="24" t="inlineStr">
        <is>
          <t>YouTube — Skywalker Stories</t>
        </is>
      </c>
      <c r="J326" s="27">
        <f>HYPERLINK("https://www.youtube.com/watch?v=9QCkvkbloUA","Open")</f>
        <v/>
      </c>
      <c r="K326" s="24" t="inlineStr">
        <is>
          <t>Skywalker Stories. Immediately after Return of the Jedi; redemption/Force-ghost epilogue. Placement confidence: Medium.</t>
        </is>
      </c>
    </row>
    <row r="327" ht="15.75" customHeight="1" s="23">
      <c r="A327" s="21" t="b">
        <v>0</v>
      </c>
      <c r="B327" s="21" t="inlineStr">
        <is>
          <t>SWS-090</t>
        </is>
      </c>
      <c r="C327" s="14" t="inlineStr">
        <is>
          <t>Skywalker Stories — New Republic</t>
        </is>
      </c>
      <c r="D327" s="24" t="inlineStr">
        <is>
          <t>Tales of the Star Wars Galaxy: Obi Wan teaches Anakin Skywalker to be a Force Ghost</t>
        </is>
      </c>
      <c r="E327" s="25" t="inlineStr"/>
      <c r="F327" s="26" t="inlineStr">
        <is>
          <t>Displayed as “1y ago” on October 17, 2026</t>
        </is>
      </c>
      <c r="G327" s="24" t="inlineStr">
        <is>
          <t>Fan-made / non-canon</t>
        </is>
      </c>
      <c r="H327" s="24" t="inlineStr">
        <is>
          <t>AI fan film</t>
        </is>
      </c>
      <c r="I327" s="24" t="inlineStr">
        <is>
          <t>YouTube — Skywalker Stories</t>
        </is>
      </c>
      <c r="J327" s="27">
        <f>HYPERLINK("https://www.youtube.com/watch?v=y6gPdaDZbTc","Open")</f>
        <v/>
      </c>
      <c r="K327" s="24" t="inlineStr">
        <is>
          <t>Skywalker Stories. Immediately after Return of the Jedi, explaining Anakin's Force-ghost return. Placement confidence: Medium.</t>
        </is>
      </c>
    </row>
    <row r="328" ht="15.75" customHeight="1" s="23">
      <c r="A328" s="21" t="b">
        <v>0</v>
      </c>
      <c r="B328" s="21" t="inlineStr">
        <is>
          <t>SWS-048</t>
        </is>
      </c>
      <c r="C328" s="14" t="inlineStr">
        <is>
          <t>Skywalker Stories — New Republic</t>
        </is>
      </c>
      <c r="D328" s="24" t="inlineStr">
        <is>
          <t>Star Wars - Luke Skywalker tells Leia about how Vader turned back to the light</t>
        </is>
      </c>
      <c r="E328" s="25" t="inlineStr"/>
      <c r="F328" s="26" t="inlineStr">
        <is>
          <t>Displayed as “1y ago” on October 17, 2026</t>
        </is>
      </c>
      <c r="G328" s="24" t="inlineStr">
        <is>
          <t>Fan-made / non-canon</t>
        </is>
      </c>
      <c r="H328" s="24" t="inlineStr">
        <is>
          <t>AI fan film</t>
        </is>
      </c>
      <c r="I328" s="24" t="inlineStr">
        <is>
          <t>YouTube — Skywalker Stories</t>
        </is>
      </c>
      <c r="J328" s="27">
        <f>HYPERLINK("https://www.youtube.com/watch?v=2iYI2anOeLs","Open")</f>
        <v/>
      </c>
      <c r="K328" s="24" t="inlineStr">
        <is>
          <t>Skywalker Stories. After Return of the Jedi, during Luke/Leia's reckoning with Anakin's redemption. Placement confidence: High.</t>
        </is>
      </c>
    </row>
    <row r="329" ht="15.75" customHeight="1" s="23">
      <c r="A329" s="21" t="b">
        <v>0</v>
      </c>
      <c r="B329" s="21" t="inlineStr">
        <is>
          <t>SWS-018</t>
        </is>
      </c>
      <c r="C329" s="14" t="inlineStr">
        <is>
          <t>Skywalker Stories — New Republic</t>
        </is>
      </c>
      <c r="D329" s="24" t="inlineStr">
        <is>
          <t>Star Wars: Anakin Skywalker Asks Leia For Forgiveness</t>
        </is>
      </c>
      <c r="E329" s="25" t="inlineStr"/>
      <c r="F329" s="26" t="inlineStr">
        <is>
          <t>Displayed as “10mo ago” on October 17, 2026</t>
        </is>
      </c>
      <c r="G329" s="24" t="inlineStr">
        <is>
          <t>Fan-made / non-canon</t>
        </is>
      </c>
      <c r="H329" s="24" t="inlineStr">
        <is>
          <t>AI fan film</t>
        </is>
      </c>
      <c r="I329" s="24" t="inlineStr">
        <is>
          <t>YouTube — Skywalker Stories</t>
        </is>
      </c>
      <c r="J329" s="27">
        <f>HYPERLINK("https://www.youtube.com/watch?v=3nB_FrKHLNU","Open")</f>
        <v/>
      </c>
      <c r="K329" s="24" t="inlineStr">
        <is>
          <t>Skywalker Stories. After Return of the Jedi, during Luke/Leia's reckoning with Anakin's redemption. Placement confidence: High. Separate upload sharing a title with another channel video.</t>
        </is>
      </c>
    </row>
    <row r="330" ht="15.75" customHeight="1" s="23">
      <c r="A330" s="21" t="b">
        <v>0</v>
      </c>
      <c r="B330" s="21" t="inlineStr">
        <is>
          <t>SWS-001</t>
        </is>
      </c>
      <c r="C330" s="14" t="inlineStr">
        <is>
          <t>Skywalker Stories — New Republic</t>
        </is>
      </c>
      <c r="D330" s="24" t="inlineStr">
        <is>
          <t>Star Wars: Anakin Skywalker Asks Leia For Forgiveness</t>
        </is>
      </c>
      <c r="E330" s="25" t="inlineStr"/>
      <c r="F330" s="26" t="inlineStr">
        <is>
          <t>September 18, 2026</t>
        </is>
      </c>
      <c r="G330" s="24" t="inlineStr">
        <is>
          <t>Fan-made / non-canon</t>
        </is>
      </c>
      <c r="H330" s="24" t="inlineStr">
        <is>
          <t>AI fan film</t>
        </is>
      </c>
      <c r="I330" s="24" t="inlineStr">
        <is>
          <t>YouTube — Skywalker Stories</t>
        </is>
      </c>
      <c r="J330" s="27">
        <f>HYPERLINK("https://www.youtube.com/watch?v=sxo8lo7e7Q8","Open")</f>
        <v/>
      </c>
      <c r="K330" s="24" t="inlineStr">
        <is>
          <t>Skywalker Stories. After Return of the Jedi, during Luke/Leia's reckoning with Anakin's redemption. Placement confidence: High. Separate upload sharing a title with another channel video.</t>
        </is>
      </c>
    </row>
    <row r="331" ht="15.75" customHeight="1" s="23">
      <c r="A331" s="21" t="b">
        <v>0</v>
      </c>
      <c r="B331" s="21" t="inlineStr">
        <is>
          <t>SWS-058</t>
        </is>
      </c>
      <c r="C331" s="14" t="inlineStr">
        <is>
          <t>Skywalker Stories — New Republic</t>
        </is>
      </c>
      <c r="D331" s="24" t="inlineStr">
        <is>
          <t>Tales of the Star Wars Galaxy: Anakin Skywalker Asks Leia For Forgiveness</t>
        </is>
      </c>
      <c r="E331" s="25" t="inlineStr"/>
      <c r="F331" s="26" t="inlineStr">
        <is>
          <t>Displayed as “1y ago” on October 17, 2026</t>
        </is>
      </c>
      <c r="G331" s="24" t="inlineStr">
        <is>
          <t>Fan-made / non-canon</t>
        </is>
      </c>
      <c r="H331" s="24" t="inlineStr">
        <is>
          <t>AI fan film</t>
        </is>
      </c>
      <c r="I331" s="24" t="inlineStr">
        <is>
          <t>YouTube — Skywalker Stories</t>
        </is>
      </c>
      <c r="J331" s="27">
        <f>HYPERLINK("https://www.youtube.com/watch?v=__94Dx8HHxE","Open")</f>
        <v/>
      </c>
      <c r="K331" s="24" t="inlineStr">
        <is>
          <t>Skywalker Stories. After Return of the Jedi, during Luke/Leia's reckoning with Anakin's redemption. Placement confidence: High.</t>
        </is>
      </c>
    </row>
    <row r="332" ht="15.75" customHeight="1" s="23">
      <c r="A332" s="21" t="b">
        <v>0</v>
      </c>
      <c r="B332" s="21" t="inlineStr">
        <is>
          <t>SWS-101</t>
        </is>
      </c>
      <c r="C332" s="14" t="inlineStr">
        <is>
          <t>Skywalker Stories — New Republic</t>
        </is>
      </c>
      <c r="D332" s="24" t="inlineStr">
        <is>
          <t>Tales of the Star Wars Galaxy: Anakin Skywalker seeks forgiveness from Leia</t>
        </is>
      </c>
      <c r="E332" s="25" t="inlineStr"/>
      <c r="F332" s="26" t="inlineStr">
        <is>
          <t>Displayed as “2y ago” on October 17, 2026</t>
        </is>
      </c>
      <c r="G332" s="24" t="inlineStr">
        <is>
          <t>Fan-made / non-canon</t>
        </is>
      </c>
      <c r="H332" s="24" t="inlineStr">
        <is>
          <t>AI fan film</t>
        </is>
      </c>
      <c r="I332" s="24" t="inlineStr">
        <is>
          <t>YouTube — Skywalker Stories</t>
        </is>
      </c>
      <c r="J332" s="27">
        <f>HYPERLINK("https://www.youtube.com/watch?v=cixOJY_4VM0","Open")</f>
        <v/>
      </c>
      <c r="K332" s="24" t="inlineStr">
        <is>
          <t>Skywalker Stories. After Return of the Jedi, during Luke/Leia's reckoning with Anakin's redemption. Placement confidence: High.</t>
        </is>
      </c>
    </row>
    <row r="333" ht="15.75" customHeight="1" s="23">
      <c r="A333" s="21" t="b">
        <v>0</v>
      </c>
      <c r="B333" s="21" t="inlineStr">
        <is>
          <t>SWS-102</t>
        </is>
      </c>
      <c r="C333" s="14" t="inlineStr">
        <is>
          <t>Skywalker Stories — New Republic</t>
        </is>
      </c>
      <c r="D333" s="24" t="inlineStr">
        <is>
          <t>Tales of the Star Wars Galaxy: Luke Skywalker tells Leia Organa that Anakin Skywalker was redeemed</t>
        </is>
      </c>
      <c r="E333" s="25" t="inlineStr"/>
      <c r="F333" s="26" t="inlineStr">
        <is>
          <t>Displayed as “2y ago” on October 17, 2026</t>
        </is>
      </c>
      <c r="G333" s="24" t="inlineStr">
        <is>
          <t>Fan-made / non-canon</t>
        </is>
      </c>
      <c r="H333" s="24" t="inlineStr">
        <is>
          <t>AI fan film</t>
        </is>
      </c>
      <c r="I333" s="24" t="inlineStr">
        <is>
          <t>YouTube — Skywalker Stories</t>
        </is>
      </c>
      <c r="J333" s="27">
        <f>HYPERLINK("https://www.youtube.com/watch?v=i_V4Yf7XRF8","Open")</f>
        <v/>
      </c>
      <c r="K333" s="24" t="inlineStr">
        <is>
          <t>Skywalker Stories. After Return of the Jedi, during Luke/Leia's reckoning with Anakin's redemption. Placement confidence: High.</t>
        </is>
      </c>
    </row>
    <row r="334" ht="15.75" customHeight="1" s="23">
      <c r="A334" s="21" t="b">
        <v>0</v>
      </c>
      <c r="B334" s="21" t="inlineStr">
        <is>
          <t>SWS-059</t>
        </is>
      </c>
      <c r="C334" s="14" t="inlineStr">
        <is>
          <t>Skywalker Stories — New Republic</t>
        </is>
      </c>
      <c r="D334" s="24" t="inlineStr">
        <is>
          <t>Tales of the Star Wars Galaxy: Luke Skywalker finds out the truth about what happened to Padme</t>
        </is>
      </c>
      <c r="E334" s="25" t="inlineStr"/>
      <c r="F334" s="26" t="inlineStr">
        <is>
          <t>Displayed as “1y ago” on October 17, 2026</t>
        </is>
      </c>
      <c r="G334" s="24" t="inlineStr">
        <is>
          <t>Fan-made / non-canon</t>
        </is>
      </c>
      <c r="H334" s="24" t="inlineStr">
        <is>
          <t>AI fan film</t>
        </is>
      </c>
      <c r="I334" s="24" t="inlineStr">
        <is>
          <t>YouTube — Skywalker Stories</t>
        </is>
      </c>
      <c r="J334" s="27">
        <f>HYPERLINK("https://www.youtube.com/watch?v=ZsCOrp87ujE","Open")</f>
        <v/>
      </c>
      <c r="K334" s="24" t="inlineStr">
        <is>
          <t>Skywalker Stories. After Return of the Jedi, when Luke investigates his mother's fate. Placement confidence: Medium.</t>
        </is>
      </c>
    </row>
    <row r="335" ht="15.75" customHeight="1" s="23">
      <c r="A335" s="21" t="b">
        <v>0</v>
      </c>
      <c r="B335" s="21" t="inlineStr">
        <is>
          <t>SWS-014</t>
        </is>
      </c>
      <c r="C335" s="14" t="inlineStr">
        <is>
          <t>Skywalker Stories — New Republic</t>
        </is>
      </c>
      <c r="D335" s="24" t="inlineStr">
        <is>
          <t>Star Wars: Luke Skywalker Encounters Darth Bane &amp; Begins The Jedi Academy</t>
        </is>
      </c>
      <c r="E335" s="25" t="inlineStr"/>
      <c r="F335" s="26" t="inlineStr">
        <is>
          <t>Displayed as “9mo ago” on October 17, 2026</t>
        </is>
      </c>
      <c r="G335" s="24" t="inlineStr">
        <is>
          <t>Fan-made / non-canon</t>
        </is>
      </c>
      <c r="H335" s="24" t="inlineStr">
        <is>
          <t>AI fan film</t>
        </is>
      </c>
      <c r="I335" s="24" t="inlineStr">
        <is>
          <t>YouTube — Skywalker Stories</t>
        </is>
      </c>
      <c r="J335" s="27">
        <f>HYPERLINK("https://www.youtube.com/watch?v=G_Ugr_O0-8k","Open")</f>
        <v/>
      </c>
      <c r="K335" s="24" t="inlineStr">
        <is>
          <t>Skywalker Stories. Early New Republic, while Luke establishes his Jedi academy. Placement confidence: High.</t>
        </is>
      </c>
    </row>
    <row r="336" ht="15.75" customHeight="1" s="23">
      <c r="A336" s="21" t="b">
        <v>0</v>
      </c>
      <c r="B336" s="21" t="inlineStr">
        <is>
          <t>SWS-034</t>
        </is>
      </c>
      <c r="C336" s="14" t="inlineStr">
        <is>
          <t>Skywalker Stories — New Republic</t>
        </is>
      </c>
      <c r="D336" s="24" t="inlineStr">
        <is>
          <t>Star Wars: Luke Skywalker Guided By Anakin Skywalker &amp; Obi Wan On Rebuilding the Jedi Order</t>
        </is>
      </c>
      <c r="E336" s="25" t="inlineStr"/>
      <c r="F336" s="26" t="inlineStr">
        <is>
          <t>Displayed as “1y ago” on October 17, 2026</t>
        </is>
      </c>
      <c r="G336" s="24" t="inlineStr">
        <is>
          <t>Fan-made / non-canon</t>
        </is>
      </c>
      <c r="H336" s="24" t="inlineStr">
        <is>
          <t>AI fan film</t>
        </is>
      </c>
      <c r="I336" s="24" t="inlineStr">
        <is>
          <t>YouTube — Skywalker Stories</t>
        </is>
      </c>
      <c r="J336" s="27">
        <f>HYPERLINK("https://www.youtube.com/watch?v=ryZqmDReUmg","Open")</f>
        <v/>
      </c>
      <c r="K336" s="24" t="inlineStr">
        <is>
          <t>Skywalker Stories. Early New Republic, while Luke establishes his Jedi academy. Placement confidence: High.</t>
        </is>
      </c>
    </row>
    <row r="337" ht="15.75" customHeight="1" s="23">
      <c r="A337" s="21" t="b">
        <v>0</v>
      </c>
      <c r="B337" s="21" t="inlineStr">
        <is>
          <t>SWS-024</t>
        </is>
      </c>
      <c r="C337" s="14" t="inlineStr">
        <is>
          <t>Skywalker Stories — New Republic</t>
        </is>
      </c>
      <c r="D337" s="24" t="inlineStr">
        <is>
          <t>Star Wars: Luke Skywalker Speaks To Qui Gon Jinn and Begins The Jedi Academy</t>
        </is>
      </c>
      <c r="E337" s="25" t="inlineStr"/>
      <c r="F337" s="26" t="inlineStr">
        <is>
          <t>Displayed as “1y ago” on October 17, 2026</t>
        </is>
      </c>
      <c r="G337" s="24" t="inlineStr">
        <is>
          <t>Fan-made / non-canon</t>
        </is>
      </c>
      <c r="H337" s="24" t="inlineStr">
        <is>
          <t>AI fan film</t>
        </is>
      </c>
      <c r="I337" s="24" t="inlineStr">
        <is>
          <t>YouTube — Skywalker Stories</t>
        </is>
      </c>
      <c r="J337" s="27">
        <f>HYPERLINK("https://www.youtube.com/watch?v=jKXpZXp1A6s","Open")</f>
        <v/>
      </c>
      <c r="K337" s="24" t="inlineStr">
        <is>
          <t>Skywalker Stories. Early New Republic, while Luke establishes his Jedi academy. Placement confidence: High.</t>
        </is>
      </c>
    </row>
    <row r="338" ht="15.75" customHeight="1" s="23">
      <c r="A338" s="21" t="b">
        <v>0</v>
      </c>
      <c r="B338" s="21" t="inlineStr">
        <is>
          <t>SWS-113</t>
        </is>
      </c>
      <c r="C338" s="14" t="inlineStr">
        <is>
          <t>Skywalker Stories — New Republic</t>
        </is>
      </c>
      <c r="D338" s="24" t="inlineStr">
        <is>
          <t>Luke Skywalker Talks To Force Ghost Anakin Skywalker about Grogu (AI Audio) - Star Wars</t>
        </is>
      </c>
      <c r="E338" s="25" t="inlineStr"/>
      <c r="F338" s="26" t="inlineStr">
        <is>
          <t>Displayed as “3y ago” on October 17, 2026</t>
        </is>
      </c>
      <c r="G338" s="24" t="inlineStr">
        <is>
          <t>Fan-made / non-canon</t>
        </is>
      </c>
      <c r="H338" s="24" t="inlineStr">
        <is>
          <t>AI fan film</t>
        </is>
      </c>
      <c r="I338" s="24" t="inlineStr">
        <is>
          <t>YouTube — Skywalker Stories</t>
        </is>
      </c>
      <c r="J338" s="27">
        <f>HYPERLINK("https://www.youtube.com/watch?v=joaCtSy4Z-M","Open")</f>
        <v/>
      </c>
      <c r="K338" s="24" t="inlineStr">
        <is>
          <t>Skywalker Stories. Around The Mandalorian/The Book of Boba Fett era. Placement confidence: High.</t>
        </is>
      </c>
    </row>
    <row r="339" ht="15.75" customHeight="1" s="23">
      <c r="A339" s="21" t="b">
        <v>0</v>
      </c>
      <c r="B339" s="21" t="inlineStr">
        <is>
          <t>SWS-108</t>
        </is>
      </c>
      <c r="C339" s="14" t="inlineStr">
        <is>
          <t>Skywalker Stories — New Republic</t>
        </is>
      </c>
      <c r="D339" s="24" t="inlineStr">
        <is>
          <t>Tales of the Star Wars Galaxy: Anakin Skywalker visits Luke Skywalker about Grogu</t>
        </is>
      </c>
      <c r="E339" s="25" t="inlineStr"/>
      <c r="F339" s="26" t="inlineStr">
        <is>
          <t>Displayed as “2y ago” on October 17, 2026</t>
        </is>
      </c>
      <c r="G339" s="24" t="inlineStr">
        <is>
          <t>Fan-made / non-canon</t>
        </is>
      </c>
      <c r="H339" s="24" t="inlineStr">
        <is>
          <t>AI fan film</t>
        </is>
      </c>
      <c r="I339" s="24" t="inlineStr">
        <is>
          <t>YouTube — Skywalker Stories</t>
        </is>
      </c>
      <c r="J339" s="27">
        <f>HYPERLINK("https://www.youtube.com/watch?v=bMgCYBvwsf0","Open")</f>
        <v/>
      </c>
      <c r="K339" s="24" t="inlineStr">
        <is>
          <t>Skywalker Stories. Around The Mandalorian/The Book of Boba Fett era. Placement confidence: High.</t>
        </is>
      </c>
    </row>
    <row r="340" ht="15.75" customHeight="1" s="23">
      <c r="A340" s="21" t="b">
        <v>0</v>
      </c>
      <c r="B340" s="21" t="inlineStr">
        <is>
          <t>SWS-109</t>
        </is>
      </c>
      <c r="C340" s="14" t="inlineStr">
        <is>
          <t>Skywalker Stories — New Republic</t>
        </is>
      </c>
      <c r="D340" s="24" t="inlineStr">
        <is>
          <t>Tales of the Star Wars Galaxy: Luke Skywalker meets Ahsoka Tano</t>
        </is>
      </c>
      <c r="E340" s="25" t="inlineStr"/>
      <c r="F340" s="26" t="inlineStr">
        <is>
          <t>Displayed as “2y ago” on October 17, 2026</t>
        </is>
      </c>
      <c r="G340" s="24" t="inlineStr">
        <is>
          <t>Fan-made / non-canon</t>
        </is>
      </c>
      <c r="H340" s="24" t="inlineStr">
        <is>
          <t>AI fan film</t>
        </is>
      </c>
      <c r="I340" s="24" t="inlineStr">
        <is>
          <t>YouTube — Skywalker Stories</t>
        </is>
      </c>
      <c r="J340" s="27">
        <f>HYPERLINK("https://www.youtube.com/watch?v=SOYNTuKzICE","Open")</f>
        <v/>
      </c>
      <c r="K340" s="24" t="inlineStr">
        <is>
          <t>Skywalker Stories. Around The Mandalorian/The Book of Boba Fett era. Placement confidence: High.</t>
        </is>
      </c>
    </row>
    <row r="341" ht="15.75" customHeight="1" s="23">
      <c r="A341" s="21" t="b">
        <v>0</v>
      </c>
      <c r="B341" s="21" t="inlineStr">
        <is>
          <t>SWS-069</t>
        </is>
      </c>
      <c r="C341" s="14" t="inlineStr">
        <is>
          <t>Skywalker Stories — New Republic</t>
        </is>
      </c>
      <c r="D341" s="24" t="inlineStr">
        <is>
          <t>Tales of the Star Wars Galaxy: Luke Skywalker meets Ahsoka Tano and speak to Anakin</t>
        </is>
      </c>
      <c r="E341" s="25" t="inlineStr"/>
      <c r="F341" s="26" t="inlineStr">
        <is>
          <t>Displayed as “1y ago” on October 17, 2026</t>
        </is>
      </c>
      <c r="G341" s="24" t="inlineStr">
        <is>
          <t>Fan-made / non-canon</t>
        </is>
      </c>
      <c r="H341" s="24" t="inlineStr">
        <is>
          <t>AI fan film</t>
        </is>
      </c>
      <c r="I341" s="24" t="inlineStr">
        <is>
          <t>YouTube — Skywalker Stories</t>
        </is>
      </c>
      <c r="J341" s="27">
        <f>HYPERLINK("https://www.youtube.com/watch?v=-LulLYID1K0","Open")</f>
        <v/>
      </c>
      <c r="K341" s="24" t="inlineStr">
        <is>
          <t>Skywalker Stories. Around The Mandalorian/The Book of Boba Fett era. Placement confidence: High.</t>
        </is>
      </c>
    </row>
    <row r="342" ht="15.75" customHeight="1" s="23">
      <c r="A342" s="21" t="b">
        <v>0</v>
      </c>
      <c r="B342" s="21" t="inlineStr">
        <is>
          <t>SWS-078</t>
        </is>
      </c>
      <c r="C342" s="14" t="inlineStr">
        <is>
          <t>Skywalker Stories — New Republic</t>
        </is>
      </c>
      <c r="D342" s="24" t="inlineStr">
        <is>
          <t>Tales of the Star Wars Galaxy: Din Djarin and Boba Fett seek out Luke Skywalker about Thrawn</t>
        </is>
      </c>
      <c r="E342" s="25" t="inlineStr"/>
      <c r="F342" s="26" t="inlineStr">
        <is>
          <t>Displayed as “1y ago” on October 17, 2026</t>
        </is>
      </c>
      <c r="G342" s="24" t="inlineStr">
        <is>
          <t>Fan-made / non-canon</t>
        </is>
      </c>
      <c r="H342" s="24" t="inlineStr">
        <is>
          <t>AI fan film</t>
        </is>
      </c>
      <c r="I342" s="24" t="inlineStr">
        <is>
          <t>YouTube — Skywalker Stories</t>
        </is>
      </c>
      <c r="J342" s="27">
        <f>HYPERLINK("https://www.youtube.com/watch?v=0tdxW14paxU","Open")</f>
        <v/>
      </c>
      <c r="K342" s="24" t="inlineStr">
        <is>
          <t>Skywalker Stories. New Republic era, after Luke meets Din Djarin and Grogu. Placement confidence: Medium.</t>
        </is>
      </c>
    </row>
    <row r="343" ht="15.75" customHeight="1" s="23">
      <c r="A343" s="21" t="b">
        <v>0</v>
      </c>
      <c r="B343" s="21" t="inlineStr">
        <is>
          <t>SWS-099</t>
        </is>
      </c>
      <c r="C343" s="14" t="inlineStr">
        <is>
          <t>Skywalker Stories — New Republic</t>
        </is>
      </c>
      <c r="D343" s="24" t="inlineStr">
        <is>
          <t>Tales of the Star Wars Galaxy: The Mandalorian and Boba Fett learn about Thrawn's return</t>
        </is>
      </c>
      <c r="E343" s="25" t="inlineStr"/>
      <c r="F343" s="26" t="inlineStr">
        <is>
          <t>Displayed as “2y ago” on October 17, 2026</t>
        </is>
      </c>
      <c r="G343" s="24" t="inlineStr">
        <is>
          <t>Fan-made / non-canon</t>
        </is>
      </c>
      <c r="H343" s="24" t="inlineStr">
        <is>
          <t>AI fan film</t>
        </is>
      </c>
      <c r="I343" s="24" t="inlineStr">
        <is>
          <t>YouTube — Skywalker Stories</t>
        </is>
      </c>
      <c r="J343" s="27">
        <f>HYPERLINK("https://www.youtube.com/watch?v=ALnFpmRd7tk","Open")</f>
        <v/>
      </c>
      <c r="K343" s="24" t="inlineStr">
        <is>
          <t>Skywalker Stories. New Republic era, after Luke meets Din Djarin and Grogu. Placement confidence: Medium.</t>
        </is>
      </c>
    </row>
    <row r="344" ht="15.75" customHeight="1" s="23">
      <c r="A344" s="21" t="b">
        <v>0</v>
      </c>
      <c r="B344" s="21" t="inlineStr">
        <is>
          <t>SWS-093</t>
        </is>
      </c>
      <c r="C344" s="14" t="inlineStr">
        <is>
          <t>Skywalker Stories — New Republic</t>
        </is>
      </c>
      <c r="D344" s="24" t="inlineStr">
        <is>
          <t>Tales of the Star Wars Galaxy: Luke Skywalker, Leia, and Han Solo discuss Thrawn's return</t>
        </is>
      </c>
      <c r="E344" s="25" t="inlineStr"/>
      <c r="F344" s="26" t="inlineStr">
        <is>
          <t>Displayed as “2y ago” on October 17, 2026</t>
        </is>
      </c>
      <c r="G344" s="24" t="inlineStr">
        <is>
          <t>Fan-made / non-canon</t>
        </is>
      </c>
      <c r="H344" s="24" t="inlineStr">
        <is>
          <t>AI fan film</t>
        </is>
      </c>
      <c r="I344" s="24" t="inlineStr">
        <is>
          <t>YouTube — Skywalker Stories</t>
        </is>
      </c>
      <c r="J344" s="27">
        <f>HYPERLINK("https://www.youtube.com/watch?v=GgM5ucUpAy0","Open")</f>
        <v/>
      </c>
      <c r="K344" s="24" t="inlineStr">
        <is>
          <t>Skywalker Stories. Around Ahsoka and the emerging threat of Thrawn's return. Placement confidence: High.</t>
        </is>
      </c>
    </row>
    <row r="345" ht="15.75" customHeight="1" s="23">
      <c r="A345" s="21" t="b">
        <v>0</v>
      </c>
      <c r="B345" s="21" t="inlineStr">
        <is>
          <t>SWS-019</t>
        </is>
      </c>
      <c r="C345" s="14" t="inlineStr">
        <is>
          <t>Skywalker Stories — New Republic</t>
        </is>
      </c>
      <c r="D345" s="24" t="inlineStr">
        <is>
          <t>Star Wars: Luke Skywalker and Anakin in The World Between Worlds</t>
        </is>
      </c>
      <c r="E345" s="25" t="inlineStr"/>
      <c r="F345" s="26" t="inlineStr">
        <is>
          <t>Displayed as “11mo ago” on October 17, 2026</t>
        </is>
      </c>
      <c r="G345" s="24" t="inlineStr">
        <is>
          <t>Fan-made / non-canon</t>
        </is>
      </c>
      <c r="H345" s="24" t="inlineStr">
        <is>
          <t>AI fan film</t>
        </is>
      </c>
      <c r="I345" s="24" t="inlineStr">
        <is>
          <t>YouTube — Skywalker Stories</t>
        </is>
      </c>
      <c r="J345" s="27">
        <f>HYPERLINK("https://www.youtube.com/watch?v=nlYKedsYe50","Open")</f>
        <v/>
      </c>
      <c r="K345" s="24" t="inlineStr">
        <is>
          <t>Skywalker Stories. New Republic era; speculative World Between Worlds encounter. Placement confidence: Medium.</t>
        </is>
      </c>
    </row>
    <row r="346" ht="15.75" customHeight="1" s="23">
      <c r="A346" s="21" t="b">
        <v>0</v>
      </c>
      <c r="B346" s="21" t="inlineStr">
        <is>
          <t>SWS-002</t>
        </is>
      </c>
      <c r="C346" s="14" t="inlineStr">
        <is>
          <t>Skywalker Stories — New Republic</t>
        </is>
      </c>
      <c r="D346" s="24" t="inlineStr">
        <is>
          <t>Star Wars: Luke Skywalker and Anakin Skywalker in The World Between Worlds</t>
        </is>
      </c>
      <c r="E346" s="25" t="inlineStr"/>
      <c r="F346" s="26" t="inlineStr">
        <is>
          <t>Displayed as “1mo ago” on October 17, 2026</t>
        </is>
      </c>
      <c r="G346" s="24" t="inlineStr">
        <is>
          <t>Fan-made / non-canon</t>
        </is>
      </c>
      <c r="H346" s="24" t="inlineStr">
        <is>
          <t>AI fan film</t>
        </is>
      </c>
      <c r="I346" s="24" t="inlineStr">
        <is>
          <t>YouTube — Skywalker Stories</t>
        </is>
      </c>
      <c r="J346" s="27">
        <f>HYPERLINK("https://www.youtube.com/watch?v=qInG0fDGyRA","Open")</f>
        <v/>
      </c>
      <c r="K346" s="24" t="inlineStr">
        <is>
          <t>Skywalker Stories. New Republic era; speculative World Between Worlds encounter. Placement confidence: Medium.</t>
        </is>
      </c>
    </row>
    <row r="347" ht="15.75" customHeight="1" s="23">
      <c r="A347" s="21" t="b">
        <v>0</v>
      </c>
      <c r="B347" s="21" t="inlineStr">
        <is>
          <t>SWS-091</t>
        </is>
      </c>
      <c r="C347" s="14" t="inlineStr">
        <is>
          <t>Skywalker Stories — New Republic</t>
        </is>
      </c>
      <c r="D347" s="24" t="inlineStr">
        <is>
          <t>Tales of the Star Wars Galaxy: Anakin Skywalker and Obi Wan talk to Luke Skywalker about Baylan</t>
        </is>
      </c>
      <c r="E347" s="25" t="inlineStr"/>
      <c r="F347" s="26" t="inlineStr">
        <is>
          <t>Displayed as “2y ago” on October 17, 2026</t>
        </is>
      </c>
      <c r="G347" s="24" t="inlineStr">
        <is>
          <t>Fan-made / non-canon</t>
        </is>
      </c>
      <c r="H347" s="24" t="inlineStr">
        <is>
          <t>AI fan film</t>
        </is>
      </c>
      <c r="I347" s="24" t="inlineStr">
        <is>
          <t>YouTube — Skywalker Stories</t>
        </is>
      </c>
      <c r="J347" s="27">
        <f>HYPERLINK("https://www.youtube.com/watch?v=hn-1oxgU4gI","Open")</f>
        <v/>
      </c>
      <c r="K347" s="24" t="inlineStr">
        <is>
          <t>Skywalker Stories. After Ahsoka, during Luke's New Republic-era Jedi work. Placement confidence: Medium.</t>
        </is>
      </c>
    </row>
    <row r="348" ht="15.75" customHeight="1" s="23">
      <c r="A348" s="21" t="b">
        <v>0</v>
      </c>
      <c r="B348" s="21" t="inlineStr">
        <is>
          <t>SWS-104</t>
        </is>
      </c>
      <c r="C348" s="14" t="inlineStr">
        <is>
          <t>Skywalker Stories — New Republic</t>
        </is>
      </c>
      <c r="D348" s="24" t="inlineStr">
        <is>
          <t>Tales of the Star Wars Galaxy: Luke Skywalker finds out about Leia &amp; Han having a kid</t>
        </is>
      </c>
      <c r="E348" s="25" t="inlineStr"/>
      <c r="F348" s="26" t="inlineStr">
        <is>
          <t>Displayed as “2y ago” on October 17, 2026</t>
        </is>
      </c>
      <c r="G348" s="24" t="inlineStr">
        <is>
          <t>Fan-made / non-canon</t>
        </is>
      </c>
      <c r="H348" s="24" t="inlineStr">
        <is>
          <t>AI fan film</t>
        </is>
      </c>
      <c r="I348" s="24" t="inlineStr">
        <is>
          <t>YouTube — Skywalker Stories</t>
        </is>
      </c>
      <c r="J348" s="27">
        <f>HYPERLINK("https://www.youtube.com/watch?v=SNZr_5Gpplk","Open")</f>
        <v/>
      </c>
      <c r="K348" s="24" t="inlineStr">
        <is>
          <t>Skywalker Stories. Early New Republic, after Leia and Han begin their family. Placement confidence: Medium.</t>
        </is>
      </c>
    </row>
    <row r="349" ht="15.75" customHeight="1" s="23">
      <c r="A349" s="21" t="b">
        <v>0</v>
      </c>
      <c r="B349" s="21" t="inlineStr">
        <is>
          <t>SWS-056</t>
        </is>
      </c>
      <c r="C349" s="14" t="inlineStr">
        <is>
          <t>Skywalker Stories — New Republic</t>
        </is>
      </c>
      <c r="D349" s="24" t="inlineStr">
        <is>
          <t>Tales of the Star Wars Galaxy: Luke Skywalker Guides Ben Solo in the Force</t>
        </is>
      </c>
      <c r="E349" s="25" t="inlineStr"/>
      <c r="F349" s="26" t="inlineStr">
        <is>
          <t>Displayed as “1y ago” on October 17, 2026</t>
        </is>
      </c>
      <c r="G349" s="24" t="inlineStr">
        <is>
          <t>Fan-made / non-canon</t>
        </is>
      </c>
      <c r="H349" s="24" t="inlineStr">
        <is>
          <t>AI fan film</t>
        </is>
      </c>
      <c r="I349" s="24" t="inlineStr">
        <is>
          <t>YouTube — Skywalker Stories</t>
        </is>
      </c>
      <c r="J349" s="27">
        <f>HYPERLINK("https://www.youtube.com/watch?v=An8T-X_6GvA","Open")</f>
        <v/>
      </c>
      <c r="K349" s="24" t="inlineStr">
        <is>
          <t>Skywalker Stories. During Ben Solo's training at Luke's Jedi academy. Placement confidence: High.</t>
        </is>
      </c>
    </row>
    <row r="350" ht="15.75" customHeight="1" s="23">
      <c r="A350" s="21" t="b">
        <v>0</v>
      </c>
      <c r="B350" s="21" t="inlineStr">
        <is>
          <t>SWS-106</t>
        </is>
      </c>
      <c r="C350" s="14" t="inlineStr">
        <is>
          <t>Skywalker Stories — New Republic</t>
        </is>
      </c>
      <c r="D350" s="24" t="inlineStr">
        <is>
          <t>Tales of the Star Wars Galaxy: Luke Skywalker helps find balance in Ben Solo</t>
        </is>
      </c>
      <c r="E350" s="25" t="inlineStr"/>
      <c r="F350" s="26" t="inlineStr">
        <is>
          <t>Displayed as “2y ago” on October 17, 2026</t>
        </is>
      </c>
      <c r="G350" s="24" t="inlineStr">
        <is>
          <t>Fan-made / non-canon</t>
        </is>
      </c>
      <c r="H350" s="24" t="inlineStr">
        <is>
          <t>AI fan film</t>
        </is>
      </c>
      <c r="I350" s="24" t="inlineStr">
        <is>
          <t>YouTube — Skywalker Stories</t>
        </is>
      </c>
      <c r="J350" s="27">
        <f>HYPERLINK("https://www.youtube.com/watch?v=TxlvyVoxJ6g","Open")</f>
        <v/>
      </c>
      <c r="K350" s="24" t="inlineStr">
        <is>
          <t>Skywalker Stories. During Ben Solo's training at Luke's Jedi academy. Placement confidence: High.</t>
        </is>
      </c>
    </row>
    <row r="351" ht="15.75" customHeight="1" s="23">
      <c r="A351" s="21" t="b">
        <v>0</v>
      </c>
      <c r="B351" s="21" t="inlineStr">
        <is>
          <t>SWS-063</t>
        </is>
      </c>
      <c r="C351" s="14" t="inlineStr">
        <is>
          <t>Skywalker Stories — New Republic</t>
        </is>
      </c>
      <c r="D351" s="24" t="inlineStr">
        <is>
          <t>Tales of the Star Wars Galaxy: Cal Kestis meets Luke Skywalker</t>
        </is>
      </c>
      <c r="E351" s="25" t="inlineStr"/>
      <c r="F351" s="26" t="inlineStr">
        <is>
          <t>Displayed as “1y ago” on October 17, 2026</t>
        </is>
      </c>
      <c r="G351" s="24" t="inlineStr">
        <is>
          <t>Fan-made / non-canon</t>
        </is>
      </c>
      <c r="H351" s="24" t="inlineStr">
        <is>
          <t>AI fan film</t>
        </is>
      </c>
      <c r="I351" s="24" t="inlineStr">
        <is>
          <t>YouTube — Skywalker Stories</t>
        </is>
      </c>
      <c r="J351" s="27">
        <f>HYPERLINK("https://www.youtube.com/watch?v=_f-gTUDm-Nk","Open")</f>
        <v/>
      </c>
      <c r="K351" s="24" t="inlineStr">
        <is>
          <t>Skywalker Stories. Speculative post-Endor meeting; Cal Kestis's status makes placement uncertain. Placement confidence: Low.</t>
        </is>
      </c>
    </row>
    <row r="352" ht="15.75" customHeight="1" s="23">
      <c r="A352" s="21" t="b">
        <v>0</v>
      </c>
      <c r="B352" s="21" t="inlineStr">
        <is>
          <t>SWS-021</t>
        </is>
      </c>
      <c r="C352" s="14" t="inlineStr">
        <is>
          <t>Skywalker Stories — Legends after Endor</t>
        </is>
      </c>
      <c r="D352" s="24" t="inlineStr">
        <is>
          <t>Star Wars: Luke Skywalker Guides Jacen Solo</t>
        </is>
      </c>
      <c r="E352" s="25" t="inlineStr"/>
      <c r="F352" s="26" t="inlineStr">
        <is>
          <t>Displayed as “1y ago” on October 17, 2026</t>
        </is>
      </c>
      <c r="G352" s="24" t="inlineStr">
        <is>
          <t>Fan-made / non-canon</t>
        </is>
      </c>
      <c r="H352" s="24" t="inlineStr">
        <is>
          <t>AI fan film</t>
        </is>
      </c>
      <c r="I352" s="24" t="inlineStr">
        <is>
          <t>YouTube — Skywalker Stories</t>
        </is>
      </c>
      <c r="J352" s="27">
        <f>HYPERLINK("https://www.youtube.com/watch?v=TNF569-WWl0","Open")</f>
        <v/>
      </c>
      <c r="K352" s="24" t="inlineStr">
        <is>
          <t>Skywalker Stories. Legends post-Endor continuity; exact placement depends on the referenced novel era. Placement confidence: Medium.</t>
        </is>
      </c>
    </row>
    <row r="353" ht="15.75" customHeight="1" s="23">
      <c r="A353" s="21" t="b">
        <v>0</v>
      </c>
      <c r="B353" s="21" t="inlineStr">
        <is>
          <t>SWS-068</t>
        </is>
      </c>
      <c r="C353" s="14" t="inlineStr">
        <is>
          <t>Skywalker Stories — Legends after Endor</t>
        </is>
      </c>
      <c r="D353" s="24" t="inlineStr">
        <is>
          <t>Tales of the Star Wars Galaxy: Anakin Skywalker &amp; Obi Wan visit Luke Skywalker after Abeloth</t>
        </is>
      </c>
      <c r="E353" s="25" t="inlineStr"/>
      <c r="F353" s="26" t="inlineStr">
        <is>
          <t>Displayed as “1y ago” on October 17, 2026</t>
        </is>
      </c>
      <c r="G353" s="24" t="inlineStr">
        <is>
          <t>Fan-made / non-canon</t>
        </is>
      </c>
      <c r="H353" s="24" t="inlineStr">
        <is>
          <t>AI fan film</t>
        </is>
      </c>
      <c r="I353" s="24" t="inlineStr">
        <is>
          <t>YouTube — Skywalker Stories</t>
        </is>
      </c>
      <c r="J353" s="27">
        <f>HYPERLINK("https://www.youtube.com/watch?v=kzld5M80ZOk","Open")</f>
        <v/>
      </c>
      <c r="K353" s="24" t="inlineStr">
        <is>
          <t>Skywalker Stories. Legends post-Endor continuity; exact placement depends on the referenced novel era. Placement confidence: Medium.</t>
        </is>
      </c>
    </row>
    <row r="354" ht="15.75" customHeight="1" s="23">
      <c r="A354" s="21" t="b">
        <v>0</v>
      </c>
      <c r="B354" s="21" t="inlineStr">
        <is>
          <t>SWS-103</t>
        </is>
      </c>
      <c r="C354" s="14" t="inlineStr">
        <is>
          <t>Skywalker Stories — Legends after Endor</t>
        </is>
      </c>
      <c r="D354" s="24" t="inlineStr">
        <is>
          <t>Tales of the Star Wars Galaxy: Luke Skywalker talks with Anakin and Obi Wan about Mara Jade</t>
        </is>
      </c>
      <c r="E354" s="25" t="inlineStr"/>
      <c r="F354" s="26" t="inlineStr">
        <is>
          <t>Displayed as “2y ago” on October 17, 2026</t>
        </is>
      </c>
      <c r="G354" s="24" t="inlineStr">
        <is>
          <t>Fan-made / non-canon</t>
        </is>
      </c>
      <c r="H354" s="24" t="inlineStr">
        <is>
          <t>AI fan film</t>
        </is>
      </c>
      <c r="I354" s="24" t="inlineStr">
        <is>
          <t>YouTube — Skywalker Stories</t>
        </is>
      </c>
      <c r="J354" s="27">
        <f>HYPERLINK("https://www.youtube.com/watch?v=6knBj2CUYsY","Open")</f>
        <v/>
      </c>
      <c r="K354" s="24" t="inlineStr">
        <is>
          <t>Skywalker Stories. Legends post-Endor continuity; exact placement depends on the referenced novel era. Placement confidence: Medium.</t>
        </is>
      </c>
    </row>
    <row r="355" ht="15.75" customHeight="1" s="23">
      <c r="A355" s="21" t="b">
        <v>0</v>
      </c>
      <c r="B355" s="21" t="inlineStr">
        <is>
          <t>SWS-100</t>
        </is>
      </c>
      <c r="C355" s="14" t="inlineStr">
        <is>
          <t>Skywalker Stories — Legends after Endor</t>
        </is>
      </c>
      <c r="D355" s="24" t="inlineStr">
        <is>
          <t>Tales of the Star Wars Galaxy: Luke teaches Jaina and Jacen Solo</t>
        </is>
      </c>
      <c r="E355" s="25" t="inlineStr"/>
      <c r="F355" s="26" t="inlineStr">
        <is>
          <t>Displayed as “2y ago” on October 17, 2026</t>
        </is>
      </c>
      <c r="G355" s="24" t="inlineStr">
        <is>
          <t>Fan-made / non-canon</t>
        </is>
      </c>
      <c r="H355" s="24" t="inlineStr">
        <is>
          <t>AI fan film</t>
        </is>
      </c>
      <c r="I355" s="24" t="inlineStr">
        <is>
          <t>YouTube — Skywalker Stories</t>
        </is>
      </c>
      <c r="J355" s="27">
        <f>HYPERLINK("https://www.youtube.com/watch?v=Fv4PNUrZqcE","Open")</f>
        <v/>
      </c>
      <c r="K355" s="24" t="inlineStr">
        <is>
          <t>Skywalker Stories. Legends post-Endor continuity; exact placement depends on the referenced novel era. Placement confidence: Medium.</t>
        </is>
      </c>
    </row>
    <row r="356" ht="15.75" customHeight="1" s="23">
      <c r="A356" s="21" t="b">
        <v>0</v>
      </c>
      <c r="B356" s="21" t="inlineStr">
        <is>
          <t>SWS-098</t>
        </is>
      </c>
      <c r="C356" s="14" t="inlineStr">
        <is>
          <t>Skywalker Stories — Legends after Endor</t>
        </is>
      </c>
      <c r="D356" s="24" t="inlineStr">
        <is>
          <t>Tales of the Star Wars Galaxy: Mara Jade confronts Darth Caedus</t>
        </is>
      </c>
      <c r="E356" s="25" t="inlineStr"/>
      <c r="F356" s="26" t="inlineStr">
        <is>
          <t>Displayed as “2y ago” on October 17, 2026</t>
        </is>
      </c>
      <c r="G356" s="24" t="inlineStr">
        <is>
          <t>Fan-made / non-canon</t>
        </is>
      </c>
      <c r="H356" s="24" t="inlineStr">
        <is>
          <t>AI fan film</t>
        </is>
      </c>
      <c r="I356" s="24" t="inlineStr">
        <is>
          <t>YouTube — Skywalker Stories</t>
        </is>
      </c>
      <c r="J356" s="27">
        <f>HYPERLINK("https://www.youtube.com/watch?v=dmJcjy_q1wQ","Open")</f>
        <v/>
      </c>
      <c r="K356" s="24" t="inlineStr">
        <is>
          <t>Skywalker Stories. Legends post-Endor continuity; exact placement depends on the referenced novel era. Placement confidence: Medium.</t>
        </is>
      </c>
    </row>
    <row r="357" ht="15.75" customHeight="1" s="23">
      <c r="A357" s="21" t="b">
        <v>0</v>
      </c>
      <c r="B357" s="21" t="inlineStr">
        <is>
          <t>SWS-040</t>
        </is>
      </c>
      <c r="C357" s="14" t="inlineStr">
        <is>
          <t>Skywalker Stories — Sequel era</t>
        </is>
      </c>
      <c r="D357" s="24" t="inlineStr">
        <is>
          <t>Star Wars: Luke Skywalker’s Guided On Ahch-To By Anakin Skywalker &amp; Obi Wan</t>
        </is>
      </c>
      <c r="E357" s="25" t="inlineStr"/>
      <c r="F357" s="26" t="inlineStr">
        <is>
          <t>Displayed as “1y ago” on October 17, 2026</t>
        </is>
      </c>
      <c r="G357" s="24" t="inlineStr">
        <is>
          <t>Fan-made / non-canon</t>
        </is>
      </c>
      <c r="H357" s="24" t="inlineStr">
        <is>
          <t>AI fan film</t>
        </is>
      </c>
      <c r="I357" s="24" t="inlineStr">
        <is>
          <t>YouTube — Skywalker Stories</t>
        </is>
      </c>
      <c r="J357" s="27">
        <f>HYPERLINK("https://www.youtube.com/watch?v=g9D0_tvFy3I","Open")</f>
        <v/>
      </c>
      <c r="K357" s="24" t="inlineStr">
        <is>
          <t>Skywalker Stories. Around or after Episode VIII: The Last Jedi on Ahch-To. Placement confidence: Medium.</t>
        </is>
      </c>
    </row>
    <row r="358" ht="15.75" customHeight="1" s="23">
      <c r="A358" s="21" t="b">
        <v>0</v>
      </c>
      <c r="B358" s="21" t="inlineStr">
        <is>
          <t>SWS-095</t>
        </is>
      </c>
      <c r="C358" s="14" t="inlineStr">
        <is>
          <t>Skywalker Stories — Sequel era</t>
        </is>
      </c>
      <c r="D358" s="24" t="inlineStr">
        <is>
          <t>Tales of the Star Wars Galaxy: Anakin Guides Kylo Ren to the light</t>
        </is>
      </c>
      <c r="E358" s="25" t="inlineStr"/>
      <c r="F358" s="26" t="inlineStr">
        <is>
          <t>Displayed as “2y ago” on October 17, 2026</t>
        </is>
      </c>
      <c r="G358" s="24" t="inlineStr">
        <is>
          <t>Fan-made / non-canon</t>
        </is>
      </c>
      <c r="H358" s="24" t="inlineStr">
        <is>
          <t>AI fan film</t>
        </is>
      </c>
      <c r="I358" s="24" t="inlineStr">
        <is>
          <t>YouTube — Skywalker Stories</t>
        </is>
      </c>
      <c r="J358" s="27">
        <f>HYPERLINK("https://www.youtube.com/watch?v=uU7otT-VKyw","Open")</f>
        <v/>
      </c>
      <c r="K358" s="24" t="inlineStr">
        <is>
          <t>Skywalker Stories. During the sequel era; alternate intervention in Kylo Ren's path. Placement confidence: Medium.</t>
        </is>
      </c>
    </row>
    <row r="359" ht="15.75" customHeight="1" s="23">
      <c r="A359" s="21" t="b">
        <v>0</v>
      </c>
      <c r="B359" s="21" t="inlineStr">
        <is>
          <t>SWS-047</t>
        </is>
      </c>
      <c r="C359" s="14" t="inlineStr">
        <is>
          <t>Skywalker Stories — cross-era / alternate</t>
        </is>
      </c>
      <c r="D359" s="24" t="inlineStr">
        <is>
          <t>Star Wars - Emperor Palpatine visits Valkorian at the Eternal Throne</t>
        </is>
      </c>
      <c r="E359" s="25" t="inlineStr"/>
      <c r="F359" s="26" t="inlineStr">
        <is>
          <t>Displayed as “1y ago” on October 17, 2026</t>
        </is>
      </c>
      <c r="G359" s="24" t="inlineStr">
        <is>
          <t>Fan-made / non-canon</t>
        </is>
      </c>
      <c r="H359" s="24" t="inlineStr">
        <is>
          <t>AI fan film</t>
        </is>
      </c>
      <c r="I359" s="24" t="inlineStr">
        <is>
          <t>YouTube — Skywalker Stories</t>
        </is>
      </c>
      <c r="J359" s="27">
        <f>HYPERLINK("https://www.youtube.com/watch?v=oCYpjmOaCVs","Open")</f>
        <v/>
      </c>
      <c r="K359" s="24" t="inlineStr">
        <is>
          <t>Skywalker Stories. Cross-era, supernatural, or explicit alternate-timeline story; no single chronological slot. Placement confidence: High.</t>
        </is>
      </c>
    </row>
    <row r="360" ht="15.75" customHeight="1" s="23">
      <c r="A360" s="21" t="b">
        <v>0</v>
      </c>
      <c r="B360" s="21" t="inlineStr">
        <is>
          <t>SWS-050</t>
        </is>
      </c>
      <c r="C360" s="14" t="inlineStr">
        <is>
          <t>Skywalker Stories — cross-era / alternate</t>
        </is>
      </c>
      <c r="D360" s="24" t="inlineStr">
        <is>
          <t>Star Wars - Luke Skywalker encounters Darth Malgus on Korriban</t>
        </is>
      </c>
      <c r="E360" s="25" t="inlineStr"/>
      <c r="F360" s="26" t="inlineStr">
        <is>
          <t>Displayed as “1y ago” on October 17, 2026</t>
        </is>
      </c>
      <c r="G360" s="24" t="inlineStr">
        <is>
          <t>Fan-made / non-canon</t>
        </is>
      </c>
      <c r="H360" s="24" t="inlineStr">
        <is>
          <t>AI fan film</t>
        </is>
      </c>
      <c r="I360" s="24" t="inlineStr">
        <is>
          <t>YouTube — Skywalker Stories</t>
        </is>
      </c>
      <c r="J360" s="27">
        <f>HYPERLINK("https://www.youtube.com/watch?v=av7G29HHMio","Open")</f>
        <v/>
      </c>
      <c r="K360" s="24" t="inlineStr">
        <is>
          <t>Skywalker Stories. Cross-era, supernatural, or explicit alternate-timeline story; no single chronological slot. Placement confidence: High.</t>
        </is>
      </c>
    </row>
    <row r="361" ht="15.75" customHeight="1" s="23">
      <c r="A361" s="21" t="b">
        <v>0</v>
      </c>
      <c r="B361" s="21" t="inlineStr">
        <is>
          <t>SWS-052</t>
        </is>
      </c>
      <c r="C361" s="14" t="inlineStr">
        <is>
          <t>Skywalker Stories — cross-era / alternate</t>
        </is>
      </c>
      <c r="D361" s="24" t="inlineStr">
        <is>
          <t>Star Wars - Revan tells Darth Vader about his prophecy</t>
        </is>
      </c>
      <c r="E361" s="25" t="inlineStr"/>
      <c r="F361" s="26" t="inlineStr">
        <is>
          <t>Displayed as “1y ago” on October 17, 2026</t>
        </is>
      </c>
      <c r="G361" s="24" t="inlineStr">
        <is>
          <t>Fan-made / non-canon</t>
        </is>
      </c>
      <c r="H361" s="24" t="inlineStr">
        <is>
          <t>AI fan film</t>
        </is>
      </c>
      <c r="I361" s="24" t="inlineStr">
        <is>
          <t>YouTube — Skywalker Stories</t>
        </is>
      </c>
      <c r="J361" s="27">
        <f>HYPERLINK("https://www.youtube.com/watch?v=w2I_A3UM344","Open")</f>
        <v/>
      </c>
      <c r="K361" s="24" t="inlineStr">
        <is>
          <t>Skywalker Stories. Cross-era, supernatural, or explicit alternate-timeline story; no single chronological slot. Placement confidence: High.</t>
        </is>
      </c>
    </row>
    <row r="362" ht="15.75" customHeight="1" s="23">
      <c r="A362" s="21" t="b">
        <v>0</v>
      </c>
      <c r="B362" s="21" t="inlineStr">
        <is>
          <t>SWS-017</t>
        </is>
      </c>
      <c r="C362" s="14" t="inlineStr">
        <is>
          <t>Skywalker Stories — cross-era / alternate</t>
        </is>
      </c>
      <c r="D362" s="24" t="inlineStr">
        <is>
          <t>Star Wars: Darth Vader Haunted By Darth Malgus</t>
        </is>
      </c>
      <c r="E362" s="25" t="inlineStr"/>
      <c r="F362" s="26" t="inlineStr">
        <is>
          <t>Displayed as “10mo ago” on October 17, 2026</t>
        </is>
      </c>
      <c r="G362" s="24" t="inlineStr">
        <is>
          <t>Fan-made / non-canon</t>
        </is>
      </c>
      <c r="H362" s="24" t="inlineStr">
        <is>
          <t>AI fan film</t>
        </is>
      </c>
      <c r="I362" s="24" t="inlineStr">
        <is>
          <t>YouTube — Skywalker Stories</t>
        </is>
      </c>
      <c r="J362" s="27">
        <f>HYPERLINK("https://www.youtube.com/watch?v=g3t3ILBQ9TE","Open")</f>
        <v/>
      </c>
      <c r="K362" s="24" t="inlineStr">
        <is>
          <t>Skywalker Stories. Cross-era, supernatural, or explicit alternate-timeline story; no single chronological slot. Placement confidence: High.</t>
        </is>
      </c>
    </row>
    <row r="363" ht="15.75" customHeight="1" s="23">
      <c r="A363" s="21" t="b">
        <v>0</v>
      </c>
      <c r="B363" s="21" t="inlineStr">
        <is>
          <t>SWS-025</t>
        </is>
      </c>
      <c r="C363" s="14" t="inlineStr">
        <is>
          <t>Skywalker Stories — cross-era / alternate</t>
        </is>
      </c>
      <c r="D363" s="24" t="inlineStr">
        <is>
          <t>Star Wars: Luke Skywalker Encounters Darth Bane on Korriban</t>
        </is>
      </c>
      <c r="E363" s="25" t="inlineStr"/>
      <c r="F363" s="26" t="inlineStr">
        <is>
          <t>Displayed as “1y ago” on October 17, 2026</t>
        </is>
      </c>
      <c r="G363" s="24" t="inlineStr">
        <is>
          <t>Fan-made / non-canon</t>
        </is>
      </c>
      <c r="H363" s="24" t="inlineStr">
        <is>
          <t>AI fan film</t>
        </is>
      </c>
      <c r="I363" s="24" t="inlineStr">
        <is>
          <t>YouTube — Skywalker Stories</t>
        </is>
      </c>
      <c r="J363" s="27">
        <f>HYPERLINK("https://www.youtube.com/watch?v=0CIi-_LgeeE","Open")</f>
        <v/>
      </c>
      <c r="K363" s="24" t="inlineStr">
        <is>
          <t>Skywalker Stories. Cross-era, supernatural, or explicit alternate-timeline story; no single chronological slot. Placement confidence: High.</t>
        </is>
      </c>
    </row>
    <row r="364" ht="15.75" customHeight="1" s="23">
      <c r="A364" s="21" t="b">
        <v>0</v>
      </c>
      <c r="B364" s="21" t="inlineStr">
        <is>
          <t>SWS-105</t>
        </is>
      </c>
      <c r="C364" s="14" t="inlineStr">
        <is>
          <t>Skywalker Stories — cross-era / alternate</t>
        </is>
      </c>
      <c r="D364" s="24" t="inlineStr">
        <is>
          <t>Tales of the Sith: Vader Trains Grogu | Trailer</t>
        </is>
      </c>
      <c r="E364" s="25" t="inlineStr"/>
      <c r="F364" s="26" t="inlineStr">
        <is>
          <t>Displayed as “2y ago” on October 17, 2026</t>
        </is>
      </c>
      <c r="G364" s="24" t="inlineStr">
        <is>
          <t>Fan-made / non-canon</t>
        </is>
      </c>
      <c r="H364" s="24" t="inlineStr">
        <is>
          <t>AI fan film</t>
        </is>
      </c>
      <c r="I364" s="24" t="inlineStr">
        <is>
          <t>YouTube — Skywalker Stories</t>
        </is>
      </c>
      <c r="J364" s="27">
        <f>HYPERLINK("https://www.youtube.com/watch?v=T2SZXiq-pkk","Open")</f>
        <v/>
      </c>
      <c r="K364" s="24" t="inlineStr">
        <is>
          <t>Skywalker Stories. Cross-era, supernatural, or explicit alternate-timeline story; no single chronological slot. Placement confidence: High.</t>
        </is>
      </c>
    </row>
    <row r="365" ht="15.75" customHeight="1" s="23">
      <c r="A365" s="21" t="b">
        <v>0</v>
      </c>
      <c r="B365" s="21" t="inlineStr">
        <is>
          <t>SWS-092</t>
        </is>
      </c>
      <c r="C365" s="14" t="inlineStr">
        <is>
          <t>Skywalker Stories — cross-era / alternate</t>
        </is>
      </c>
      <c r="D365" s="24" t="inlineStr">
        <is>
          <t>Tales of the Star Wars Galaxy: Anakin Skywalker haunted by Malgus, Plageuis, Dooku, and Maul</t>
        </is>
      </c>
      <c r="E365" s="25" t="inlineStr"/>
      <c r="F365" s="26" t="inlineStr">
        <is>
          <t>Displayed as “2y ago” on October 17, 2026</t>
        </is>
      </c>
      <c r="G365" s="24" t="inlineStr">
        <is>
          <t>Fan-made / non-canon</t>
        </is>
      </c>
      <c r="H365" s="24" t="inlineStr">
        <is>
          <t>AI fan film</t>
        </is>
      </c>
      <c r="I365" s="24" t="inlineStr">
        <is>
          <t>YouTube — Skywalker Stories</t>
        </is>
      </c>
      <c r="J365" s="27">
        <f>HYPERLINK("https://www.youtube.com/watch?v=xengx0IeZMs","Open")</f>
        <v/>
      </c>
      <c r="K365" s="24" t="inlineStr">
        <is>
          <t>Skywalker Stories. Cross-era, supernatural, or explicit alternate-timeline story; no single chronological slot. Placement confidence: High.</t>
        </is>
      </c>
    </row>
    <row r="366" ht="15.75" customHeight="1" s="23">
      <c r="A366" s="21" t="b">
        <v>0</v>
      </c>
      <c r="B366" s="21" t="inlineStr">
        <is>
          <t>SWS-070</t>
        </is>
      </c>
      <c r="C366" s="14" t="inlineStr">
        <is>
          <t>Skywalker Stories — cross-era / alternate</t>
        </is>
      </c>
      <c r="D366" s="24" t="inlineStr">
        <is>
          <t>Tales of the Star Wars Galaxy: Baylan Skoll speaks to Revan on Peridia</t>
        </is>
      </c>
      <c r="E366" s="25" t="inlineStr"/>
      <c r="F366" s="26" t="inlineStr">
        <is>
          <t>Displayed as “1y ago” on October 17, 2026</t>
        </is>
      </c>
      <c r="G366" s="24" t="inlineStr">
        <is>
          <t>Fan-made / non-canon</t>
        </is>
      </c>
      <c r="H366" s="24" t="inlineStr">
        <is>
          <t>AI fan film</t>
        </is>
      </c>
      <c r="I366" s="24" t="inlineStr">
        <is>
          <t>YouTube — Skywalker Stories</t>
        </is>
      </c>
      <c r="J366" s="27">
        <f>HYPERLINK("https://www.youtube.com/watch?v=k8JgI6cSyQk","Open")</f>
        <v/>
      </c>
      <c r="K366" s="24" t="inlineStr">
        <is>
          <t>Skywalker Stories. Ahsoka-era Baylan encounters ancient Revan on Peridia; supernatural cross-era story. Placement confidence: Medium.</t>
        </is>
      </c>
    </row>
    <row r="367" ht="15.75" customHeight="1" s="23">
      <c r="A367" s="21" t="b">
        <v>0</v>
      </c>
      <c r="B367" s="21" t="inlineStr">
        <is>
          <t>SWS-082</t>
        </is>
      </c>
      <c r="C367" s="14" t="inlineStr">
        <is>
          <t>Skywalker Stories — cross-era / alternate</t>
        </is>
      </c>
      <c r="D367" s="24" t="inlineStr">
        <is>
          <t>Tales of the Star Wars Galaxy: Darth Sidious speaks with Emperor Vitiate at the Eternal Throne</t>
        </is>
      </c>
      <c r="E367" s="25" t="inlineStr"/>
      <c r="F367" s="26" t="inlineStr">
        <is>
          <t>Displayed as “1y ago” on October 17, 2026</t>
        </is>
      </c>
      <c r="G367" s="24" t="inlineStr">
        <is>
          <t>Fan-made / non-canon</t>
        </is>
      </c>
      <c r="H367" s="24" t="inlineStr">
        <is>
          <t>AI fan film</t>
        </is>
      </c>
      <c r="I367" s="24" t="inlineStr">
        <is>
          <t>YouTube — Skywalker Stories</t>
        </is>
      </c>
      <c r="J367" s="27">
        <f>HYPERLINK("https://www.youtube.com/watch?v=S9VcgL-iz3A","Open")</f>
        <v/>
      </c>
      <c r="K367" s="24" t="inlineStr">
        <is>
          <t>Skywalker Stories. Cross-era, supernatural, or explicit alternate-timeline story; no single chronological slot. Placement confidence: High.</t>
        </is>
      </c>
    </row>
    <row r="368" ht="15.75" customHeight="1" s="23">
      <c r="A368" s="21" t="b">
        <v>0</v>
      </c>
      <c r="B368" s="21" t="inlineStr">
        <is>
          <t>SWS-088</t>
        </is>
      </c>
      <c r="C368" s="14" t="inlineStr">
        <is>
          <t>Skywalker Stories — cross-era / alternate</t>
        </is>
      </c>
      <c r="D368" s="24" t="inlineStr">
        <is>
          <t>Tales of the Star Wars Galaxy: Darth Sidious talks to Darth Bane about the Rule of Two</t>
        </is>
      </c>
      <c r="E368" s="25" t="inlineStr"/>
      <c r="F368" s="26" t="inlineStr">
        <is>
          <t>Displayed as “1y ago” on October 17, 2026</t>
        </is>
      </c>
      <c r="G368" s="24" t="inlineStr">
        <is>
          <t>Fan-made / non-canon</t>
        </is>
      </c>
      <c r="H368" s="24" t="inlineStr">
        <is>
          <t>AI fan film</t>
        </is>
      </c>
      <c r="I368" s="24" t="inlineStr">
        <is>
          <t>YouTube — Skywalker Stories</t>
        </is>
      </c>
      <c r="J368" s="27">
        <f>HYPERLINK("https://www.youtube.com/watch?v=cGpc6ri4jhs","Open")</f>
        <v/>
      </c>
      <c r="K368" s="24" t="inlineStr">
        <is>
          <t>Skywalker Stories. Cross-era, supernatural, or explicit alternate-timeline story; no single chronological slot. Placement confidence: High.</t>
        </is>
      </c>
    </row>
    <row r="369" ht="15.75" customHeight="1" s="23">
      <c r="A369" s="21" t="b">
        <v>0</v>
      </c>
      <c r="B369" s="21" t="inlineStr">
        <is>
          <t>SWS-071</t>
        </is>
      </c>
      <c r="C369" s="14" t="inlineStr">
        <is>
          <t>Skywalker Stories — cross-era / alternate</t>
        </is>
      </c>
      <c r="D369" s="24" t="inlineStr">
        <is>
          <t>Tales of the Star Wars Galaxy: Darth Vader and Palpatine talk about Kreia &amp; Revan</t>
        </is>
      </c>
      <c r="E369" s="25" t="inlineStr"/>
      <c r="F369" s="26" t="inlineStr">
        <is>
          <t>Displayed as “1y ago” on October 17, 2026</t>
        </is>
      </c>
      <c r="G369" s="24" t="inlineStr">
        <is>
          <t>Fan-made / non-canon</t>
        </is>
      </c>
      <c r="H369" s="24" t="inlineStr">
        <is>
          <t>AI fan film</t>
        </is>
      </c>
      <c r="I369" s="24" t="inlineStr">
        <is>
          <t>YouTube — Skywalker Stories</t>
        </is>
      </c>
      <c r="J369" s="27">
        <f>HYPERLINK("https://www.youtube.com/watch?v=xGto5HgOhNA","Open")</f>
        <v/>
      </c>
      <c r="K369" s="24" t="inlineStr">
        <is>
          <t>Skywalker Stories. Cross-era, supernatural, or explicit alternate-timeline story; no single chronological slot. Placement confidence: High.</t>
        </is>
      </c>
    </row>
    <row r="370" ht="15.75" customHeight="1" s="23">
      <c r="A370" s="21" t="b">
        <v>0</v>
      </c>
      <c r="B370" s="21" t="inlineStr">
        <is>
          <t>SWS-080</t>
        </is>
      </c>
      <c r="C370" s="14" t="inlineStr">
        <is>
          <t>Skywalker Stories — cross-era / alternate</t>
        </is>
      </c>
      <c r="D370" s="24" t="inlineStr">
        <is>
          <t>Tales of the Star Wars Galaxy: Darth Vader encounters Kratos The God of War</t>
        </is>
      </c>
      <c r="E370" s="25" t="inlineStr"/>
      <c r="F370" s="26" t="inlineStr">
        <is>
          <t>Displayed as “1y ago” on October 17, 2026</t>
        </is>
      </c>
      <c r="G370" s="24" t="inlineStr">
        <is>
          <t>Fan-made / non-canon</t>
        </is>
      </c>
      <c r="H370" s="24" t="inlineStr">
        <is>
          <t>AI fan film</t>
        </is>
      </c>
      <c r="I370" s="24" t="inlineStr">
        <is>
          <t>YouTube — Skywalker Stories</t>
        </is>
      </c>
      <c r="J370" s="27">
        <f>HYPERLINK("https://www.youtube.com/watch?v=dnVJFhk8tJA","Open")</f>
        <v/>
      </c>
      <c r="K370" s="24" t="inlineStr">
        <is>
          <t>Skywalker Stories. Cross-era, supernatural, or explicit alternate-timeline story; no single chronological slot. Placement confidence: High.</t>
        </is>
      </c>
    </row>
    <row r="371" ht="15.75" customHeight="1" s="23">
      <c r="A371" s="21" t="b">
        <v>0</v>
      </c>
      <c r="B371" s="21" t="inlineStr">
        <is>
          <t>SWS-084</t>
        </is>
      </c>
      <c r="C371" s="14" t="inlineStr">
        <is>
          <t>Skywalker Stories — cross-era / alternate</t>
        </is>
      </c>
      <c r="D371" s="24" t="inlineStr">
        <is>
          <t>Tales of the Star Wars Galaxy: Darth Vader talks to Darth Malgus</t>
        </is>
      </c>
      <c r="E371" s="25" t="inlineStr"/>
      <c r="F371" s="26" t="inlineStr">
        <is>
          <t>Displayed as “1y ago” on October 17, 2026</t>
        </is>
      </c>
      <c r="G371" s="24" t="inlineStr">
        <is>
          <t>Fan-made / non-canon</t>
        </is>
      </c>
      <c r="H371" s="24" t="inlineStr">
        <is>
          <t>AI fan film</t>
        </is>
      </c>
      <c r="I371" s="24" t="inlineStr">
        <is>
          <t>YouTube — Skywalker Stories</t>
        </is>
      </c>
      <c r="J371" s="27">
        <f>HYPERLINK("https://www.youtube.com/watch?v=VWC4qE3jCr0","Open")</f>
        <v/>
      </c>
      <c r="K371" s="24" t="inlineStr">
        <is>
          <t>Skywalker Stories. Cross-era, supernatural, or explicit alternate-timeline story; no single chronological slot. Placement confidence: High.</t>
        </is>
      </c>
    </row>
    <row r="372" ht="15.75" customHeight="1" s="23">
      <c r="A372" s="21" t="b">
        <v>0</v>
      </c>
      <c r="B372" s="21" t="inlineStr">
        <is>
          <t>SWS-096</t>
        </is>
      </c>
      <c r="C372" s="14" t="inlineStr">
        <is>
          <t>Skywalker Stories — cross-era / alternate</t>
        </is>
      </c>
      <c r="D372" s="24" t="inlineStr">
        <is>
          <t>Tales of the Star Wars Galaxy: Galen Marek goes to Luke Skywalker's Jedi Academy</t>
        </is>
      </c>
      <c r="E372" s="25" t="inlineStr"/>
      <c r="F372" s="26" t="inlineStr">
        <is>
          <t>Displayed as “2y ago” on October 17, 2026</t>
        </is>
      </c>
      <c r="G372" s="24" t="inlineStr">
        <is>
          <t>Fan-made / non-canon</t>
        </is>
      </c>
      <c r="H372" s="24" t="inlineStr">
        <is>
          <t>AI fan film</t>
        </is>
      </c>
      <c r="I372" s="24" t="inlineStr">
        <is>
          <t>YouTube — Skywalker Stories</t>
        </is>
      </c>
      <c r="J372" s="27">
        <f>HYPERLINK("https://www.youtube.com/watch?v=Rafz13QPvL4","Open")</f>
        <v/>
      </c>
      <c r="K372" s="24" t="inlineStr">
        <is>
          <t>Skywalker Stories. Cross-era, supernatural, or explicit alternate-timeline story; no single chronological slot. Placement confidence: High.</t>
        </is>
      </c>
    </row>
    <row r="373" ht="15.75" customHeight="1" s="23">
      <c r="A373" s="21" t="b">
        <v>0</v>
      </c>
      <c r="B373" s="21" t="inlineStr">
        <is>
          <t>SWS-079</t>
        </is>
      </c>
      <c r="C373" s="14" t="inlineStr">
        <is>
          <t>Skywalker Stories — cross-era / alternate</t>
        </is>
      </c>
      <c r="D373" s="24" t="inlineStr">
        <is>
          <t>Tales of the Star Wars Galaxy: Luke Skywalker talks to Darth Malak about Jacen &amp; Anakin &amp; the Jedi</t>
        </is>
      </c>
      <c r="E373" s="25" t="inlineStr"/>
      <c r="F373" s="26" t="inlineStr">
        <is>
          <t>Displayed as “1y ago” on October 17, 2026</t>
        </is>
      </c>
      <c r="G373" s="24" t="inlineStr">
        <is>
          <t>Fan-made / non-canon</t>
        </is>
      </c>
      <c r="H373" s="24" t="inlineStr">
        <is>
          <t>AI fan film</t>
        </is>
      </c>
      <c r="I373" s="24" t="inlineStr">
        <is>
          <t>YouTube — Skywalker Stories</t>
        </is>
      </c>
      <c r="J373" s="27">
        <f>HYPERLINK("https://www.youtube.com/watch?v=DRZs5fHKh5E","Open")</f>
        <v/>
      </c>
      <c r="K373" s="24" t="inlineStr">
        <is>
          <t>Skywalker Stories. Cross-era encounter involving Old Republic-era Darth Malak; no single chronological slot. Placement confidence: High.</t>
        </is>
      </c>
    </row>
    <row r="374" ht="15.75" customHeight="1" s="23">
      <c r="A374" s="21" t="b">
        <v>0</v>
      </c>
      <c r="B374" s="21" t="inlineStr">
        <is>
          <t>SWS-097</t>
        </is>
      </c>
      <c r="C374" s="14" t="inlineStr">
        <is>
          <t>Skywalker Stories — cross-era / alternate</t>
        </is>
      </c>
      <c r="D374" s="24" t="inlineStr">
        <is>
          <t>Tales of the Star Wars Galaxy: Luke Skywalker talks with Darth Malgus about light and dark side</t>
        </is>
      </c>
      <c r="E374" s="25" t="inlineStr"/>
      <c r="F374" s="26" t="inlineStr">
        <is>
          <t>Displayed as “2y ago” on October 17, 2026</t>
        </is>
      </c>
      <c r="G374" s="24" t="inlineStr">
        <is>
          <t>Fan-made / non-canon</t>
        </is>
      </c>
      <c r="H374" s="24" t="inlineStr">
        <is>
          <t>AI fan film</t>
        </is>
      </c>
      <c r="I374" s="24" t="inlineStr">
        <is>
          <t>YouTube — Skywalker Stories</t>
        </is>
      </c>
      <c r="J374" s="27">
        <f>HYPERLINK("https://www.youtube.com/watch?v=RIQcHby3Zmg","Open")</f>
        <v/>
      </c>
      <c r="K374" s="24" t="inlineStr">
        <is>
          <t>Skywalker Stories. Cross-era, supernatural, or explicit alternate-timeline story; no single chronological slot. Placement confidence: High.</t>
        </is>
      </c>
    </row>
    <row r="375" ht="15.75" customHeight="1" s="23">
      <c r="A375" s="21" t="b">
        <v>0</v>
      </c>
      <c r="B375" s="21" t="inlineStr">
        <is>
          <t>SWS-074</t>
        </is>
      </c>
      <c r="C375" s="14" t="inlineStr">
        <is>
          <t>Skywalker Stories — cross-era / alternate</t>
        </is>
      </c>
      <c r="D375" s="24" t="inlineStr">
        <is>
          <t>Tales of the Star Wars Galaxy: Revan and Kreia return to put an end to the Jedi and Sith</t>
        </is>
      </c>
      <c r="E375" s="25" t="inlineStr"/>
      <c r="F375" s="26" t="inlineStr">
        <is>
          <t>Displayed as “1y ago” on October 17, 2026</t>
        </is>
      </c>
      <c r="G375" s="24" t="inlineStr">
        <is>
          <t>Fan-made / non-canon</t>
        </is>
      </c>
      <c r="H375" s="24" t="inlineStr">
        <is>
          <t>AI fan film</t>
        </is>
      </c>
      <c r="I375" s="24" t="inlineStr">
        <is>
          <t>YouTube — Skywalker Stories</t>
        </is>
      </c>
      <c r="J375" s="27">
        <f>HYPERLINK("https://www.youtube.com/watch?v=mEbk66ORV4Q","Open")</f>
        <v/>
      </c>
      <c r="K375" s="24" t="inlineStr">
        <is>
          <t>Skywalker Stories. Cross-era, supernatural, or explicit alternate-timeline story; no single chronological slot. Placement confidence: High.</t>
        </is>
      </c>
    </row>
    <row r="376" ht="15.75" customHeight="1" s="23">
      <c r="A376" s="21" t="b">
        <v>0</v>
      </c>
      <c r="B376" s="21" t="inlineStr">
        <is>
          <t>SWS-075</t>
        </is>
      </c>
      <c r="C376" s="14" t="inlineStr">
        <is>
          <t>Skywalker Stories — cross-era / alternate</t>
        </is>
      </c>
      <c r="D376" s="24" t="inlineStr">
        <is>
          <t>Tales of the Star Wars Galaxy: Revan speaks to Anakin Skywalker</t>
        </is>
      </c>
      <c r="E376" s="25" t="inlineStr"/>
      <c r="F376" s="26" t="inlineStr">
        <is>
          <t>Displayed as “1y ago” on October 17, 2026</t>
        </is>
      </c>
      <c r="G376" s="24" t="inlineStr">
        <is>
          <t>Fan-made / non-canon</t>
        </is>
      </c>
      <c r="H376" s="24" t="inlineStr">
        <is>
          <t>AI fan film</t>
        </is>
      </c>
      <c r="I376" s="24" t="inlineStr">
        <is>
          <t>YouTube — Skywalker Stories</t>
        </is>
      </c>
      <c r="J376" s="27">
        <f>HYPERLINK("https://www.youtube.com/watch?v=nZthNkzavmI","Open")</f>
        <v/>
      </c>
      <c r="K376" s="24" t="inlineStr">
        <is>
          <t>Skywalker Stories. Cross-era, supernatural, or explicit alternate-timeline story; no single chronological slot. Placement confidence: High.</t>
        </is>
      </c>
    </row>
    <row r="377" ht="15.75" customHeight="1" s="23">
      <c r="A377" s="21" t="b">
        <v>0</v>
      </c>
      <c r="B377" s="21" t="inlineStr">
        <is>
          <t>SWS-076</t>
        </is>
      </c>
      <c r="C377" s="14" t="inlineStr">
        <is>
          <t>Skywalker Stories — cross-era / alternate</t>
        </is>
      </c>
      <c r="D377" s="24" t="inlineStr">
        <is>
          <t>Tales of the Star Wars Galaxy: Revan speaks to Luke Skywalker</t>
        </is>
      </c>
      <c r="E377" s="25" t="inlineStr"/>
      <c r="F377" s="26" t="inlineStr">
        <is>
          <t>Displayed as “1y ago” on October 17, 2026</t>
        </is>
      </c>
      <c r="G377" s="24" t="inlineStr">
        <is>
          <t>Fan-made / non-canon</t>
        </is>
      </c>
      <c r="H377" s="24" t="inlineStr">
        <is>
          <t>AI fan film</t>
        </is>
      </c>
      <c r="I377" s="24" t="inlineStr">
        <is>
          <t>YouTube — Skywalker Stories</t>
        </is>
      </c>
      <c r="J377" s="27">
        <f>HYPERLINK("https://www.youtube.com/watch?v=l2OOAn-wAoQ","Open")</f>
        <v/>
      </c>
      <c r="K377" s="24" t="inlineStr">
        <is>
          <t>Skywalker Stories. Cross-era, supernatural, or explicit alternate-timeline story; no single chronological slot. Placement confidence: High.</t>
        </is>
      </c>
    </row>
    <row r="378" ht="15.75" customHeight="1" s="23">
      <c r="A378" s="21" t="b">
        <v>0</v>
      </c>
      <c r="B378" s="21" t="inlineStr">
        <is>
          <t>SWS-081</t>
        </is>
      </c>
      <c r="C378" s="14" t="inlineStr">
        <is>
          <t>Skywalker Stories — cross-era / alternate</t>
        </is>
      </c>
      <c r="D378" s="24" t="inlineStr">
        <is>
          <t>Tales of the Star Wars Galaxy: What if Luke Skywalker joined Palpatine after ROTJ</t>
        </is>
      </c>
      <c r="E378" s="25" t="inlineStr"/>
      <c r="F378" s="26" t="inlineStr">
        <is>
          <t>Displayed as “1y ago” on October 17, 2026</t>
        </is>
      </c>
      <c r="G378" s="24" t="inlineStr">
        <is>
          <t>Fan-made / non-canon</t>
        </is>
      </c>
      <c r="H378" s="24" t="inlineStr">
        <is>
          <t>AI fan film</t>
        </is>
      </c>
      <c r="I378" s="24" t="inlineStr">
        <is>
          <t>YouTube — Skywalker Stories</t>
        </is>
      </c>
      <c r="J378" s="27">
        <f>HYPERLINK("https://www.youtube.com/watch?v=Il4K_E0_JrE","Open")</f>
        <v/>
      </c>
      <c r="K378" s="24" t="inlineStr">
        <is>
          <t>Skywalker Stories. Cross-era, supernatural, or explicit alternate-timeline story; no single chronological slot. Placement confidence: High.</t>
        </is>
      </c>
    </row>
    <row r="379" ht="15.75" customHeight="1" s="23">
      <c r="A379" s="21" t="b">
        <v>0</v>
      </c>
      <c r="B379" s="21" t="inlineStr">
        <is>
          <t>SWS-089</t>
        </is>
      </c>
      <c r="C379" s="14" t="inlineStr">
        <is>
          <t>Skywalker Stories — cross-era / alternate</t>
        </is>
      </c>
      <c r="D379" s="24" t="inlineStr">
        <is>
          <t>Tales of the Star Wars Galaxy: Luke Skywalker talks with Qui Gon Jinn about Anakin</t>
        </is>
      </c>
      <c r="E379" s="25" t="inlineStr"/>
      <c r="F379" s="26" t="inlineStr">
        <is>
          <t>Displayed as “1y ago” on October 17, 2026</t>
        </is>
      </c>
      <c r="G379" s="24" t="inlineStr">
        <is>
          <t>Fan-made / non-canon</t>
        </is>
      </c>
      <c r="H379" s="24" t="inlineStr">
        <is>
          <t>AI fan film</t>
        </is>
      </c>
      <c r="I379" s="24" t="inlineStr">
        <is>
          <t>YouTube — Skywalker Stories</t>
        </is>
      </c>
      <c r="J379" s="27">
        <f>HYPERLINK("https://www.youtube.com/watch?v=Y09l09kIdcY","Open")</f>
        <v/>
      </c>
      <c r="K379" s="24" t="inlineStr">
        <is>
          <t>Skywalker Stories. Force-ghost conversation; the video's exact present-day anchor is unclear. Placement confidence: Low.</t>
        </is>
      </c>
    </row>
    <row r="380" ht="15.75" customHeight="1" s="23">
      <c r="A380" s="21" t="b">
        <v>0</v>
      </c>
      <c r="B380" s="21" t="inlineStr">
        <is>
          <t>SWS-066</t>
        </is>
      </c>
      <c r="C380" s="14" t="inlineStr">
        <is>
          <t>Skywalker Stories — cross-era / alternate</t>
        </is>
      </c>
      <c r="D380" s="24" t="inlineStr">
        <is>
          <t>Tales of the Star Wars Galaxy: Qui Gon Jinn and Obi Wan Kenobi commune on Tatooine</t>
        </is>
      </c>
      <c r="E380" s="25" t="inlineStr"/>
      <c r="F380" s="26" t="inlineStr">
        <is>
          <t>Displayed as “1y ago” on October 17, 2026</t>
        </is>
      </c>
      <c r="G380" s="24" t="inlineStr">
        <is>
          <t>Fan-made / non-canon</t>
        </is>
      </c>
      <c r="H380" s="24" t="inlineStr">
        <is>
          <t>AI fan film</t>
        </is>
      </c>
      <c r="I380" s="24" t="inlineStr">
        <is>
          <t>YouTube — Skywalker Stories</t>
        </is>
      </c>
      <c r="J380" s="27">
        <f>HYPERLINK("https://www.youtube.com/watch?v=hHppPkcVXlE","Open")</f>
        <v/>
      </c>
      <c r="K380" s="24" t="inlineStr">
        <is>
          <t>Skywalker Stories. Force-ghost conversation; the video's exact present-day anchor is unclear. Placement confidence: Low.</t>
        </is>
      </c>
    </row>
    <row r="381" ht="15.75" customHeight="1" s="23">
      <c r="A381" s="21" t="b">
        <v>0</v>
      </c>
      <c r="B381" s="21" t="inlineStr">
        <is>
          <t>SWS-072</t>
        </is>
      </c>
      <c r="C381" s="14" t="inlineStr">
        <is>
          <t>Skywalker Stories — cross-era / alternate</t>
        </is>
      </c>
      <c r="D381" s="24" t="inlineStr">
        <is>
          <t>Tales of the Star Wars Galaxy: Yoda and Qui Gon Jinn talk about Luke Skywalker</t>
        </is>
      </c>
      <c r="E381" s="25" t="inlineStr"/>
      <c r="F381" s="26" t="inlineStr">
        <is>
          <t>Displayed as “1y ago” on October 17, 2026</t>
        </is>
      </c>
      <c r="G381" s="24" t="inlineStr">
        <is>
          <t>Fan-made / non-canon</t>
        </is>
      </c>
      <c r="H381" s="24" t="inlineStr">
        <is>
          <t>AI fan film</t>
        </is>
      </c>
      <c r="I381" s="24" t="inlineStr">
        <is>
          <t>YouTube — Skywalker Stories</t>
        </is>
      </c>
      <c r="J381" s="27">
        <f>HYPERLINK("https://www.youtube.com/watch?v=2nNCOVm_ILU","Open")</f>
        <v/>
      </c>
      <c r="K381" s="24" t="inlineStr">
        <is>
          <t>Skywalker Stories. Force-ghost conversation; the video's exact present-day anchor is unclear. Placement confidence: Low.</t>
        </is>
      </c>
    </row>
    <row r="382" ht="15.75" customHeight="1" s="23">
      <c r="A382" s="21" t="b">
        <v>0</v>
      </c>
      <c r="B382" s="21" t="inlineStr">
        <is>
          <t>SWS-073</t>
        </is>
      </c>
      <c r="C382" s="14" t="inlineStr">
        <is>
          <t>Skywalker Stories — presentation / no timeline</t>
        </is>
      </c>
      <c r="D382" s="24" t="inlineStr">
        <is>
          <t>Fixed Darth Vader's voice in Star Wars Outlaws with James Earl Jones</t>
        </is>
      </c>
      <c r="E382" s="25" t="inlineStr"/>
      <c r="F382" s="26" t="inlineStr">
        <is>
          <t>Displayed as “1y ago” on October 17, 2026</t>
        </is>
      </c>
      <c r="G382" s="24" t="inlineStr">
        <is>
          <t>Fan-made / non-canon</t>
        </is>
      </c>
      <c r="H382" s="24" t="inlineStr">
        <is>
          <t>AI fan film</t>
        </is>
      </c>
      <c r="I382" s="24" t="inlineStr">
        <is>
          <t>YouTube — Skywalker Stories</t>
        </is>
      </c>
      <c r="J382" s="27">
        <f>HYPERLINK("https://www.youtube.com/watch?v=mrC79lZkwR4","Open")</f>
        <v/>
      </c>
      <c r="K382" s="24" t="inlineStr">
        <is>
          <t>Skywalker Stories. Presentation edit of Star Wars Outlaws; no separate story placement. Placement confidence: High.</t>
        </is>
      </c>
    </row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autoFilter ref="A6:K382"/>
  <conditionalFormatting sqref="A7:K382">
    <cfRule type="expression" priority="1" dxfId="0" stopIfTrue="1">
      <formula>$A7=TRUE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1F2937"/>
    <outlinePr summaryBelow="1" summaryRight="1"/>
    <pageSetUpPr/>
  </sheetPr>
  <dimension ref="A1:G38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" customHeight="1" outlineLevelCol="0"/>
  <cols>
    <col width="8" customWidth="1" style="23" min="1" max="1"/>
    <col width="16" customWidth="1" style="23" min="2" max="2"/>
    <col width="34" customWidth="1" style="23" min="3" max="3"/>
    <col width="22" customWidth="1" style="23" min="4" max="4"/>
    <col width="30" customWidth="1" style="23" min="5" max="5"/>
    <col width="18" customWidth="1" style="23" min="6" max="6"/>
    <col width="24" customWidth="1" style="23" min="7" max="7"/>
    <col width="8.630000000000001" customWidth="1" style="23" min="8" max="26"/>
  </cols>
  <sheetData>
    <row r="1">
      <c r="A1" s="4" t="n"/>
      <c r="B1" s="4" t="n"/>
      <c r="C1" s="4" t="n"/>
      <c r="D1" s="4" t="n"/>
      <c r="E1" s="4" t="n"/>
      <c r="F1" s="4" t="n"/>
      <c r="G1" s="4" t="n"/>
    </row>
    <row r="2">
      <c r="A2" s="2" t="inlineStr">
        <is>
          <t>Forces of Destiny Checklist</t>
        </is>
      </c>
      <c r="B2" s="4" t="n"/>
      <c r="C2" s="4" t="n"/>
      <c r="D2" s="4" t="n"/>
      <c r="E2" s="4" t="n"/>
      <c r="F2" s="4" t="n"/>
      <c r="G2" s="4" t="n"/>
    </row>
    <row r="3">
      <c r="A3" s="5" t="inlineStr">
        <is>
          <t>All 32 canon shorts placed by story era; release order is not chronological</t>
        </is>
      </c>
      <c r="B3" s="4" t="n"/>
      <c r="C3" s="4" t="n"/>
      <c r="D3" s="4" t="n"/>
      <c r="E3" s="4" t="n"/>
      <c r="F3" s="4" t="n"/>
      <c r="G3" s="4" t="n"/>
    </row>
    <row r="4">
      <c r="A4" s="7" t="inlineStr">
        <is>
          <t>Completed</t>
        </is>
      </c>
      <c r="B4" s="7">
        <f>COUNTIF(A7:A38,TRUE)</f>
        <v/>
      </c>
      <c r="C4" s="7" t="inlineStr">
        <is>
          <t>Total</t>
        </is>
      </c>
      <c r="D4" s="7">
        <f>COUNTA(C7:C38)</f>
        <v/>
      </c>
      <c r="E4" s="7" t="inlineStr">
        <is>
          <t>Progress</t>
        </is>
      </c>
      <c r="F4" s="8">
        <f>IF(D4=0,0,B4/D4)</f>
        <v/>
      </c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12" t="inlineStr">
        <is>
          <t>Done</t>
        </is>
      </c>
      <c r="B6" s="12" t="inlineStr">
        <is>
          <t>Chronological #</t>
        </is>
      </c>
      <c r="C6" s="12" t="inlineStr">
        <is>
          <t>Short</t>
        </is>
      </c>
      <c r="D6" s="12" t="inlineStr">
        <is>
          <t>Era</t>
        </is>
      </c>
      <c r="E6" s="12" t="inlineStr">
        <is>
          <t>Story placement</t>
        </is>
      </c>
      <c r="F6" s="12" t="inlineStr">
        <is>
          <t>Original release</t>
        </is>
      </c>
      <c r="G6" s="12" t="inlineStr">
        <is>
          <t>Watch on</t>
        </is>
      </c>
    </row>
    <row r="7" ht="30" customHeight="1" s="23">
      <c r="A7" s="21" t="b">
        <v>0</v>
      </c>
      <c r="B7" s="21" t="n">
        <v>1</v>
      </c>
      <c r="C7" s="14" t="inlineStr">
        <is>
          <t>Monster Misunderstanding</t>
        </is>
      </c>
      <c r="D7" s="14" t="inlineStr">
        <is>
          <t>Fall of the Jedi</t>
        </is>
      </c>
      <c r="E7" s="14" t="inlineStr">
        <is>
          <t>After The Phantom Menace</t>
        </is>
      </c>
      <c r="F7" s="14" t="inlineStr">
        <is>
          <t>May 4, 2018</t>
        </is>
      </c>
      <c r="G7" s="14" t="inlineStr">
        <is>
          <t>Disney+ / official YouTube</t>
        </is>
      </c>
    </row>
    <row r="8" ht="30" customHeight="1" s="23">
      <c r="A8" s="21" t="b">
        <v>0</v>
      </c>
      <c r="B8" s="21" t="n">
        <v>2</v>
      </c>
      <c r="C8" s="14" t="inlineStr">
        <is>
          <t>The Padawan Path</t>
        </is>
      </c>
      <c r="D8" s="14" t="inlineStr">
        <is>
          <t>Fall of the Jedi</t>
        </is>
      </c>
      <c r="E8" s="14" t="inlineStr">
        <is>
          <t>During The Clone Wars</t>
        </is>
      </c>
      <c r="F8" s="14" t="inlineStr">
        <is>
          <t>July 6, 2017</t>
        </is>
      </c>
      <c r="G8" s="14" t="inlineStr">
        <is>
          <t>Disney+ / official YouTube</t>
        </is>
      </c>
    </row>
    <row r="9" ht="30" customHeight="1" s="23">
      <c r="A9" s="21" t="b">
        <v>0</v>
      </c>
      <c r="B9" s="21" t="n">
        <v>3</v>
      </c>
      <c r="C9" s="14" t="inlineStr">
        <is>
          <t>The Imposter Inside</t>
        </is>
      </c>
      <c r="D9" s="14" t="inlineStr">
        <is>
          <t>Fall of the Jedi</t>
        </is>
      </c>
      <c r="E9" s="14" t="inlineStr">
        <is>
          <t>During The Clone Wars</t>
        </is>
      </c>
      <c r="F9" s="14" t="inlineStr">
        <is>
          <t>July 8, 2017</t>
        </is>
      </c>
      <c r="G9" s="14" t="inlineStr">
        <is>
          <t>Disney+ / official YouTube</t>
        </is>
      </c>
    </row>
    <row r="10" ht="30" customHeight="1" s="23">
      <c r="A10" s="21" t="b">
        <v>0</v>
      </c>
      <c r="B10" s="21" t="n">
        <v>4</v>
      </c>
      <c r="C10" s="14" t="inlineStr">
        <is>
          <t>Teach You, I Will</t>
        </is>
      </c>
      <c r="D10" s="14" t="inlineStr">
        <is>
          <t>Fall of the Jedi</t>
        </is>
      </c>
      <c r="E10" s="14" t="inlineStr">
        <is>
          <t>During The Clone Wars</t>
        </is>
      </c>
      <c r="F10" s="14" t="inlineStr">
        <is>
          <t>October 3, 2017</t>
        </is>
      </c>
      <c r="G10" s="14" t="inlineStr">
        <is>
          <t>Disney+ / official YouTube</t>
        </is>
      </c>
    </row>
    <row r="11" ht="30" customHeight="1" s="23">
      <c r="A11" s="21" t="b">
        <v>0</v>
      </c>
      <c r="B11" s="21" t="n">
        <v>5</v>
      </c>
      <c r="C11" s="14" t="inlineStr">
        <is>
          <t>The Starfighter Stunt</t>
        </is>
      </c>
      <c r="D11" s="14" t="inlineStr">
        <is>
          <t>Fall of the Jedi</t>
        </is>
      </c>
      <c r="E11" s="14" t="inlineStr">
        <is>
          <t>During The Clone Wars</t>
        </is>
      </c>
      <c r="F11" s="14" t="inlineStr">
        <is>
          <t>October 4, 2017</t>
        </is>
      </c>
      <c r="G11" s="14" t="inlineStr">
        <is>
          <t>Disney+ / official YouTube</t>
        </is>
      </c>
    </row>
    <row r="12" ht="30" customHeight="1" s="23">
      <c r="A12" s="21" t="b">
        <v>0</v>
      </c>
      <c r="B12" s="21" t="n">
        <v>6</v>
      </c>
      <c r="C12" s="14" t="inlineStr">
        <is>
          <t>Unexpected Company</t>
        </is>
      </c>
      <c r="D12" s="14" t="inlineStr">
        <is>
          <t>Fall of the Jedi</t>
        </is>
      </c>
      <c r="E12" s="14" t="inlineStr">
        <is>
          <t>During The Clone Wars</t>
        </is>
      </c>
      <c r="F12" s="14" t="inlineStr">
        <is>
          <t>March 19, 2018</t>
        </is>
      </c>
      <c r="G12" s="14" t="inlineStr">
        <is>
          <t>Disney+ / official YouTube</t>
        </is>
      </c>
    </row>
    <row r="13" ht="30" customHeight="1" s="23">
      <c r="A13" s="21" t="b">
        <v>0</v>
      </c>
      <c r="B13" s="21" t="n">
        <v>7</v>
      </c>
      <c r="C13" s="14" t="inlineStr">
        <is>
          <t>Triplecross</t>
        </is>
      </c>
      <c r="D13" s="14" t="inlineStr">
        <is>
          <t>Imperial era</t>
        </is>
      </c>
      <c r="E13" s="14" t="inlineStr">
        <is>
          <t>Around Solo</t>
        </is>
      </c>
      <c r="F13" s="14" t="inlineStr">
        <is>
          <t>May 25, 2018</t>
        </is>
      </c>
      <c r="G13" s="14" t="inlineStr">
        <is>
          <t>Disney+ / official YouTube</t>
        </is>
      </c>
    </row>
    <row r="14" ht="30" customHeight="1" s="23">
      <c r="A14" s="21" t="b">
        <v>0</v>
      </c>
      <c r="B14" s="21" t="n">
        <v>8</v>
      </c>
      <c r="C14" s="14" t="inlineStr">
        <is>
          <t>Hasty Departure</t>
        </is>
      </c>
      <c r="D14" s="14" t="inlineStr">
        <is>
          <t>Imperial era</t>
        </is>
      </c>
      <c r="E14" s="14" t="inlineStr">
        <is>
          <t>Rebels era</t>
        </is>
      </c>
      <c r="F14" s="14" t="inlineStr">
        <is>
          <t>March 19, 2018</t>
        </is>
      </c>
      <c r="G14" s="14" t="inlineStr">
        <is>
          <t>Disney+ / official YouTube</t>
        </is>
      </c>
    </row>
    <row r="15" ht="30" customHeight="1" s="23">
      <c r="A15" s="21" t="b">
        <v>0</v>
      </c>
      <c r="B15" s="21" t="n">
        <v>9</v>
      </c>
      <c r="C15" s="14" t="inlineStr">
        <is>
          <t>Bounty of Trouble</t>
        </is>
      </c>
      <c r="D15" s="14" t="inlineStr">
        <is>
          <t>Imperial era</t>
        </is>
      </c>
      <c r="E15" s="14" t="inlineStr">
        <is>
          <t>Rebels era</t>
        </is>
      </c>
      <c r="F15" s="14" t="inlineStr">
        <is>
          <t>July 9, 2017</t>
        </is>
      </c>
      <c r="G15" s="14" t="inlineStr">
        <is>
          <t>Disney+ / official YouTube</t>
        </is>
      </c>
    </row>
    <row r="16" ht="30" customHeight="1" s="23">
      <c r="A16" s="21" t="b">
        <v>0</v>
      </c>
      <c r="B16" s="21" t="n">
        <v>10</v>
      </c>
      <c r="C16" s="14" t="inlineStr">
        <is>
          <t>Newest Recruit</t>
        </is>
      </c>
      <c r="D16" s="14" t="inlineStr">
        <is>
          <t>Imperial era</t>
        </is>
      </c>
      <c r="E16" s="14" t="inlineStr">
        <is>
          <t>Rebels era</t>
        </is>
      </c>
      <c r="F16" s="14" t="inlineStr">
        <is>
          <t>October 1, 2017</t>
        </is>
      </c>
      <c r="G16" s="14" t="inlineStr">
        <is>
          <t>Disney+ / official YouTube</t>
        </is>
      </c>
    </row>
    <row r="17" ht="30" customHeight="1" s="23">
      <c r="A17" s="21" t="b">
        <v>0</v>
      </c>
      <c r="B17" s="21" t="n">
        <v>11</v>
      </c>
      <c r="C17" s="14" t="inlineStr">
        <is>
          <t>Crash Course</t>
        </is>
      </c>
      <c r="D17" s="14" t="inlineStr">
        <is>
          <t>Imperial era</t>
        </is>
      </c>
      <c r="E17" s="14" t="inlineStr">
        <is>
          <t>Rebels era</t>
        </is>
      </c>
      <c r="F17" s="14" t="inlineStr">
        <is>
          <t>November 1, 2017</t>
        </is>
      </c>
      <c r="G17" s="14" t="inlineStr">
        <is>
          <t>Disney+ / official YouTube</t>
        </is>
      </c>
    </row>
    <row r="18" ht="30" customHeight="1" s="23">
      <c r="A18" s="21" t="b">
        <v>0</v>
      </c>
      <c r="B18" s="21" t="n">
        <v>12</v>
      </c>
      <c r="C18" s="14" t="inlineStr">
        <is>
          <t>A Disarming Lesson</t>
        </is>
      </c>
      <c r="D18" s="14" t="inlineStr">
        <is>
          <t>Imperial era</t>
        </is>
      </c>
      <c r="E18" s="14" t="inlineStr">
        <is>
          <t>Rebels era</t>
        </is>
      </c>
      <c r="F18" s="14" t="inlineStr">
        <is>
          <t>May 4, 2018</t>
        </is>
      </c>
      <c r="G18" s="14" t="inlineStr">
        <is>
          <t>Disney+ / official YouTube</t>
        </is>
      </c>
    </row>
    <row r="19" ht="30" customHeight="1" s="23">
      <c r="A19" s="21" t="b">
        <v>0</v>
      </c>
      <c r="B19" s="21" t="n">
        <v>13</v>
      </c>
      <c r="C19" s="14" t="inlineStr">
        <is>
          <t>Art History</t>
        </is>
      </c>
      <c r="D19" s="14" t="inlineStr">
        <is>
          <t>Imperial era</t>
        </is>
      </c>
      <c r="E19" s="14" t="inlineStr">
        <is>
          <t>Late Rebels era</t>
        </is>
      </c>
      <c r="F19" s="14" t="inlineStr">
        <is>
          <t>May 4, 2018</t>
        </is>
      </c>
      <c r="G19" s="14" t="inlineStr">
        <is>
          <t>Disney+ / official YouTube</t>
        </is>
      </c>
    </row>
    <row r="20" ht="30" customHeight="1" s="23">
      <c r="A20" s="21" t="b">
        <v>0</v>
      </c>
      <c r="B20" s="21" t="n">
        <v>14</v>
      </c>
      <c r="C20" s="14" t="inlineStr">
        <is>
          <t>Accidental Allies</t>
        </is>
      </c>
      <c r="D20" s="14" t="inlineStr">
        <is>
          <t>Imperial era</t>
        </is>
      </c>
      <c r="E20" s="14" t="inlineStr">
        <is>
          <t>Before Rogue One</t>
        </is>
      </c>
      <c r="F20" s="14" t="inlineStr">
        <is>
          <t>October 29, 2017</t>
        </is>
      </c>
      <c r="G20" s="14" t="inlineStr">
        <is>
          <t>Disney+ / official YouTube</t>
        </is>
      </c>
    </row>
    <row r="21" ht="30" customHeight="1" s="23">
      <c r="A21" s="21" t="b">
        <v>0</v>
      </c>
      <c r="B21" s="21" t="n">
        <v>15</v>
      </c>
      <c r="C21" s="14" t="inlineStr">
        <is>
          <t>The Stranger</t>
        </is>
      </c>
      <c r="D21" s="14" t="inlineStr">
        <is>
          <t>Imperial era</t>
        </is>
      </c>
      <c r="E21" s="14" t="inlineStr">
        <is>
          <t>Before Rogue One</t>
        </is>
      </c>
      <c r="F21" s="14" t="inlineStr">
        <is>
          <t>July 9, 2017</t>
        </is>
      </c>
      <c r="G21" s="14" t="inlineStr">
        <is>
          <t>Disney+ / official YouTube</t>
        </is>
      </c>
    </row>
    <row r="22" ht="30" customHeight="1" s="23">
      <c r="A22" s="21" t="b">
        <v>0</v>
      </c>
      <c r="B22" s="21" t="n">
        <v>16</v>
      </c>
      <c r="C22" s="14" t="inlineStr">
        <is>
          <t>Jyn's Trade</t>
        </is>
      </c>
      <c r="D22" s="14" t="inlineStr">
        <is>
          <t>Imperial era</t>
        </is>
      </c>
      <c r="E22" s="14" t="inlineStr">
        <is>
          <t>Before Rogue One</t>
        </is>
      </c>
      <c r="F22" s="14" t="inlineStr">
        <is>
          <t>March 19, 2018</t>
        </is>
      </c>
      <c r="G22" s="14" t="inlineStr">
        <is>
          <t>Disney+ / official YouTube</t>
        </is>
      </c>
    </row>
    <row r="23" ht="30" customHeight="1" s="23">
      <c r="A23" s="21" t="b">
        <v>0</v>
      </c>
      <c r="B23" s="21" t="n">
        <v>17</v>
      </c>
      <c r="C23" s="14" t="inlineStr">
        <is>
          <t>Beasts of Echo Base</t>
        </is>
      </c>
      <c r="D23" s="14" t="inlineStr">
        <is>
          <t>Galactic Civil War</t>
        </is>
      </c>
      <c r="E23" s="14" t="inlineStr">
        <is>
          <t>Before The Empire Strikes Back</t>
        </is>
      </c>
      <c r="F23" s="14" t="inlineStr">
        <is>
          <t>July 7, 2017</t>
        </is>
      </c>
      <c r="G23" s="14" t="inlineStr">
        <is>
          <t>Disney+ / official YouTube</t>
        </is>
      </c>
    </row>
    <row r="24" ht="30" customHeight="1" s="23">
      <c r="A24" s="21" t="b">
        <v>0</v>
      </c>
      <c r="B24" s="21" t="n">
        <v>18</v>
      </c>
      <c r="C24" s="14" t="inlineStr">
        <is>
          <t>The Path Ahead</t>
        </is>
      </c>
      <c r="D24" s="14" t="inlineStr">
        <is>
          <t>Galactic Civil War</t>
        </is>
      </c>
      <c r="E24" s="14" t="inlineStr">
        <is>
          <t>During The Empire Strikes Back</t>
        </is>
      </c>
      <c r="F24" s="14" t="inlineStr">
        <is>
          <t>March 19, 2018</t>
        </is>
      </c>
      <c r="G24" s="14" t="inlineStr">
        <is>
          <t>Disney+ / official YouTube</t>
        </is>
      </c>
    </row>
    <row r="25" ht="30" customHeight="1" s="23">
      <c r="A25" s="21" t="b">
        <v>0</v>
      </c>
      <c r="B25" s="21" t="n">
        <v>19</v>
      </c>
      <c r="C25" s="14" t="inlineStr">
        <is>
          <t>Bounty Hunted</t>
        </is>
      </c>
      <c r="D25" s="14" t="inlineStr">
        <is>
          <t>Galactic Civil War</t>
        </is>
      </c>
      <c r="E25" s="14" t="inlineStr">
        <is>
          <t>Before Return of the Jedi</t>
        </is>
      </c>
      <c r="F25" s="14" t="inlineStr">
        <is>
          <t>March 19, 2018</t>
        </is>
      </c>
      <c r="G25" s="14" t="inlineStr">
        <is>
          <t>Disney+ / official YouTube</t>
        </is>
      </c>
    </row>
    <row r="26" ht="30" customHeight="1" s="23">
      <c r="A26" s="21" t="b">
        <v>0</v>
      </c>
      <c r="B26" s="21" t="n">
        <v>20</v>
      </c>
      <c r="C26" s="14" t="inlineStr">
        <is>
          <t>Ewok Escape</t>
        </is>
      </c>
      <c r="D26" s="14" t="inlineStr">
        <is>
          <t>Galactic Civil War</t>
        </is>
      </c>
      <c r="E26" s="14" t="inlineStr">
        <is>
          <t>During Return of the Jedi</t>
        </is>
      </c>
      <c r="F26" s="14" t="inlineStr">
        <is>
          <t>July 5, 2017</t>
        </is>
      </c>
      <c r="G26" s="14" t="inlineStr">
        <is>
          <t>Disney+ / official YouTube</t>
        </is>
      </c>
    </row>
    <row r="27" ht="30" customHeight="1" s="23">
      <c r="A27" s="21" t="b">
        <v>0</v>
      </c>
      <c r="B27" s="21" t="n">
        <v>21</v>
      </c>
      <c r="C27" s="14" t="inlineStr">
        <is>
          <t>Chopper and Friends</t>
        </is>
      </c>
      <c r="D27" s="14" t="inlineStr">
        <is>
          <t>Galactic Civil War</t>
        </is>
      </c>
      <c r="E27" s="14" t="inlineStr">
        <is>
          <t>Endor era</t>
        </is>
      </c>
      <c r="F27" s="14" t="inlineStr">
        <is>
          <t>May 4, 2018</t>
        </is>
      </c>
      <c r="G27" s="14" t="inlineStr">
        <is>
          <t>Disney+ / official YouTube</t>
        </is>
      </c>
    </row>
    <row r="28" ht="30" customHeight="1" s="23">
      <c r="A28" s="21" t="b">
        <v>0</v>
      </c>
      <c r="B28" s="21" t="n">
        <v>22</v>
      </c>
      <c r="C28" s="14" t="inlineStr">
        <is>
          <t>Traps and Tribulations</t>
        </is>
      </c>
      <c r="D28" s="14" t="inlineStr">
        <is>
          <t>Galactic Civil War</t>
        </is>
      </c>
      <c r="E28" s="14" t="inlineStr">
        <is>
          <t>Endor era</t>
        </is>
      </c>
      <c r="F28" s="14" t="inlineStr">
        <is>
          <t>May 4, 2018</t>
        </is>
      </c>
      <c r="G28" s="14" t="inlineStr">
        <is>
          <t>Disney+ / official YouTube</t>
        </is>
      </c>
    </row>
    <row r="29" ht="30" customHeight="1" s="23">
      <c r="A29" s="21" t="b">
        <v>0</v>
      </c>
      <c r="B29" s="21" t="n">
        <v>23</v>
      </c>
      <c r="C29" s="14" t="inlineStr">
        <is>
          <t>An Imperial Feast</t>
        </is>
      </c>
      <c r="D29" s="14" t="inlineStr">
        <is>
          <t>Galactic Civil War</t>
        </is>
      </c>
      <c r="E29" s="14" t="inlineStr">
        <is>
          <t>After Return of the Jedi</t>
        </is>
      </c>
      <c r="F29" s="14" t="inlineStr">
        <is>
          <t>October 30, 2017</t>
        </is>
      </c>
      <c r="G29" s="14" t="inlineStr">
        <is>
          <t>Disney+ / official YouTube</t>
        </is>
      </c>
    </row>
    <row r="30" ht="30" customHeight="1" s="23">
      <c r="A30" s="21" t="b">
        <v>0</v>
      </c>
      <c r="B30" s="21" t="n">
        <v>24</v>
      </c>
      <c r="C30" s="14" t="inlineStr">
        <is>
          <t>The Happabore Hazard</t>
        </is>
      </c>
      <c r="D30" s="14" t="inlineStr">
        <is>
          <t>Sequel era</t>
        </is>
      </c>
      <c r="E30" s="14" t="inlineStr">
        <is>
          <t>Before The Force Awakens</t>
        </is>
      </c>
      <c r="F30" s="14" t="inlineStr">
        <is>
          <t>October 31, 2017</t>
        </is>
      </c>
      <c r="G30" s="14" t="inlineStr">
        <is>
          <t>Disney+ / official YouTube</t>
        </is>
      </c>
    </row>
    <row r="31" ht="30" customHeight="1" s="23">
      <c r="A31" s="21" t="b">
        <v>0</v>
      </c>
      <c r="B31" s="21" t="n">
        <v>25</v>
      </c>
      <c r="C31" s="14" t="inlineStr">
        <is>
          <t>Run Rey Run</t>
        </is>
      </c>
      <c r="D31" s="14" t="inlineStr">
        <is>
          <t>Sequel era</t>
        </is>
      </c>
      <c r="E31" s="14" t="inlineStr">
        <is>
          <t>Before The Force Awakens</t>
        </is>
      </c>
      <c r="F31" s="14" t="inlineStr">
        <is>
          <t>March 19, 2018</t>
        </is>
      </c>
      <c r="G31" s="14" t="inlineStr">
        <is>
          <t>Disney+ / official YouTube</t>
        </is>
      </c>
    </row>
    <row r="32" ht="30" customHeight="1" s="23">
      <c r="A32" s="21" t="b">
        <v>0</v>
      </c>
      <c r="B32" s="21" t="n">
        <v>26</v>
      </c>
      <c r="C32" s="14" t="inlineStr">
        <is>
          <t>Sands of Jakku</t>
        </is>
      </c>
      <c r="D32" s="14" t="inlineStr">
        <is>
          <t>Sequel era</t>
        </is>
      </c>
      <c r="E32" s="14" t="inlineStr">
        <is>
          <t>During The Force Awakens</t>
        </is>
      </c>
      <c r="F32" s="14" t="inlineStr">
        <is>
          <t>July 3, 2017</t>
        </is>
      </c>
      <c r="G32" s="14" t="inlineStr">
        <is>
          <t>Disney+ / official YouTube</t>
        </is>
      </c>
    </row>
    <row r="33" ht="30" customHeight="1" s="23">
      <c r="A33" s="21" t="b">
        <v>0</v>
      </c>
      <c r="B33" s="21" t="n">
        <v>27</v>
      </c>
      <c r="C33" s="14" t="inlineStr">
        <is>
          <t>BB-8 Bandits</t>
        </is>
      </c>
      <c r="D33" s="14" t="inlineStr">
        <is>
          <t>Sequel era</t>
        </is>
      </c>
      <c r="E33" s="14" t="inlineStr">
        <is>
          <t>During The Force Awakens</t>
        </is>
      </c>
      <c r="F33" s="14" t="inlineStr">
        <is>
          <t>July 4, 2017</t>
        </is>
      </c>
      <c r="G33" s="14" t="inlineStr">
        <is>
          <t>Disney+ / official YouTube</t>
        </is>
      </c>
    </row>
    <row r="34" ht="30" customHeight="1" s="23">
      <c r="A34" s="21" t="b">
        <v>0</v>
      </c>
      <c r="B34" s="21" t="n">
        <v>28</v>
      </c>
      <c r="C34" s="14" t="inlineStr">
        <is>
          <t>Tracker Trouble</t>
        </is>
      </c>
      <c r="D34" s="14" t="inlineStr">
        <is>
          <t>Sequel era</t>
        </is>
      </c>
      <c r="E34" s="14" t="inlineStr">
        <is>
          <t>During The Force Awakens</t>
        </is>
      </c>
      <c r="F34" s="14" t="inlineStr">
        <is>
          <t>October 2, 2017</t>
        </is>
      </c>
      <c r="G34" s="14" t="inlineStr">
        <is>
          <t>Disney+ / official YouTube</t>
        </is>
      </c>
    </row>
    <row r="35" ht="30" customHeight="1" s="23">
      <c r="A35" s="21" t="b">
        <v>0</v>
      </c>
      <c r="B35" s="21" t="n">
        <v>29</v>
      </c>
      <c r="C35" s="14" t="inlineStr">
        <is>
          <t>Perilous Pursuit</t>
        </is>
      </c>
      <c r="D35" s="14" t="inlineStr">
        <is>
          <t>Sequel era</t>
        </is>
      </c>
      <c r="E35" s="14" t="inlineStr">
        <is>
          <t>During The Force Awakens</t>
        </is>
      </c>
      <c r="F35" s="14" t="inlineStr">
        <is>
          <t>May 4, 2018</t>
        </is>
      </c>
      <c r="G35" s="14" t="inlineStr">
        <is>
          <t>Disney+ / official YouTube</t>
        </is>
      </c>
    </row>
    <row r="36" ht="30" customHeight="1" s="23">
      <c r="A36" s="21" t="b">
        <v>0</v>
      </c>
      <c r="B36" s="21" t="n">
        <v>30</v>
      </c>
      <c r="C36" s="14" t="inlineStr">
        <is>
          <t>Shuttle Shock</t>
        </is>
      </c>
      <c r="D36" s="14" t="inlineStr">
        <is>
          <t>Sequel era</t>
        </is>
      </c>
      <c r="E36" s="14" t="inlineStr">
        <is>
          <t>During The Last Jedi</t>
        </is>
      </c>
      <c r="F36" s="14" t="inlineStr">
        <is>
          <t>March 19, 2018</t>
        </is>
      </c>
      <c r="G36" s="14" t="inlineStr">
        <is>
          <t>Disney+ / official YouTube</t>
        </is>
      </c>
    </row>
    <row r="37" ht="30" customHeight="1" s="23">
      <c r="A37" s="21" t="b">
        <v>0</v>
      </c>
      <c r="B37" s="21" t="n">
        <v>31</v>
      </c>
      <c r="C37" s="14" t="inlineStr">
        <is>
          <t>Porg Problems</t>
        </is>
      </c>
      <c r="D37" s="14" t="inlineStr">
        <is>
          <t>Sequel era</t>
        </is>
      </c>
      <c r="E37" s="14" t="inlineStr">
        <is>
          <t>During The Last Jedi</t>
        </is>
      </c>
      <c r="F37" s="14" t="inlineStr">
        <is>
          <t>March 19, 2018</t>
        </is>
      </c>
      <c r="G37" s="14" t="inlineStr">
        <is>
          <t>Disney+ / official YouTube</t>
        </is>
      </c>
    </row>
    <row r="38" ht="30" customHeight="1" s="23">
      <c r="A38" s="21" t="b">
        <v>0</v>
      </c>
      <c r="B38" s="21" t="n">
        <v>32</v>
      </c>
      <c r="C38" s="14" t="inlineStr">
        <is>
          <t>Porgs!</t>
        </is>
      </c>
      <c r="D38" s="14" t="inlineStr">
        <is>
          <t>Sequel era</t>
        </is>
      </c>
      <c r="E38" s="14" t="inlineStr">
        <is>
          <t>During The Last Jedi</t>
        </is>
      </c>
      <c r="F38" s="14" t="inlineStr">
        <is>
          <t>May 4, 2018</t>
        </is>
      </c>
      <c r="G38" s="14" t="inlineStr">
        <is>
          <t>Disney+ / official YouTube</t>
        </is>
      </c>
    </row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autoFilter ref="$A$6:$G$38"/>
  <conditionalFormatting sqref="A7:G38">
    <cfRule type="expression" priority="1" dxfId="0">
      <formula>$A7=TRUE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1F2937"/>
    <outlinePr summaryBelow="1" summaryRight="1"/>
    <pageSetUpPr/>
  </sheetPr>
  <dimension ref="A1:G14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2.63" defaultRowHeight="15" customHeight="1" outlineLevelCol="0"/>
  <cols>
    <col width="8" customWidth="1" style="23" min="1" max="1"/>
    <col width="16" customWidth="1" style="23" min="2" max="2"/>
    <col width="12" customWidth="1" style="23" min="3" max="3"/>
    <col width="38" customWidth="1" style="23" min="4" max="4"/>
    <col width="30" customWidth="1" style="23" min="5" max="5"/>
    <col width="14.5" customWidth="1" style="23" min="6" max="7"/>
    <col width="8.630000000000001" customWidth="1" style="23" min="8" max="26"/>
  </cols>
  <sheetData>
    <row r="1">
      <c r="A1" s="4" t="n"/>
      <c r="B1" s="4" t="n"/>
      <c r="C1" s="4" t="n"/>
      <c r="D1" s="4" t="n"/>
      <c r="E1" s="4" t="n"/>
      <c r="F1" s="4" t="n"/>
      <c r="G1" s="4" t="n"/>
    </row>
    <row r="2">
      <c r="A2" s="2" t="inlineStr">
        <is>
          <t>The Clone Wars: Official Chronological Order</t>
        </is>
      </c>
      <c r="B2" s="4" t="n"/>
      <c r="C2" s="4" t="n"/>
      <c r="D2" s="4" t="n"/>
      <c r="E2" s="4" t="n"/>
      <c r="F2" s="4" t="n"/>
      <c r="G2" s="4" t="n"/>
    </row>
    <row r="3">
      <c r="A3" s="5" t="inlineStr">
        <is>
          <t>The air code is decoded for you: 216 means Season 2, Episode 16. Direct links come from the official chronological guide.</t>
        </is>
      </c>
      <c r="B3" s="4" t="n"/>
      <c r="C3" s="4" t="n"/>
      <c r="D3" s="4" t="n"/>
      <c r="E3" s="4" t="n"/>
      <c r="F3" s="4" t="n"/>
      <c r="G3" s="4" t="n"/>
    </row>
    <row r="4">
      <c r="A4" s="7" t="inlineStr">
        <is>
          <t>Completed</t>
        </is>
      </c>
      <c r="B4" s="7">
        <f>COUNTIF(A7:A140,TRUE)</f>
        <v/>
      </c>
      <c r="C4" s="7" t="inlineStr">
        <is>
          <t>Total</t>
        </is>
      </c>
      <c r="D4" s="7">
        <f>COUNTA(D7:D140)</f>
        <v/>
      </c>
      <c r="E4" s="7" t="inlineStr">
        <is>
          <t>Progress</t>
        </is>
      </c>
      <c r="F4" s="8">
        <f>IF(D4=0,0,B4/D4)</f>
        <v/>
      </c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12" t="inlineStr">
        <is>
          <t>Done</t>
        </is>
      </c>
      <c r="B6" s="12" t="inlineStr">
        <is>
          <t>Chronological #</t>
        </is>
      </c>
      <c r="C6" s="12" t="inlineStr">
        <is>
          <t>Air code</t>
        </is>
      </c>
      <c r="D6" s="12" t="inlineStr">
        <is>
          <t>Episode</t>
        </is>
      </c>
      <c r="E6" s="12" t="inlineStr">
        <is>
          <t>Where to find it on Disney+</t>
        </is>
      </c>
      <c r="F6" s="12" t="inlineStr">
        <is>
          <t>Episode guide</t>
        </is>
      </c>
      <c r="G6" s="12" t="inlineStr">
        <is>
          <t>Direct Disney+ link</t>
        </is>
      </c>
    </row>
    <row r="7" ht="30" customHeight="1" s="23">
      <c r="A7" s="21" t="b">
        <v>0</v>
      </c>
      <c r="B7" s="21" t="n">
        <v>1</v>
      </c>
      <c r="C7" s="21" t="inlineStr">
        <is>
          <t>216</t>
        </is>
      </c>
      <c r="D7" s="14" t="inlineStr">
        <is>
          <t>Cat and Mouse</t>
        </is>
      </c>
      <c r="E7" s="14" t="inlineStr">
        <is>
          <t>Season 2, Episode 16</t>
        </is>
      </c>
      <c r="F7" s="20">
        <f>HYPERLINK("https://www.starwars.com/tv-shows/clone-wars/cat-and-mouse-episode-guide","Episode guide")</f>
        <v/>
      </c>
      <c r="G7" s="20">
        <f>HYPERLINK("https://www.disneyplus.com/video/5faf61af-2ce0-4baa-a647-a4f4363eba0e?cid=DTCI-Synergy-DDN-Site-Acquisition-StarWars-US-StarWars-StarWarsTheCloneWars-EN-BlogArticleEmbed-TCWChronological_StreamOnDisneyPlusCTA-NA","Watch")</f>
        <v/>
      </c>
    </row>
    <row r="8" ht="30" customHeight="1" s="23">
      <c r="A8" s="21" t="b">
        <v>0</v>
      </c>
      <c r="B8" s="21" t="n">
        <v>2</v>
      </c>
      <c r="C8" s="21" t="inlineStr">
        <is>
          <t>116</t>
        </is>
      </c>
      <c r="D8" s="14" t="inlineStr">
        <is>
          <t>Hidden Enemy</t>
        </is>
      </c>
      <c r="E8" s="14" t="inlineStr">
        <is>
          <t>Season 1, Episode 16</t>
        </is>
      </c>
      <c r="F8" s="20">
        <f>HYPERLINK("https://www.starwars.com/tv-shows/clone-wars/the-hidden-enemy-episode-guide","Episode guide")</f>
        <v/>
      </c>
      <c r="G8" s="20">
        <f>HYPERLINK("https://www.disneyplus.com/video/7c732b05-b90f-4090-a184-5652be228139?cid=DTCI-Synergy-DDN-Site-Acquisition-StarWars-US-StarWars-StarWarsTheCloneWars-EN-BlogArticleEmbed-TCWChronological_StreamOnDisneyPlusCTA-NA","Watch")</f>
        <v/>
      </c>
    </row>
    <row r="9" ht="30" customHeight="1" s="23">
      <c r="A9" s="21" t="b">
        <v>0</v>
      </c>
      <c r="B9" s="21" t="n">
        <v>3</v>
      </c>
      <c r="C9" s="21" t="inlineStr">
        <is>
          <t>Movie</t>
        </is>
      </c>
      <c r="D9" s="14" t="inlineStr">
        <is>
          <t>The Clone Wars theatrical movie</t>
        </is>
      </c>
      <c r="E9" s="14" t="inlineStr">
        <is>
          <t>Separate movie listing</t>
        </is>
      </c>
      <c r="F9" s="20">
        <f>HYPERLINK("https://www.disneyplus.com/movies/star-wars-the-clone-wars/AVmv1ulT1nQW?cid=DTCI-Synergy-StarWars-Site-Aquisition-USLaunch-US-StarWars-StarWarsTheCloneWars-EN-NavPipe-StartStreamingNow-NA","Episode guide")</f>
        <v/>
      </c>
      <c r="G9" s="20">
        <f>HYPERLINK("https://www.disneyplus.com/movies/star-wars-the-clone-wars/AVmv1ulT1nQW?cid=DTCI-Synergy-DDN-Site-Acquisition-StarWars-US-StarWars-StarWarsTheCloneWars-EN-BlogArticleEmbed-TCWChronological_StreamOnDisneyPlusCTA-NA","Watch")</f>
        <v/>
      </c>
    </row>
    <row r="10" ht="30" customHeight="1" s="23">
      <c r="A10" s="21" t="b">
        <v>0</v>
      </c>
      <c r="B10" s="21" t="n">
        <v>4</v>
      </c>
      <c r="C10" s="21" t="inlineStr">
        <is>
          <t>301</t>
        </is>
      </c>
      <c r="D10" s="14" t="inlineStr">
        <is>
          <t>Clone Cadets</t>
        </is>
      </c>
      <c r="E10" s="14" t="inlineStr">
        <is>
          <t>Season 3, Episode 1</t>
        </is>
      </c>
      <c r="F10" s="20">
        <f>HYPERLINK("https://www.starwars.com/tv-shows/clone-wars/clone-cadets-episode-guide","Episode guide")</f>
        <v/>
      </c>
      <c r="G10" s="20">
        <f>HYPERLINK("https://www.disneyplus.com/video/7851718f-2530-47e2-bf32-a8b498b3efa9?cid=DTCI-Synergy-DDN-Site-Acquisition-StarWars-US-StarWars-StarWarsTheCloneWars-EN-BlogArticleEmbed-TCWChronological_StreamOnDisneyPlusCTA-NA","Watch")</f>
        <v/>
      </c>
    </row>
    <row r="11" ht="30" customHeight="1" s="23">
      <c r="A11" s="21" t="b">
        <v>0</v>
      </c>
      <c r="B11" s="21" t="n">
        <v>5</v>
      </c>
      <c r="C11" s="21" t="inlineStr">
        <is>
          <t>303</t>
        </is>
      </c>
      <c r="D11" s="14" t="inlineStr">
        <is>
          <t>Supply Lines</t>
        </is>
      </c>
      <c r="E11" s="14" t="inlineStr">
        <is>
          <t>Season 3, Episode 3</t>
        </is>
      </c>
      <c r="F11" s="20">
        <f>HYPERLINK("https://www.starwars.com/tv-shows/clone-wars/supply-lines-episode-guide","Episode guide")</f>
        <v/>
      </c>
      <c r="G11" s="20">
        <f>HYPERLINK("https://www.disneyplus.com/video/9d78f2ca-bcf7-413c-a0ab-f6afe9edf677?cid=DTCI-Synergy-DDN-Site-Acquisition-StarWars-US-StarWars-StarWarsTheCloneWars-EN-BlogArticleEmbed-TCWChronological_StreamOnDisneyPlusCTA-NA","Watch")</f>
        <v/>
      </c>
    </row>
    <row r="12" ht="30" customHeight="1" s="23">
      <c r="A12" s="21" t="b">
        <v>0</v>
      </c>
      <c r="B12" s="21" t="n">
        <v>6</v>
      </c>
      <c r="C12" s="21" t="inlineStr">
        <is>
          <t>101</t>
        </is>
      </c>
      <c r="D12" s="14" t="inlineStr">
        <is>
          <t>Ambush</t>
        </is>
      </c>
      <c r="E12" s="14" t="inlineStr">
        <is>
          <t>Season 1, Episode 1</t>
        </is>
      </c>
      <c r="F12" s="20">
        <f>HYPERLINK("https://www.starwars.com/tv-shows/clone-wars/ambush-episode-guide","Episode guide")</f>
        <v/>
      </c>
      <c r="G12" s="20">
        <f>HYPERLINK("https://www.disneyplus.com/video/0bf87f10-d9a1-44ca-8371-f38543eb3706?cid=DTCI-Synergy-DDN-Site-Acquisition-StarWars-US-StarWars-StarWarsTheCloneWars-EN-BlogArticleEmbed-TCWChronological_StreamOnDisneyPlusCTA-NA","Watch")</f>
        <v/>
      </c>
    </row>
    <row r="13" ht="30" customHeight="1" s="23">
      <c r="A13" s="21" t="b">
        <v>0</v>
      </c>
      <c r="B13" s="21" t="n">
        <v>7</v>
      </c>
      <c r="C13" s="21" t="inlineStr">
        <is>
          <t>102</t>
        </is>
      </c>
      <c r="D13" s="14" t="inlineStr">
        <is>
          <t>Rising Malevolence</t>
        </is>
      </c>
      <c r="E13" s="14" t="inlineStr">
        <is>
          <t>Season 1, Episode 2</t>
        </is>
      </c>
      <c r="F13" s="20">
        <f>HYPERLINK("https://www.starwars.com/tv-shows/clone-wars/rising-malevolence-episode-guide","Episode guide")</f>
        <v/>
      </c>
      <c r="G13" s="20">
        <f>HYPERLINK("https://www.disneyplus.com/video/5bb0c4dc-91f1-434b-974f-1716511ecd4e?cid=DTCI-Synergy-DDN-Site-Acquisition-StarWars-US-StarWars-StarWarsTheCloneWars-EN-BlogArticleEmbed-TCWChronological_StreamOnDisneyPlusCTA-NA","Watch")</f>
        <v/>
      </c>
    </row>
    <row r="14" ht="30" customHeight="1" s="23">
      <c r="A14" s="21" t="b">
        <v>0</v>
      </c>
      <c r="B14" s="21" t="n">
        <v>8</v>
      </c>
      <c r="C14" s="21" t="inlineStr">
        <is>
          <t>103</t>
        </is>
      </c>
      <c r="D14" s="14" t="inlineStr">
        <is>
          <t>Shadow of Malevolence</t>
        </is>
      </c>
      <c r="E14" s="14" t="inlineStr">
        <is>
          <t>Season 1, Episode 3</t>
        </is>
      </c>
      <c r="F14" s="20">
        <f>HYPERLINK("https://www.starwars.com/tv-shows/clone-wars/shadow-of-malevolence-episode-guide","Episode guide")</f>
        <v/>
      </c>
      <c r="G14" s="20">
        <f>HYPERLINK("https://www.disneyplus.com/video/96e47d91-f975-4302-8bb0-73dfe9ad0a37?cid=DTCI-Synergy-DDN-Site-Acquisition-StarWars-US-StarWars-StarWarsTheCloneWars-EN-BlogArticleEmbed-TCWChronological_StreamOnDisneyPlusCTA-NA","Watch")</f>
        <v/>
      </c>
    </row>
    <row r="15" ht="30" customHeight="1" s="23">
      <c r="A15" s="21" t="b">
        <v>0</v>
      </c>
      <c r="B15" s="21" t="n">
        <v>9</v>
      </c>
      <c r="C15" s="21" t="inlineStr">
        <is>
          <t>104</t>
        </is>
      </c>
      <c r="D15" s="14" t="inlineStr">
        <is>
          <t>Destroy Malevolence</t>
        </is>
      </c>
      <c r="E15" s="14" t="inlineStr">
        <is>
          <t>Season 1, Episode 4</t>
        </is>
      </c>
      <c r="F15" s="20">
        <f>HYPERLINK("https://www.starwars.com/tv-shows/clone-wars/destroy-malevolence-episode-guide","Episode guide")</f>
        <v/>
      </c>
      <c r="G15" s="20">
        <f>HYPERLINK("https://www.disneyplus.com/video/7097d305-bca4-40e9-9cf0-cc84d89583a6?cid=DTCI-Synergy-DDN-Site-Acquisition-StarWars-US-StarWars-StarWarsTheCloneWars-EN-BlogArticleEmbed-TCWChronological_StreamOnDisneyPlusCTA-NA","Watch")</f>
        <v/>
      </c>
    </row>
    <row r="16" ht="30" customHeight="1" s="23">
      <c r="A16" s="21" t="b">
        <v>0</v>
      </c>
      <c r="B16" s="21" t="n">
        <v>10</v>
      </c>
      <c r="C16" s="21" t="inlineStr">
        <is>
          <t>105</t>
        </is>
      </c>
      <c r="D16" s="14" t="inlineStr">
        <is>
          <t>Rookies</t>
        </is>
      </c>
      <c r="E16" s="14" t="inlineStr">
        <is>
          <t>Season 1, Episode 5</t>
        </is>
      </c>
      <c r="F16" s="20">
        <f>HYPERLINK("https://www.starwars.com/tv-shows/clone-wars/rookies-episode-guide","Episode guide")</f>
        <v/>
      </c>
      <c r="G16" s="20">
        <f>HYPERLINK("https://www.disneyplus.com/video/598d1e7b-f39e-4527-9487-b5e891f5eefa?cid=DTCI-Synergy-DDN-Site-Acquisition-StarWars-US-StarWars-StarWarsTheCloneWars-EN-BlogArticleEmbed-TCWChronological_StreamOnDisneyPlusCTA-NA","Watch")</f>
        <v/>
      </c>
    </row>
    <row r="17" ht="30" customHeight="1" s="23">
      <c r="A17" s="21" t="b">
        <v>0</v>
      </c>
      <c r="B17" s="21" t="n">
        <v>11</v>
      </c>
      <c r="C17" s="21" t="inlineStr">
        <is>
          <t>106</t>
        </is>
      </c>
      <c r="D17" s="14" t="inlineStr">
        <is>
          <t>Downfall of a Droid</t>
        </is>
      </c>
      <c r="E17" s="14" t="inlineStr">
        <is>
          <t>Season 1, Episode 6</t>
        </is>
      </c>
      <c r="F17" s="20">
        <f>HYPERLINK("https://www.starwars.com/tv-shows/clone-wars/downfall-of-a-droid-episode-guide","Episode guide")</f>
        <v/>
      </c>
      <c r="G17" s="20">
        <f>HYPERLINK("https://www.disneyplus.com/video/41059c6d-bb4c-4185-91f4-7b5eb3f15849?cid=DTCI-Synergy-DDN-Site-Acquisition-StarWars-US-StarWars-StarWarsTheCloneWars-EN-BlogArticleEmbed-TCWChronological_StreamOnDisneyPlusCTA-NA","Watch")</f>
        <v/>
      </c>
    </row>
    <row r="18" ht="30" customHeight="1" s="23">
      <c r="A18" s="21" t="b">
        <v>0</v>
      </c>
      <c r="B18" s="21" t="n">
        <v>12</v>
      </c>
      <c r="C18" s="21" t="inlineStr">
        <is>
          <t>107</t>
        </is>
      </c>
      <c r="D18" s="14" t="inlineStr">
        <is>
          <t>Duel of the Droids</t>
        </is>
      </c>
      <c r="E18" s="14" t="inlineStr">
        <is>
          <t>Season 1, Episode 7</t>
        </is>
      </c>
      <c r="F18" s="20">
        <f>HYPERLINK("https://www.starwars.com/tv-shows/clone-wars/duel-of-the-droids-episode-guide","Episode guide")</f>
        <v/>
      </c>
      <c r="G18" s="20">
        <f>HYPERLINK("https://www.disneyplus.com/video/6dfef4c5-f797-4ff3-95ca-2f6e6f865f82?cid=DTCI-Synergy-DDN-Site-Acquisition-StarWars-US-StarWars-StarWarsTheCloneWars-EN-BlogArticleEmbed-TCWChronological_StreamOnDisneyPlusCTA-NA","Watch")</f>
        <v/>
      </c>
    </row>
    <row r="19" ht="30" customHeight="1" s="23">
      <c r="A19" s="21" t="b">
        <v>0</v>
      </c>
      <c r="B19" s="21" t="n">
        <v>13</v>
      </c>
      <c r="C19" s="21" t="inlineStr">
        <is>
          <t>108</t>
        </is>
      </c>
      <c r="D19" s="14" t="inlineStr">
        <is>
          <t>Bombad Jedi</t>
        </is>
      </c>
      <c r="E19" s="14" t="inlineStr">
        <is>
          <t>Season 1, Episode 8</t>
        </is>
      </c>
      <c r="F19" s="20">
        <f>HYPERLINK("https://www.starwars.com/tv-shows/clone-wars/bombad-jedi-episode-guide","Episode guide")</f>
        <v/>
      </c>
      <c r="G19" s="20">
        <f>HYPERLINK("https://www.disneyplus.com/video/c0491eed-234e-461d-9e98-82dd297e1f6f?cid=DTCI-Synergy-DDN-Site-Acquisition-StarWars-US-StarWars-StarWarsTheCloneWars-EN-BlogArticleEmbed-TCWChronological_StreamOnDisneyPlusCTA-NA","Watch")</f>
        <v/>
      </c>
    </row>
    <row r="20" ht="30" customHeight="1" s="23">
      <c r="A20" s="21" t="b">
        <v>0</v>
      </c>
      <c r="B20" s="21" t="n">
        <v>14</v>
      </c>
      <c r="C20" s="21" t="inlineStr">
        <is>
          <t>109</t>
        </is>
      </c>
      <c r="D20" s="14" t="inlineStr">
        <is>
          <t>Cloak of Darkness</t>
        </is>
      </c>
      <c r="E20" s="14" t="inlineStr">
        <is>
          <t>Season 1, Episode 9</t>
        </is>
      </c>
      <c r="F20" s="20">
        <f>HYPERLINK("https://www.starwars.com/tv-shows/clone-wars/cloak-of-darkness-episode-guide","Episode guide")</f>
        <v/>
      </c>
      <c r="G20" s="20">
        <f>HYPERLINK("https://www.disneyplus.com/video/96574cf0-9dd5-48f4-9625-545a13cff7db?cid=DTCI-Synergy-DDN-Site-Acquisition-StarWars-US-StarWars-StarWarsTheCloneWars-EN-BlogArticleEmbed-TCWChronological_StreamOnDisneyPlusCTA-NA","Watch")</f>
        <v/>
      </c>
    </row>
    <row r="21" ht="30" customHeight="1" s="23">
      <c r="A21" s="21" t="b">
        <v>0</v>
      </c>
      <c r="B21" s="21" t="n">
        <v>15</v>
      </c>
      <c r="C21" s="21" t="inlineStr">
        <is>
          <t>110</t>
        </is>
      </c>
      <c r="D21" s="14" t="inlineStr">
        <is>
          <t>Lair of Grievous</t>
        </is>
      </c>
      <c r="E21" s="14" t="inlineStr">
        <is>
          <t>Season 1, Episode 10</t>
        </is>
      </c>
      <c r="F21" s="20">
        <f>HYPERLINK("https://www.starwars.com/tv-shows/clone-wars/lair-of-grievous-episode-guide","Episode guide")</f>
        <v/>
      </c>
      <c r="G21" s="20">
        <f>HYPERLINK("https://www.disneyplus.com/video/3755d2fb-2904-47a2-9315-fd4969401c30?cid=DTCI-Synergy-DDN-Site-Acquisition-StarWars-US-StarWars-StarWarsTheCloneWars-EN-BlogArticleEmbed-TCWChronological_StreamOnDisneyPlusCTA-NA","Watch")</f>
        <v/>
      </c>
    </row>
    <row r="22" ht="30" customHeight="1" s="23">
      <c r="A22" s="21" t="b">
        <v>0</v>
      </c>
      <c r="B22" s="21" t="n">
        <v>16</v>
      </c>
      <c r="C22" s="21" t="inlineStr">
        <is>
          <t>111</t>
        </is>
      </c>
      <c r="D22" s="14" t="inlineStr">
        <is>
          <t>Dooku Captured</t>
        </is>
      </c>
      <c r="E22" s="14" t="inlineStr">
        <is>
          <t>Season 1, Episode 11</t>
        </is>
      </c>
      <c r="F22" s="20">
        <f>HYPERLINK("https://www.starwars.com/tv-shows/clone-wars/dooku-captured-episode-guide","Episode guide")</f>
        <v/>
      </c>
      <c r="G22" s="20">
        <f>HYPERLINK("https://www.disneyplus.com/video/9bc09e32-83d9-4e00-a49e-a0241b4fb243?cid=DTCI-Synergy-DDN-Site-Acquisition-StarWars-US-StarWars-StarWarsTheCloneWars-EN-BlogArticleEmbed-TCWChronological_StreamOnDisneyPlusCTA-NA","Watch")</f>
        <v/>
      </c>
    </row>
    <row r="23" ht="30" customHeight="1" s="23">
      <c r="A23" s="21" t="b">
        <v>0</v>
      </c>
      <c r="B23" s="21" t="n">
        <v>17</v>
      </c>
      <c r="C23" s="21" t="inlineStr">
        <is>
          <t>112</t>
        </is>
      </c>
      <c r="D23" s="14" t="inlineStr">
        <is>
          <t>The Gungan General</t>
        </is>
      </c>
      <c r="E23" s="14" t="inlineStr">
        <is>
          <t>Season 1, Episode 12</t>
        </is>
      </c>
      <c r="F23" s="20">
        <f>HYPERLINK("https://www.starwars.com/tv-shows/clone-wars/the-gungan-general-episode-guide","Episode guide")</f>
        <v/>
      </c>
      <c r="G23" s="20">
        <f>HYPERLINK("https://www.disneyplus.com/video/c1ac160f-7cc2-444f-a8a6-e1a1aa68d12d?cid=DTCI-Synergy-DDN-Site-Acquisition-StarWars-US-StarWars-StarWarsTheCloneWars-EN-BlogArticleEmbed-TCWChronological_StreamOnDisneyPlusCTA-NA","Watch")</f>
        <v/>
      </c>
    </row>
    <row r="24" ht="30" customHeight="1" s="23">
      <c r="A24" s="21" t="b">
        <v>0</v>
      </c>
      <c r="B24" s="21" t="n">
        <v>18</v>
      </c>
      <c r="C24" s="21" t="inlineStr">
        <is>
          <t>113</t>
        </is>
      </c>
      <c r="D24" s="14" t="inlineStr">
        <is>
          <t>Jedi Crash</t>
        </is>
      </c>
      <c r="E24" s="14" t="inlineStr">
        <is>
          <t>Season 1, Episode 13</t>
        </is>
      </c>
      <c r="F24" s="20">
        <f>HYPERLINK("https://www.starwars.com/tv-shows/clone-wars/jedi-crash-episode-guide","Episode guide")</f>
        <v/>
      </c>
      <c r="G24" s="20">
        <f>HYPERLINK("https://www.disneyplus.com/video/28c0b907-8efe-4400-af50-c13c66e18468?cid=DTCI-Synergy-DDN-Site-Acquisition-StarWars-US-StarWars-StarWarsTheCloneWars-EN-BlogArticleEmbed-TCWChronological_StreamOnDisneyPlusCTA-NA","Watch")</f>
        <v/>
      </c>
    </row>
    <row r="25" ht="30" customHeight="1" s="23">
      <c r="A25" s="21" t="b">
        <v>0</v>
      </c>
      <c r="B25" s="21" t="n">
        <v>19</v>
      </c>
      <c r="C25" s="21" t="inlineStr">
        <is>
          <t>114</t>
        </is>
      </c>
      <c r="D25" s="14" t="inlineStr">
        <is>
          <t>Defenders of Peace</t>
        </is>
      </c>
      <c r="E25" s="14" t="inlineStr">
        <is>
          <t>Season 1, Episode 14</t>
        </is>
      </c>
      <c r="F25" s="20">
        <f>HYPERLINK("https://www.starwars.com/tv-shows/clone-wars/defenders-of-peace-episode-guide","Episode guide")</f>
        <v/>
      </c>
      <c r="G25" s="20">
        <f>HYPERLINK("https://www.disneyplus.com/video/b258d36e-98da-419a-bcc4-58826cd79f95?cid=DTCI-Synergy-DDN-Site-Acquisition-StarWars-US-StarWars-StarWarsTheCloneWars-EN-BlogArticleEmbed-TCWChronological_StreamOnDisneyPlusCTA-NA","Watch")</f>
        <v/>
      </c>
    </row>
    <row r="26" ht="30" customHeight="1" s="23">
      <c r="A26" s="21" t="b">
        <v>0</v>
      </c>
      <c r="B26" s="21" t="n">
        <v>20</v>
      </c>
      <c r="C26" s="21" t="inlineStr">
        <is>
          <t>115</t>
        </is>
      </c>
      <c r="D26" s="14" t="inlineStr">
        <is>
          <t>Trespass</t>
        </is>
      </c>
      <c r="E26" s="14" t="inlineStr">
        <is>
          <t>Season 1, Episode 15</t>
        </is>
      </c>
      <c r="F26" s="20">
        <f>HYPERLINK("https://www.starwars.com/tv-shows/clone-wars/trespass-episode-guide","Episode guide")</f>
        <v/>
      </c>
      <c r="G26" s="20">
        <f>HYPERLINK("https://www.disneyplus.com/video/bf62fc31-f895-4dec-9d96-6635bda89f26?cid=DTCI-Synergy-DDN-Site-Acquisition-StarWars-US-StarWars-StarWarsTheCloneWars-EN-BlogArticleEmbed-TCWChronological_StreamOnDisneyPlusCTA-NA","Watch")</f>
        <v/>
      </c>
    </row>
    <row r="27" ht="30" customHeight="1" s="23">
      <c r="A27" s="21" t="b">
        <v>0</v>
      </c>
      <c r="B27" s="21" t="n">
        <v>21</v>
      </c>
      <c r="C27" s="21" t="inlineStr">
        <is>
          <t>117</t>
        </is>
      </c>
      <c r="D27" s="14" t="inlineStr">
        <is>
          <t>Blue Shadow Virus</t>
        </is>
      </c>
      <c r="E27" s="14" t="inlineStr">
        <is>
          <t>Season 1, Episode 17</t>
        </is>
      </c>
      <c r="F27" s="20">
        <f>HYPERLINK("https://www.starwars.com/tv-shows/clone-wars/blue-shadow-virus-episode-guide","Episode guide")</f>
        <v/>
      </c>
      <c r="G27" s="20">
        <f>HYPERLINK("https://www.disneyplus.com/video/393b2b72-7e23-420d-ae09-f5332cb6b726?cid=DTCI-Synergy-DDN-Site-Acquisition-StarWars-US-StarWars-StarWarsTheCloneWars-EN-BlogArticleEmbed-TCWChronological_StreamOnDisneyPlusCTA-NA","Watch")</f>
        <v/>
      </c>
    </row>
    <row r="28" ht="30" customHeight="1" s="23">
      <c r="A28" s="21" t="b">
        <v>0</v>
      </c>
      <c r="B28" s="21" t="n">
        <v>22</v>
      </c>
      <c r="C28" s="21" t="inlineStr">
        <is>
          <t>118</t>
        </is>
      </c>
      <c r="D28" s="14" t="inlineStr">
        <is>
          <t>Mystery of a Thousand Moons</t>
        </is>
      </c>
      <c r="E28" s="14" t="inlineStr">
        <is>
          <t>Season 1, Episode 18</t>
        </is>
      </c>
      <c r="F28" s="20">
        <f>HYPERLINK("https://www.starwars.com/tv-shows/clone-wars/mystery-of-a-thousand-moons-episode-guide","Episode guide")</f>
        <v/>
      </c>
      <c r="G28" s="20">
        <f>HYPERLINK("https://www.disneyplus.com/video/f6fe3f35-5e5e-440b-97d6-425ea1a1820d?cid=DTCI-Synergy-DDN-Site-Acquisition-StarWars-US-StarWars-StarWarsTheCloneWars-EN-BlogArticleEmbed-TCWChronological_StreamOnDisneyPlusCTA-NA","Watch")</f>
        <v/>
      </c>
    </row>
    <row r="29" ht="30" customHeight="1" s="23">
      <c r="A29" s="21" t="b">
        <v>0</v>
      </c>
      <c r="B29" s="21" t="n">
        <v>23</v>
      </c>
      <c r="C29" s="21" t="inlineStr">
        <is>
          <t>119</t>
        </is>
      </c>
      <c r="D29" s="14" t="inlineStr">
        <is>
          <t>Storm over Ryloth</t>
        </is>
      </c>
      <c r="E29" s="14" t="inlineStr">
        <is>
          <t>Season 1, Episode 19</t>
        </is>
      </c>
      <c r="F29" s="20">
        <f>HYPERLINK("https://www.starwars.com/tv-shows/clone-wars/storm-over-ryloth-episode-guide","Episode guide")</f>
        <v/>
      </c>
      <c r="G29" s="20">
        <f>HYPERLINK("https://www.disneyplus.com/video/76710ca6-5a5f-4fbd-8bc3-2a62beba88cf?cid=DTCI-Synergy-DDN-Site-Acquisition-StarWars-US-StarWars-StarWarsTheCloneWars-EN-BlogArticleEmbed-TCWChronological_StreamOnDisneyPlusCTA-NA","Watch")</f>
        <v/>
      </c>
    </row>
    <row r="30" ht="30" customHeight="1" s="23">
      <c r="A30" s="21" t="b">
        <v>0</v>
      </c>
      <c r="B30" s="21" t="n">
        <v>24</v>
      </c>
      <c r="C30" s="21" t="inlineStr">
        <is>
          <t>120</t>
        </is>
      </c>
      <c r="D30" s="14" t="inlineStr">
        <is>
          <t>Innocents of Ryloth</t>
        </is>
      </c>
      <c r="E30" s="14" t="inlineStr">
        <is>
          <t>Season 1, Episode 20</t>
        </is>
      </c>
      <c r="F30" s="20">
        <f>HYPERLINK("https://www.starwars.com/tv-shows/clone-wars/innocents-of-ryloth-episode-guide","Episode guide")</f>
        <v/>
      </c>
      <c r="G30" s="20">
        <f>HYPERLINK("https://www.disneyplus.com/video/d4f5abd5-3e71-4cef-9928-6be9527fdb89?cid=DTCI-Synergy-DDN-Site-Acquisition-StarWars-US-StarWars-StarWarsTheCloneWars-EN-BlogArticleEmbed-TCWChronological_StreamOnDisneyPlusCTA-NA","Watch")</f>
        <v/>
      </c>
    </row>
    <row r="31" ht="30" customHeight="1" s="23">
      <c r="A31" s="21" t="b">
        <v>0</v>
      </c>
      <c r="B31" s="21" t="n">
        <v>25</v>
      </c>
      <c r="C31" s="21" t="inlineStr">
        <is>
          <t>121</t>
        </is>
      </c>
      <c r="D31" s="14" t="inlineStr">
        <is>
          <t>Liberty on Ryloth</t>
        </is>
      </c>
      <c r="E31" s="14" t="inlineStr">
        <is>
          <t>Season 1, Episode 21</t>
        </is>
      </c>
      <c r="F31" s="20">
        <f>HYPERLINK("https://www.starwars.com/tv-shows/clone-wars/liberty-on-ryloth-episode-guide","Episode guide")</f>
        <v/>
      </c>
      <c r="G31" s="20">
        <f>HYPERLINK("https://www.disneyplus.com/video/0f87705e-7773-4154-8ff8-fdee5671431d?cid=DTCI-Synergy-DDN-Site-Acquisition-StarWars-US-StarWars-StarWarsTheCloneWars-EN-BlogArticleEmbed-TCWChronological_StreamOnDisneyPlusCTA-NA","Watch")</f>
        <v/>
      </c>
    </row>
    <row r="32" ht="30" customHeight="1" s="23">
      <c r="A32" s="21" t="b">
        <v>0</v>
      </c>
      <c r="B32" s="21" t="n">
        <v>26</v>
      </c>
      <c r="C32" s="21" t="inlineStr">
        <is>
          <t>201</t>
        </is>
      </c>
      <c r="D32" s="14" t="inlineStr">
        <is>
          <t>Holocron Heist</t>
        </is>
      </c>
      <c r="E32" s="14" t="inlineStr">
        <is>
          <t>Season 2, Episode 1</t>
        </is>
      </c>
      <c r="F32" s="20">
        <f>HYPERLINK("https://www.starwars.com/tv-shows/clone-wars/holocron-heist-episode-guide","Episode guide")</f>
        <v/>
      </c>
      <c r="G32" s="20">
        <f>HYPERLINK("https://www.disneyplus.com/video/0eb555a3-9420-4364-aef2-7186f5e4fb4e?cid=DTCI-Synergy-DDN-Site-Acquisition-StarWars-US-StarWars-StarWarsTheCloneWars-EN-BlogArticleEmbed-TCWChronological_StreamOnDisneyPlusCTA-NA","Watch")</f>
        <v/>
      </c>
    </row>
    <row r="33" ht="30" customHeight="1" s="23">
      <c r="A33" s="21" t="b">
        <v>0</v>
      </c>
      <c r="B33" s="21" t="n">
        <v>27</v>
      </c>
      <c r="C33" s="21" t="inlineStr">
        <is>
          <t>202</t>
        </is>
      </c>
      <c r="D33" s="14" t="inlineStr">
        <is>
          <t>Cargo of Doom</t>
        </is>
      </c>
      <c r="E33" s="14" t="inlineStr">
        <is>
          <t>Season 2, Episode 2</t>
        </is>
      </c>
      <c r="F33" s="20">
        <f>HYPERLINK("https://www.starwars.com/tv-shows/clone-wars/cargo-of-doom-episode-guide","Episode guide")</f>
        <v/>
      </c>
      <c r="G33" s="20">
        <f>HYPERLINK("https://www.disneyplus.com/video/865525da-5daa-4188-9bca-8abd942909fd?cid=DTCI-Synergy-DDN-Site-Acquisition-StarWars-US-StarWars-StarWarsTheCloneWars-EN-BlogArticleEmbed-TCWChronological_StreamOnDisneyPlusCTA-NA","Watch")</f>
        <v/>
      </c>
    </row>
    <row r="34" ht="30" customHeight="1" s="23">
      <c r="A34" s="21" t="b">
        <v>0</v>
      </c>
      <c r="B34" s="21" t="n">
        <v>28</v>
      </c>
      <c r="C34" s="21" t="inlineStr">
        <is>
          <t>203</t>
        </is>
      </c>
      <c r="D34" s="14" t="inlineStr">
        <is>
          <t>Children of the Force</t>
        </is>
      </c>
      <c r="E34" s="14" t="inlineStr">
        <is>
          <t>Season 2, Episode 3</t>
        </is>
      </c>
      <c r="F34" s="20">
        <f>HYPERLINK("https://www.starwars.com/tv-shows/clone-wars/children-of-the-force-episode-guide","Episode guide")</f>
        <v/>
      </c>
      <c r="G34" s="20">
        <f>HYPERLINK("https://www.disneyplus.com/video/2b77cbb2-045c-456d-a551-be454175ca28?cid=DTCI-Synergy-DDN-Site-Acquisition-StarWars-US-StarWars-StarWarsTheCloneWars-EN-BlogArticleEmbed-TCWChronological_StreamOnDisneyPlusCTA-NA","Watch")</f>
        <v/>
      </c>
    </row>
    <row r="35" ht="30" customHeight="1" s="23">
      <c r="A35" s="21" t="b">
        <v>0</v>
      </c>
      <c r="B35" s="21" t="n">
        <v>29</v>
      </c>
      <c r="C35" s="21" t="inlineStr">
        <is>
          <t>217</t>
        </is>
      </c>
      <c r="D35" s="14" t="inlineStr">
        <is>
          <t>Bounty Hunters</t>
        </is>
      </c>
      <c r="E35" s="14" t="inlineStr">
        <is>
          <t>Season 2, Episode 17</t>
        </is>
      </c>
      <c r="F35" s="20">
        <f>HYPERLINK("https://www.starwars.com/tv-shows/clone-wars/bounty-hunters-episode-guide","Episode guide")</f>
        <v/>
      </c>
      <c r="G35" s="20">
        <f>HYPERLINK("https://www.disneyplus.com/video/2bfad4dd-0bf4-4c76-a7ce-7e34df37618a?cid=DTCI-Synergy-DDN-Site-Acquisition-StarWars-US-StarWars-StarWarsTheCloneWars-EN-BlogArticleEmbed-TCWChronological_StreamOnDisneyPlusCTA-NA","Watch")</f>
        <v/>
      </c>
    </row>
    <row r="36" ht="30" customHeight="1" s="23">
      <c r="A36" s="21" t="b">
        <v>0</v>
      </c>
      <c r="B36" s="21" t="n">
        <v>30</v>
      </c>
      <c r="C36" s="21" t="inlineStr">
        <is>
          <t>218</t>
        </is>
      </c>
      <c r="D36" s="14" t="inlineStr">
        <is>
          <t>The Zillo Beast</t>
        </is>
      </c>
      <c r="E36" s="14" t="inlineStr">
        <is>
          <t>Season 2, Episode 18</t>
        </is>
      </c>
      <c r="F36" s="20">
        <f>HYPERLINK("https://www.starwars.com/tv-shows/clone-wars/the-zillo-beast-episode-guide","Episode guide")</f>
        <v/>
      </c>
      <c r="G36" s="20">
        <f>HYPERLINK("https://www.disneyplus.com/video/13d1cbe9-abf9-4691-a407-228d16cfa48d?cid=DTCI-Synergy-DDN-Site-Acquisition-StarWars-US-StarWars-StarWarsTheCloneWars-EN-BlogArticleEmbed-TCWChronological_StreamOnDisneyPlusCTA-NA","Watch")</f>
        <v/>
      </c>
    </row>
    <row r="37" ht="30" customHeight="1" s="23">
      <c r="A37" s="21" t="b">
        <v>0</v>
      </c>
      <c r="B37" s="21" t="n">
        <v>31</v>
      </c>
      <c r="C37" s="21" t="inlineStr">
        <is>
          <t>219</t>
        </is>
      </c>
      <c r="D37" s="14" t="inlineStr">
        <is>
          <t>The Zillo Beast Strikes Back</t>
        </is>
      </c>
      <c r="E37" s="14" t="inlineStr">
        <is>
          <t>Season 2, Episode 19</t>
        </is>
      </c>
      <c r="F37" s="20">
        <f>HYPERLINK("https://www.starwars.com/tv-shows/clone-wars/the-zillo-beast-strikes-back-episode-guide","Episode guide")</f>
        <v/>
      </c>
      <c r="G37" s="20">
        <f>HYPERLINK("https://www.disneyplus.com/video/6f2cd6cf-8e7a-42e6-893a-6465f2683648?cid=DTCI-Synergy-DDN-Site-Acquisition-StarWars-US-StarWars-StarWarsTheCloneWars-EN-BlogArticleEmbed-TCWChronological_StreamOnDisneyPlusCTA-NA","Watch")</f>
        <v/>
      </c>
    </row>
    <row r="38" ht="30" customHeight="1" s="23">
      <c r="A38" s="21" t="b">
        <v>0</v>
      </c>
      <c r="B38" s="21" t="n">
        <v>32</v>
      </c>
      <c r="C38" s="21" t="inlineStr">
        <is>
          <t>204</t>
        </is>
      </c>
      <c r="D38" s="14" t="inlineStr">
        <is>
          <t>Senate Spy</t>
        </is>
      </c>
      <c r="E38" s="14" t="inlineStr">
        <is>
          <t>Season 2, Episode 4</t>
        </is>
      </c>
      <c r="F38" s="20">
        <f>HYPERLINK("https://www.starwars.com/tv-shows/clone-wars/senate-spy-episode-guide","Episode guide")</f>
        <v/>
      </c>
      <c r="G38" s="20">
        <f>HYPERLINK("https://www.disneyplus.com/video/094ea69a-1e8f-44cd-9ebb-1551993b5129?cid=DTCI-Synergy-DDN-Site-Acquisition-StarWars-US-StarWars-StarWarsTheCloneWars-EN-BlogArticleEmbed-TCWChronological_StreamOnDisneyPlusCTA-NA","Watch")</f>
        <v/>
      </c>
    </row>
    <row r="39" ht="30" customHeight="1" s="23">
      <c r="A39" s="21" t="b">
        <v>0</v>
      </c>
      <c r="B39" s="21" t="n">
        <v>33</v>
      </c>
      <c r="C39" s="21" t="inlineStr">
        <is>
          <t>205</t>
        </is>
      </c>
      <c r="D39" s="14" t="inlineStr">
        <is>
          <t>Landing at Point Rain</t>
        </is>
      </c>
      <c r="E39" s="14" t="inlineStr">
        <is>
          <t>Season 2, Episode 5</t>
        </is>
      </c>
      <c r="F39" s="20">
        <f>HYPERLINK("https://www.starwars.com/tv-shows/clone-wars/landing-at-point-rain-episode-guide","Episode guide")</f>
        <v/>
      </c>
      <c r="G39" s="20">
        <f>HYPERLINK("https://www.disneyplus.com/video/6ba55d34-2db4-4f82-b219-fc82500ca89a?cid=DTCI-Synergy-DDN-Site-Acquisition-StarWars-US-StarWars-StarWarsTheCloneWars-EN-BlogArticleEmbed-TCWChronological_StreamOnDisneyPlusCTA-NA","Watch")</f>
        <v/>
      </c>
    </row>
    <row r="40" ht="30" customHeight="1" s="23">
      <c r="A40" s="21" t="b">
        <v>0</v>
      </c>
      <c r="B40" s="21" t="n">
        <v>34</v>
      </c>
      <c r="C40" s="21" t="inlineStr">
        <is>
          <t>206</t>
        </is>
      </c>
      <c r="D40" s="14" t="inlineStr">
        <is>
          <t>Weapons Factory</t>
        </is>
      </c>
      <c r="E40" s="14" t="inlineStr">
        <is>
          <t>Season 2, Episode 6</t>
        </is>
      </c>
      <c r="F40" s="20">
        <f>HYPERLINK("https://www.starwars.com/tv-shows/clone-wars/weapons-factory-episode-guide","Episode guide")</f>
        <v/>
      </c>
      <c r="G40" s="20">
        <f>HYPERLINK("https://www.disneyplus.com/video/a4fc767f-a20d-4fb6-b8ce-5e9b6ec80dac?cid=DTCI-Synergy-DDN-Site-Acquisition-StarWars-US-StarWars-StarWarsTheCloneWars-EN-BlogArticleEmbed-TCWChronological_StreamOnDisneyPlusCTA-NA","Watch")</f>
        <v/>
      </c>
    </row>
    <row r="41" ht="30" customHeight="1" s="23">
      <c r="A41" s="21" t="b">
        <v>0</v>
      </c>
      <c r="B41" s="21" t="n">
        <v>35</v>
      </c>
      <c r="C41" s="21" t="inlineStr">
        <is>
          <t>207</t>
        </is>
      </c>
      <c r="D41" s="14" t="inlineStr">
        <is>
          <t>Legacy of Terror</t>
        </is>
      </c>
      <c r="E41" s="14" t="inlineStr">
        <is>
          <t>Season 2, Episode 7</t>
        </is>
      </c>
      <c r="F41" s="20">
        <f>HYPERLINK("https://www.starwars.com/tv-shows/clone-wars/legacy-of-terror-episode-guide","Episode guide")</f>
        <v/>
      </c>
      <c r="G41" s="20">
        <f>HYPERLINK("https://www.disneyplus.com/video/ed8f1cb7-f3e3-4ab0-af03-888ba8b20d25?cid=DTCI-Synergy-DDN-Site-Acquisition-StarWars-US-StarWars-StarWarsTheCloneWars-EN-BlogArticleEmbed-TCWChronological_StreamOnDisneyPlusCTA-NA","Watch")</f>
        <v/>
      </c>
    </row>
    <row r="42" ht="30" customHeight="1" s="23">
      <c r="A42" s="21" t="b">
        <v>0</v>
      </c>
      <c r="B42" s="21" t="n">
        <v>36</v>
      </c>
      <c r="C42" s="21" t="inlineStr">
        <is>
          <t>208</t>
        </is>
      </c>
      <c r="D42" s="14" t="inlineStr">
        <is>
          <t>Brain Invaders</t>
        </is>
      </c>
      <c r="E42" s="14" t="inlineStr">
        <is>
          <t>Season 2, Episode 8</t>
        </is>
      </c>
      <c r="F42" s="20">
        <f>HYPERLINK("https://www.starwars.com/tv-shows/clone-wars/brain-invaders-episode-guide","Episode guide")</f>
        <v/>
      </c>
      <c r="G42" s="20">
        <f>HYPERLINK("https://www.disneyplus.com/video/521b49b5-26a5-4153-af04-3fc40e4ececd?cid=DTCI-Synergy-DDN-Site-Acquisition-StarWars-US-StarWars-StarWarsTheCloneWars-EN-BlogArticleEmbed-TCWChronological_StreamOnDisneyPlusCTA-NA","Watch")</f>
        <v/>
      </c>
    </row>
    <row r="43" ht="30" customHeight="1" s="23">
      <c r="A43" s="21" t="b">
        <v>0</v>
      </c>
      <c r="B43" s="21" t="n">
        <v>37</v>
      </c>
      <c r="C43" s="21" t="inlineStr">
        <is>
          <t>209</t>
        </is>
      </c>
      <c r="D43" s="14" t="inlineStr">
        <is>
          <t>Grievous Intrigue</t>
        </is>
      </c>
      <c r="E43" s="14" t="inlineStr">
        <is>
          <t>Season 2, Episode 9</t>
        </is>
      </c>
      <c r="F43" s="20">
        <f>HYPERLINK("https://www.starwars.com/tv-shows/clone-wars/grievous-intrigue-episode-guide","Episode guide")</f>
        <v/>
      </c>
      <c r="G43" s="20">
        <f>HYPERLINK("https://www.disneyplus.com/video/83357ef1-f768-4f3b-8b03-2f0c2e4617e7?cid=DTCI-Synergy-DDN-Site-Acquisition-StarWars-US-StarWars-StarWarsTheCloneWars-EN-BlogArticleEmbed-TCWChronological_StreamOnDisneyPlusCTA-NA","Watch")</f>
        <v/>
      </c>
    </row>
    <row r="44" ht="30" customHeight="1" s="23">
      <c r="A44" s="21" t="b">
        <v>0</v>
      </c>
      <c r="B44" s="21" t="n">
        <v>38</v>
      </c>
      <c r="C44" s="21" t="inlineStr">
        <is>
          <t>210</t>
        </is>
      </c>
      <c r="D44" s="14" t="inlineStr">
        <is>
          <t>The Deserter</t>
        </is>
      </c>
      <c r="E44" s="14" t="inlineStr">
        <is>
          <t>Season 2, Episode 10</t>
        </is>
      </c>
      <c r="F44" s="20">
        <f>HYPERLINK("https://www.starwars.com/tv-shows/clone-wars/the-deserter-episode-guide","Episode guide")</f>
        <v/>
      </c>
      <c r="G44" s="20">
        <f>HYPERLINK("https://www.disneyplus.com/video/09f9af96-40bd-4e9a-a18d-92fb9f373298?cid=DTCI-Synergy-DDN-Site-Acquisition-StarWars-US-StarWars-StarWarsTheCloneWars-EN-BlogArticleEmbed-TCWChronological_StreamOnDisneyPlusCTA-NA","Watch")</f>
        <v/>
      </c>
    </row>
    <row r="45" ht="30" customHeight="1" s="23">
      <c r="A45" s="21" t="b">
        <v>0</v>
      </c>
      <c r="B45" s="21" t="n">
        <v>39</v>
      </c>
      <c r="C45" s="21" t="inlineStr">
        <is>
          <t>211</t>
        </is>
      </c>
      <c r="D45" s="14" t="inlineStr">
        <is>
          <t>Lightsaber Lost</t>
        </is>
      </c>
      <c r="E45" s="14" t="inlineStr">
        <is>
          <t>Season 2, Episode 11</t>
        </is>
      </c>
      <c r="F45" s="20">
        <f>HYPERLINK("https://www.starwars.com/tv-shows/clone-wars/lightsaber-lost-episode-guide","Episode guide")</f>
        <v/>
      </c>
      <c r="G45" s="20">
        <f>HYPERLINK("https://www.disneyplus.com/video/07c0124a-5234-4c58-a2f0-79508e3b14b6?cid=DTCI-Synergy-DDN-Site-Acquisition-StarWars-US-StarWars-StarWarsTheCloneWars-EN-BlogArticleEmbed-TCWChronological_StreamOnDisneyPlusCTA-NA","Watch")</f>
        <v/>
      </c>
    </row>
    <row r="46" ht="30" customHeight="1" s="23">
      <c r="A46" s="21" t="b">
        <v>0</v>
      </c>
      <c r="B46" s="21" t="n">
        <v>40</v>
      </c>
      <c r="C46" s="21" t="inlineStr">
        <is>
          <t>212</t>
        </is>
      </c>
      <c r="D46" s="14" t="inlineStr">
        <is>
          <t>The Mandalore Plot</t>
        </is>
      </c>
      <c r="E46" s="14" t="inlineStr">
        <is>
          <t>Season 2, Episode 12</t>
        </is>
      </c>
      <c r="F46" s="20">
        <f>HYPERLINK("https://www.starwars.com/tv-shows/clone-wars/the-mandalore-plot-episode-guide","Episode guide")</f>
        <v/>
      </c>
      <c r="G46" s="20">
        <f>HYPERLINK("https://www.disneyplus.com/video/91d2a7e2-8eb1-411d-941e-4bd8babe4e55?cid=DTCI-Synergy-DDN-Site-Acquisition-StarWars-US-StarWars-StarWarsTheCloneWars-EN-BlogArticleEmbed-TCWChronological_StreamOnDisneyPlusCTA-NA","Watch")</f>
        <v/>
      </c>
    </row>
    <row r="47" ht="30" customHeight="1" s="23">
      <c r="A47" s="21" t="b">
        <v>0</v>
      </c>
      <c r="B47" s="21" t="n">
        <v>41</v>
      </c>
      <c r="C47" s="21" t="inlineStr">
        <is>
          <t>213</t>
        </is>
      </c>
      <c r="D47" s="14" t="inlineStr">
        <is>
          <t>Voyage of Temptation</t>
        </is>
      </c>
      <c r="E47" s="14" t="inlineStr">
        <is>
          <t>Season 2, Episode 13</t>
        </is>
      </c>
      <c r="F47" s="20">
        <f>HYPERLINK("https://www.starwars.com/tv-shows/clone-wars/voyage-of-temptation-episode-guide","Episode guide")</f>
        <v/>
      </c>
      <c r="G47" s="20">
        <f>HYPERLINK("https://www.disneyplus.com/video/9d2c4240-5a2e-4f2a-ab88-628a5dc68540?cid=DTCI-Synergy-DDN-Site-Acquisition-StarWars-US-StarWars-StarWarsTheCloneWars-EN-BlogArticleEmbed-TCWChronological_StreamOnDisneyPlusCTA-NA","Watch")</f>
        <v/>
      </c>
    </row>
    <row r="48" ht="30" customHeight="1" s="23">
      <c r="A48" s="21" t="b">
        <v>0</v>
      </c>
      <c r="B48" s="21" t="n">
        <v>42</v>
      </c>
      <c r="C48" s="21" t="inlineStr">
        <is>
          <t>214</t>
        </is>
      </c>
      <c r="D48" s="14" t="inlineStr">
        <is>
          <t>Duchess of Mandalore</t>
        </is>
      </c>
      <c r="E48" s="14" t="inlineStr">
        <is>
          <t>Season 2, Episode 14</t>
        </is>
      </c>
      <c r="F48" s="20">
        <f>HYPERLINK("https://www.starwars.com/tv-shows/clone-wars/duchess-of-mandalore-episode-guide","Episode guide")</f>
        <v/>
      </c>
      <c r="G48" s="20">
        <f>HYPERLINK("https://www.disneyplus.com/video/9aedb852-9abb-4c59-95c3-58f1bfb0cef6?cid=DTCI-Synergy-DDN-Site-Acquisition-StarWars-US-StarWars-StarWarsTheCloneWars-EN-BlogArticleEmbed-TCWChronological_StreamOnDisneyPlusCTA-NA","Watch")</f>
        <v/>
      </c>
    </row>
    <row r="49" ht="30" customHeight="1" s="23">
      <c r="A49" s="21" t="b">
        <v>0</v>
      </c>
      <c r="B49" s="21" t="n">
        <v>43</v>
      </c>
      <c r="C49" s="21" t="inlineStr">
        <is>
          <t>220</t>
        </is>
      </c>
      <c r="D49" s="14" t="inlineStr">
        <is>
          <t>Death Trap</t>
        </is>
      </c>
      <c r="E49" s="14" t="inlineStr">
        <is>
          <t>Season 2, Episode 20</t>
        </is>
      </c>
      <c r="F49" s="20">
        <f>HYPERLINK("https://www.starwars.com/series/clone-wars/death-trap-episode-guide","Episode guide")</f>
        <v/>
      </c>
      <c r="G49" s="20">
        <f>HYPERLINK("https://www.disneyplus.com/video/c60abd64-34bd-4141-ab53-3a265a929a7b?cid=DTCI-Synergy-DDN-Site-Acquisition-StarWars-US-StarWars-StarWarsTheCloneWars-EN-BlogArticleEmbed-TCWChronological_StreamOnDisneyPlusCTA-NA","Watch")</f>
        <v/>
      </c>
    </row>
    <row r="50" ht="30" customHeight="1" s="23">
      <c r="A50" s="21" t="b">
        <v>0</v>
      </c>
      <c r="B50" s="21" t="n">
        <v>44</v>
      </c>
      <c r="C50" s="21" t="inlineStr">
        <is>
          <t>221</t>
        </is>
      </c>
      <c r="D50" s="14" t="inlineStr">
        <is>
          <t>R2 Come Home</t>
        </is>
      </c>
      <c r="E50" s="14" t="inlineStr">
        <is>
          <t>Season 2, Episode 21</t>
        </is>
      </c>
      <c r="F50" s="20">
        <f>HYPERLINK("https://www.starwars.com/tv-shows/clone-wars/r2-come-home-episode-guide","Episode guide")</f>
        <v/>
      </c>
      <c r="G50" s="20">
        <f>HYPERLINK("https://www.disneyplus.com/video/28034e35-c413-4219-8072-444cef55bd64?cid=DTCI-Synergy-DDN-Site-Acquisition-StarWars-US-StarWars-StarWarsTheCloneWars-EN-BlogArticleEmbed-TCWChronological_StreamOnDisneyPlusCTA-NA","Watch")</f>
        <v/>
      </c>
    </row>
    <row r="51" ht="30" customHeight="1" s="23">
      <c r="A51" s="21" t="b">
        <v>0</v>
      </c>
      <c r="B51" s="21" t="n">
        <v>45</v>
      </c>
      <c r="C51" s="21" t="inlineStr">
        <is>
          <t>222</t>
        </is>
      </c>
      <c r="D51" s="14" t="inlineStr">
        <is>
          <t>Lethal Trackdown</t>
        </is>
      </c>
      <c r="E51" s="14" t="inlineStr">
        <is>
          <t>Season 2, Episode 22</t>
        </is>
      </c>
      <c r="F51" s="20">
        <f>HYPERLINK("https://www.starwars.com/tv-shows/clone-wars/lethal-trackdown-episode-guide","Episode guide")</f>
        <v/>
      </c>
      <c r="G51" s="20">
        <f>HYPERLINK("https://www.disneyplus.com/video/eccba821-6a8a-4007-8ea2-1995ffe5637d?cid=DTCI-Synergy-DDN-Site-Acquisition-StarWars-US-StarWars-StarWarsTheCloneWars-EN-BlogArticleEmbed-TCWChronological_StreamOnDisneyPlusCTA-NA","Watch")</f>
        <v/>
      </c>
    </row>
    <row r="52" ht="30" customHeight="1" s="23">
      <c r="A52" s="21" t="b">
        <v>0</v>
      </c>
      <c r="B52" s="21" t="n">
        <v>46</v>
      </c>
      <c r="C52" s="21" t="inlineStr">
        <is>
          <t>305</t>
        </is>
      </c>
      <c r="D52" s="14" t="inlineStr">
        <is>
          <t>Corruption</t>
        </is>
      </c>
      <c r="E52" s="14" t="inlineStr">
        <is>
          <t>Season 3, Episode 5</t>
        </is>
      </c>
      <c r="F52" s="20">
        <f>HYPERLINK("https://www.starwars.com/tv-shows/clone-wars/corruption-episode-guide","Episode guide")</f>
        <v/>
      </c>
      <c r="G52" s="20">
        <f>HYPERLINK("https://www.disneyplus.com/video/3ce7a07a-460a-4e02-9fe9-e7240bff2b01?cid=DTCI-Synergy-DDN-Site-Acquisition-StarWars-US-StarWars-StarWarsTheCloneWars-EN-BlogArticleEmbed-TCWChronological_StreamOnDisneyPlusCTA-NA","Watch")</f>
        <v/>
      </c>
    </row>
    <row r="53" ht="30" customHeight="1" s="23">
      <c r="A53" s="21" t="b">
        <v>0</v>
      </c>
      <c r="B53" s="21" t="n">
        <v>47</v>
      </c>
      <c r="C53" s="21" t="inlineStr">
        <is>
          <t>306</t>
        </is>
      </c>
      <c r="D53" s="14" t="inlineStr">
        <is>
          <t>The Academy</t>
        </is>
      </c>
      <c r="E53" s="14" t="inlineStr">
        <is>
          <t>Season 3, Episode 6</t>
        </is>
      </c>
      <c r="F53" s="20">
        <f>HYPERLINK("https://www.starwars.com/tv-shows/clone-wars/the-academy-episode-guide","Episode guide")</f>
        <v/>
      </c>
      <c r="G53" s="20">
        <f>HYPERLINK("https://www.disneyplus.com/video/f464497e-a4e5-44db-922e-d44d1a70fd73?cid=DTCI-Synergy-DDN-Site-Acquisition-StarWars-US-StarWars-StarWarsTheCloneWars-EN-BlogArticleEmbed-TCWChronological_StreamOnDisneyPlusCTA-NA","Watch")</f>
        <v/>
      </c>
    </row>
    <row r="54" ht="30" customHeight="1" s="23">
      <c r="A54" s="21" t="b">
        <v>0</v>
      </c>
      <c r="B54" s="21" t="n">
        <v>48</v>
      </c>
      <c r="C54" s="21" t="inlineStr">
        <is>
          <t>307</t>
        </is>
      </c>
      <c r="D54" s="14" t="inlineStr">
        <is>
          <t>Assassin</t>
        </is>
      </c>
      <c r="E54" s="14" t="inlineStr">
        <is>
          <t>Season 3, Episode 7</t>
        </is>
      </c>
      <c r="F54" s="20">
        <f>HYPERLINK("https://www.starwars.com/tv-shows/clone-wars/assassin-episode-guide","Episode guide")</f>
        <v/>
      </c>
      <c r="G54" s="20">
        <f>HYPERLINK("https://www.disneyplus.com/video/652f203c-8b9a-4b3f-981a-59915aa99cfb?cid=DTCI-Synergy-DDN-Site-Acquisition-StarWars-US-StarWars-StarWarsTheCloneWars-EN-BlogArticleEmbed-TCWChronological_StreamOnDisneyPlusCTA-NA","Watch")</f>
        <v/>
      </c>
    </row>
    <row r="55" ht="30" customHeight="1" s="23">
      <c r="A55" s="21" t="b">
        <v>0</v>
      </c>
      <c r="B55" s="21" t="n">
        <v>49</v>
      </c>
      <c r="C55" s="21" t="inlineStr">
        <is>
          <t>302</t>
        </is>
      </c>
      <c r="D55" s="14" t="inlineStr">
        <is>
          <t>ARC Troopers</t>
        </is>
      </c>
      <c r="E55" s="14" t="inlineStr">
        <is>
          <t>Season 3, Episode 2</t>
        </is>
      </c>
      <c r="F55" s="20">
        <f>HYPERLINK("https://www.starwars.com/tv-shows/clone-wars/arc-troopers-episode-guide","Episode guide")</f>
        <v/>
      </c>
      <c r="G55" s="20">
        <f>HYPERLINK("https://www.disneyplus.com/video/6e2c8c2f-a7ce-49d5-ad90-88f4a97eb303?cid=DTCI-Synergy-DDN-Site-Acquisition-StarWars-US-StarWars-StarWarsTheCloneWars-EN-BlogArticleEmbed-TCWChronological_StreamOnDisneyPlusCTA-NA","Watch")</f>
        <v/>
      </c>
    </row>
    <row r="56" ht="30" customHeight="1" s="23">
      <c r="A56" s="21" t="b">
        <v>0</v>
      </c>
      <c r="B56" s="21" t="n">
        <v>50</v>
      </c>
      <c r="C56" s="21" t="inlineStr">
        <is>
          <t>304</t>
        </is>
      </c>
      <c r="D56" s="14" t="inlineStr">
        <is>
          <t>Sphere of Influence</t>
        </is>
      </c>
      <c r="E56" s="14" t="inlineStr">
        <is>
          <t>Season 3, Episode 4</t>
        </is>
      </c>
      <c r="F56" s="20">
        <f>HYPERLINK("https://www.starwars.com/tv-shows/clone-wars/sphere-of-influence-episode-guide","Episode guide")</f>
        <v/>
      </c>
      <c r="G56" s="20">
        <f>HYPERLINK("https://www.disneyplus.com/video/b091b508-0880-4cb6-9d2b-24c2075acd52?cid=DTCI-Synergy-DDN-Site-Acquisition-StarWars-US-StarWars-StarWarsTheCloneWars-EN-BlogArticleEmbed-TCWChronological_StreamOnDisneyPlusCTA-NA","Watch")</f>
        <v/>
      </c>
    </row>
    <row r="57" ht="30" customHeight="1" s="23">
      <c r="A57" s="21" t="b">
        <v>0</v>
      </c>
      <c r="B57" s="21" t="n">
        <v>51</v>
      </c>
      <c r="C57" s="21" t="inlineStr">
        <is>
          <t>308</t>
        </is>
      </c>
      <c r="D57" s="14" t="inlineStr">
        <is>
          <t>Evil Plans</t>
        </is>
      </c>
      <c r="E57" s="14" t="inlineStr">
        <is>
          <t>Season 3, Episode 8</t>
        </is>
      </c>
      <c r="F57" s="20">
        <f>HYPERLINK("https://www.starwars.com/tv-shows/clone-wars/evil-plans-episode-guide","Episode guide")</f>
        <v/>
      </c>
      <c r="G57" s="20">
        <f>HYPERLINK("https://www.disneyplus.com/video/c69bad71-ab68-4c2c-8da7-add1e929b6bd?cid=DTCI-Synergy-DDN-Site-Acquisition-StarWars-US-StarWars-StarWarsTheCloneWars-EN-BlogArticleEmbed-TCWChronological_StreamOnDisneyPlusCTA-NA","Watch")</f>
        <v/>
      </c>
    </row>
    <row r="58" ht="30" customHeight="1" s="23">
      <c r="A58" s="21" t="b">
        <v>0</v>
      </c>
      <c r="B58" s="21" t="n">
        <v>52</v>
      </c>
      <c r="C58" s="21" t="inlineStr">
        <is>
          <t>122</t>
        </is>
      </c>
      <c r="D58" s="14" t="inlineStr">
        <is>
          <t>Hostage Crisis</t>
        </is>
      </c>
      <c r="E58" s="14" t="inlineStr">
        <is>
          <t>Season 1, Episode 22</t>
        </is>
      </c>
      <c r="F58" s="20">
        <f>HYPERLINK("https://www.starwars.com/tv-shows/clone-wars/hostage-crisis-episode-guide","Episode guide")</f>
        <v/>
      </c>
      <c r="G58" s="20">
        <f>HYPERLINK("https://www.disneyplus.com/video/fd88476e-ab17-437e-94e3-7465b5adda40?cid=DTCI-Synergy-DDN-Site-Acquisition-StarWars-US-StarWars-StarWarsTheCloneWars-EN-BlogArticleEmbed-TCWChronological_StreamOnDisneyPlusCTA-NA","Watch")</f>
        <v/>
      </c>
    </row>
    <row r="59" ht="30" customHeight="1" s="23">
      <c r="A59" s="21" t="b">
        <v>0</v>
      </c>
      <c r="B59" s="21" t="n">
        <v>53</v>
      </c>
      <c r="C59" s="21" t="inlineStr">
        <is>
          <t>309</t>
        </is>
      </c>
      <c r="D59" s="14" t="inlineStr">
        <is>
          <t>Hunt for Ziro</t>
        </is>
      </c>
      <c r="E59" s="14" t="inlineStr">
        <is>
          <t>Season 3, Episode 9</t>
        </is>
      </c>
      <c r="F59" s="20">
        <f>HYPERLINK("https://www.starwars.com/tv-shows/clone-wars/hunt-for-ziro-episode-guide","Episode guide")</f>
        <v/>
      </c>
      <c r="G59" s="20">
        <f>HYPERLINK("https://www.disneyplus.com/video/b6d7ab23-6fa5-4311-973c-0eebb8e62133?cid=DTCI-Synergy-DDN-Site-Acquisition-StarWars-US-StarWars-StarWarsTheCloneWars-EN-BlogArticleEmbed-TCWChronological_StreamOnDisneyPlusCTA-NA","Watch")</f>
        <v/>
      </c>
    </row>
    <row r="60" ht="30" customHeight="1" s="23">
      <c r="A60" s="21" t="b">
        <v>0</v>
      </c>
      <c r="B60" s="21" t="n">
        <v>54</v>
      </c>
      <c r="C60" s="21" t="inlineStr">
        <is>
          <t>310</t>
        </is>
      </c>
      <c r="D60" s="14" t="inlineStr">
        <is>
          <t>Heroes on Both Sides</t>
        </is>
      </c>
      <c r="E60" s="14" t="inlineStr">
        <is>
          <t>Season 3, Episode 10</t>
        </is>
      </c>
      <c r="F60" s="20">
        <f>HYPERLINK("https://www.starwars.com/tv-shows/clone-wars/heroes-on-both-sides-episode-guide","Episode guide")</f>
        <v/>
      </c>
      <c r="G60" s="20">
        <f>HYPERLINK("https://www.disneyplus.com/video/1e012171-5147-461e-b42c-80ee6bed9c29?cid=DTCI-Synergy-DDN-Site-Acquisition-StarWars-US-StarWars-StarWarsTheCloneWars-EN-BlogArticleEmbed-TCWChronological_StreamOnDisneyPlusCTA-NA","Watch")</f>
        <v/>
      </c>
    </row>
    <row r="61" ht="30" customHeight="1" s="23">
      <c r="A61" s="21" t="b">
        <v>0</v>
      </c>
      <c r="B61" s="21" t="n">
        <v>55</v>
      </c>
      <c r="C61" s="21" t="inlineStr">
        <is>
          <t>311</t>
        </is>
      </c>
      <c r="D61" s="14" t="inlineStr">
        <is>
          <t>Pursuit of Peace</t>
        </is>
      </c>
      <c r="E61" s="14" t="inlineStr">
        <is>
          <t>Season 3, Episode 11</t>
        </is>
      </c>
      <c r="F61" s="20">
        <f>HYPERLINK("https://www.starwars.com/tv-shows/clone-wars/pursuit-of-peace-episode-guide","Episode guide")</f>
        <v/>
      </c>
      <c r="G61" s="20">
        <f>HYPERLINK("https://www.disneyplus.com/video/ac44bc69-553d-4c58-83ab-e621966d35e4?cid=DTCI-Synergy-DDN-Site-Acquisition-StarWars-US-StarWars-StarWarsTheCloneWars-EN-BlogArticleEmbed-TCWChronological_StreamOnDisneyPlusCTA-NA","Watch")</f>
        <v/>
      </c>
    </row>
    <row r="62" ht="30" customHeight="1" s="23">
      <c r="A62" s="21" t="b">
        <v>0</v>
      </c>
      <c r="B62" s="21" t="n">
        <v>56</v>
      </c>
      <c r="C62" s="21" t="inlineStr">
        <is>
          <t>215</t>
        </is>
      </c>
      <c r="D62" s="14" t="inlineStr">
        <is>
          <t>Senate Murders</t>
        </is>
      </c>
      <c r="E62" s="14" t="inlineStr">
        <is>
          <t>Season 2, Episode 15</t>
        </is>
      </c>
      <c r="F62" s="20">
        <f>HYPERLINK("https://www.starwars.com/tv-shows/clone-wars/senate-murders-episode-guide","Episode guide")</f>
        <v/>
      </c>
      <c r="G62" s="20">
        <f>HYPERLINK("https://www.disneyplus.com/video/af719ca6-3fae-435e-a2f5-07d5a3f6499d?cid=DTCI-Synergy-DDN-Site-Acquisition-StarWars-US-StarWars-StarWarsTheCloneWars-EN-BlogArticleEmbed-TCWChronological_StreamOnDisneyPlusCTA-NA","Watch")</f>
        <v/>
      </c>
    </row>
    <row r="63" ht="30" customHeight="1" s="23">
      <c r="A63" s="21" t="b">
        <v>0</v>
      </c>
      <c r="B63" s="21" t="n">
        <v>57</v>
      </c>
      <c r="C63" s="21" t="inlineStr">
        <is>
          <t>312</t>
        </is>
      </c>
      <c r="D63" s="14" t="inlineStr">
        <is>
          <t>Nightsisters</t>
        </is>
      </c>
      <c r="E63" s="14" t="inlineStr">
        <is>
          <t>Season 3, Episode 12</t>
        </is>
      </c>
      <c r="F63" s="20">
        <f>HYPERLINK("https://www.starwars.com/tv-shows/clone-wars/nightsisters-episode-guide","Episode guide")</f>
        <v/>
      </c>
      <c r="G63" s="20">
        <f>HYPERLINK("https://www.disneyplus.com/video/7efbccb3-2bc5-4271-8e20-ab78c9efbccc?cid=DTCI-Synergy-DDN-Site-Acquisition-StarWars-US-StarWars-StarWarsTheCloneWars-EN-BlogArticleEmbed-TCWChronological_StreamOnDisneyPlusCTA-NA","Watch")</f>
        <v/>
      </c>
    </row>
    <row r="64" ht="30" customHeight="1" s="23">
      <c r="A64" s="21" t="b">
        <v>0</v>
      </c>
      <c r="B64" s="21" t="n">
        <v>58</v>
      </c>
      <c r="C64" s="21" t="inlineStr">
        <is>
          <t>313</t>
        </is>
      </c>
      <c r="D64" s="14" t="inlineStr">
        <is>
          <t>Monster</t>
        </is>
      </c>
      <c r="E64" s="14" t="inlineStr">
        <is>
          <t>Season 3, Episode 13</t>
        </is>
      </c>
      <c r="F64" s="20">
        <f>HYPERLINK("https://www.starwars.com/tv-shows/clone-wars/monster-episode-guide","Episode guide")</f>
        <v/>
      </c>
      <c r="G64" s="20">
        <f>HYPERLINK("https://www.disneyplus.com/video/60ae22d3-0e23-42ae-9931-30076c8cd519?cid=DTCI-Synergy-DDN-Site-Acquisition-StarWars-US-StarWars-StarWarsTheCloneWars-EN-BlogArticleEmbed-TCWChronological_StreamOnDisneyPlusCTA-NA","Watch")</f>
        <v/>
      </c>
    </row>
    <row r="65" ht="30" customHeight="1" s="23">
      <c r="A65" s="21" t="b">
        <v>0</v>
      </c>
      <c r="B65" s="21" t="n">
        <v>59</v>
      </c>
      <c r="C65" s="21" t="inlineStr">
        <is>
          <t>314</t>
        </is>
      </c>
      <c r="D65" s="14" t="inlineStr">
        <is>
          <t>Witches of the Mist</t>
        </is>
      </c>
      <c r="E65" s="14" t="inlineStr">
        <is>
          <t>Season 3, Episode 14</t>
        </is>
      </c>
      <c r="F65" s="20">
        <f>HYPERLINK("https://www.starwars.com/tv-shows/clone-wars/witches-of-the-mist-episode-guide","Episode guide")</f>
        <v/>
      </c>
      <c r="G65" s="20">
        <f>HYPERLINK("https://www.disneyplus.com/video/43682151-f351-4280-9a86-ca1986ac7a72?cid=DTCI-Synergy-DDN-Site-Acquisition-StarWars-US-StarWars-StarWarsTheCloneWars-EN-BlogArticleEmbed-TCWChronological_StreamOnDisneyPlusCTA-NA","Watch")</f>
        <v/>
      </c>
    </row>
    <row r="66" ht="30" customHeight="1" s="23">
      <c r="A66" s="21" t="b">
        <v>0</v>
      </c>
      <c r="B66" s="21" t="n">
        <v>60</v>
      </c>
      <c r="C66" s="21" t="inlineStr">
        <is>
          <t>315</t>
        </is>
      </c>
      <c r="D66" s="14" t="inlineStr">
        <is>
          <t>Overlords</t>
        </is>
      </c>
      <c r="E66" s="14" t="inlineStr">
        <is>
          <t>Season 3, Episode 15</t>
        </is>
      </c>
      <c r="F66" s="20">
        <f>HYPERLINK("https://www.starwars.com/tv-shows/clone-wars/overlords-episode-guide","Episode guide")</f>
        <v/>
      </c>
      <c r="G66" s="20">
        <f>HYPERLINK("https://www.disneyplus.com/video/48c78dd1-73f6-40ef-9e0d-d469ea00ada8?cid=DTCI-Synergy-DDN-Site-Acquisition-StarWars-US-StarWars-StarWarsTheCloneWars-EN-BlogArticleEmbed-TCWChronological_StreamOnDisneyPlusCTA-NA","Watch")</f>
        <v/>
      </c>
    </row>
    <row r="67" ht="30" customHeight="1" s="23">
      <c r="A67" s="21" t="b">
        <v>0</v>
      </c>
      <c r="B67" s="21" t="n">
        <v>61</v>
      </c>
      <c r="C67" s="21" t="inlineStr">
        <is>
          <t>316</t>
        </is>
      </c>
      <c r="D67" s="14" t="inlineStr">
        <is>
          <t>Altar of Mortis</t>
        </is>
      </c>
      <c r="E67" s="14" t="inlineStr">
        <is>
          <t>Season 3, Episode 16</t>
        </is>
      </c>
      <c r="F67" s="20">
        <f>HYPERLINK("https://www.starwars.com/tv-shows/clone-wars/altar-of-mortis-episode-guide","Episode guide")</f>
        <v/>
      </c>
      <c r="G67" s="20">
        <f>HYPERLINK("https://www.disneyplus.com/video/75e60bba-9b85-4531-aec2-7f3b9ed18e4c?cid=DTCI-Synergy-DDN-Site-Acquisition-StarWars-US-StarWars-StarWarsTheCloneWars-EN-BlogArticleEmbed-TCWChronological_StreamOnDisneyPlusCTA-NA","Watch")</f>
        <v/>
      </c>
    </row>
    <row r="68" ht="30" customHeight="1" s="23">
      <c r="A68" s="21" t="b">
        <v>0</v>
      </c>
      <c r="B68" s="21" t="n">
        <v>62</v>
      </c>
      <c r="C68" s="21" t="inlineStr">
        <is>
          <t>317</t>
        </is>
      </c>
      <c r="D68" s="14" t="inlineStr">
        <is>
          <t>Ghosts of Mortis</t>
        </is>
      </c>
      <c r="E68" s="14" t="inlineStr">
        <is>
          <t>Season 3, Episode 17</t>
        </is>
      </c>
      <c r="F68" s="20">
        <f>HYPERLINK("https://www.starwars.com/tv-shows/clone-wars/ghosts-of-mortis-episode-guide","Episode guide")</f>
        <v/>
      </c>
      <c r="G68" s="20">
        <f>HYPERLINK("https://www.disneyplus.com/video/6eccdac1-2d29-416d-88f7-779791c8bbca?cid=DTCI-Synergy-DDN-Site-Acquisition-StarWars-US-StarWars-StarWarsTheCloneWars-EN-BlogArticleEmbed-TCWChronological_StreamOnDisneyPlusCTA-NA","Watch")</f>
        <v/>
      </c>
    </row>
    <row r="69" ht="30" customHeight="1" s="23">
      <c r="A69" s="21" t="b">
        <v>0</v>
      </c>
      <c r="B69" s="21" t="n">
        <v>63</v>
      </c>
      <c r="C69" s="21" t="inlineStr">
        <is>
          <t>318</t>
        </is>
      </c>
      <c r="D69" s="14" t="inlineStr">
        <is>
          <t>The Citadel</t>
        </is>
      </c>
      <c r="E69" s="14" t="inlineStr">
        <is>
          <t>Season 3, Episode 18</t>
        </is>
      </c>
      <c r="F69" s="20">
        <f>HYPERLINK("https://www.starwars.com/tv-shows/clone-wars/the-citadel-episode-guide","Episode guide")</f>
        <v/>
      </c>
      <c r="G69" s="20">
        <f>HYPERLINK("https://www.disneyplus.com/video/5ce7d03a-c7d7-4e63-8cb1-eae92bcd1349?cid=DTCI-Synergy-DDN-Site-Acquisition-StarWars-US-StarWars-StarWarsTheCloneWars-EN-BlogArticleEmbed-TCWChronological_StreamOnDisneyPlusCTA-NA","Watch")</f>
        <v/>
      </c>
    </row>
    <row r="70" ht="30" customHeight="1" s="23">
      <c r="A70" s="21" t="b">
        <v>0</v>
      </c>
      <c r="B70" s="21" t="n">
        <v>64</v>
      </c>
      <c r="C70" s="21" t="inlineStr">
        <is>
          <t>319</t>
        </is>
      </c>
      <c r="D70" s="14" t="inlineStr">
        <is>
          <t>Counter Attack</t>
        </is>
      </c>
      <c r="E70" s="14" t="inlineStr">
        <is>
          <t>Season 3, Episode 19</t>
        </is>
      </c>
      <c r="F70" s="20">
        <f>HYPERLINK("https://www.starwars.com/tv-shows/clone-wars/counterattack-episode-guide","Episode guide")</f>
        <v/>
      </c>
      <c r="G70" s="20">
        <f>HYPERLINK("https://www.disneyplus.com/video/da31968a-f4f6-457b-8d4a-9938d5bdb6f0?cid=DTCI-Synergy-DDN-Site-Acquisition-StarWars-US-StarWars-StarWarsTheCloneWars-EN-BlogArticleEmbed-TCWChronological_StreamOnDisneyPlusCTA-NA","Watch")</f>
        <v/>
      </c>
    </row>
    <row r="71" ht="30" customHeight="1" s="23">
      <c r="A71" s="21" t="b">
        <v>0</v>
      </c>
      <c r="B71" s="21" t="n">
        <v>65</v>
      </c>
      <c r="C71" s="21" t="inlineStr">
        <is>
          <t>320</t>
        </is>
      </c>
      <c r="D71" s="14" t="inlineStr">
        <is>
          <t>Citadel Rescue</t>
        </is>
      </c>
      <c r="E71" s="14" t="inlineStr">
        <is>
          <t>Season 3, Episode 20</t>
        </is>
      </c>
      <c r="F71" s="20">
        <f>HYPERLINK("https://www.starwars.com/tv-shows/clone-wars/citadel-rescue-episode-guide","Episode guide")</f>
        <v/>
      </c>
      <c r="G71" s="20">
        <f>HYPERLINK("https://www.disneyplus.com/video/8799713b-3cd0-48e7-b32d-aef303971020?cid=DTCI-Synergy-DDN-Site-Acquisition-StarWars-US-StarWars-StarWarsTheCloneWars-EN-BlogArticleEmbed-TCWChronological_StreamOnDisneyPlusCTA-NA","Watch")</f>
        <v/>
      </c>
    </row>
    <row r="72" ht="30" customHeight="1" s="23">
      <c r="A72" s="21" t="b">
        <v>0</v>
      </c>
      <c r="B72" s="21" t="n">
        <v>66</v>
      </c>
      <c r="C72" s="21" t="inlineStr">
        <is>
          <t>321</t>
        </is>
      </c>
      <c r="D72" s="14" t="inlineStr">
        <is>
          <t>Padawan Lost</t>
        </is>
      </c>
      <c r="E72" s="14" t="inlineStr">
        <is>
          <t>Season 3, Episode 21</t>
        </is>
      </c>
      <c r="F72" s="20">
        <f>HYPERLINK("https://www.starwars.com/tv-shows/clone-wars/padawan-lost-episode-guide","Episode guide")</f>
        <v/>
      </c>
      <c r="G72" s="20">
        <f>HYPERLINK("https://www.disneyplus.com/video/e9010f4d-8e53-4100-9e56-37526a34d8cb?cid=DTCI-Synergy-DDN-Site-Acquisition-StarWars-US-StarWars-StarWarsTheCloneWars-EN-BlogArticleEmbed-TCWChronological_StreamOnDisneyPlusCTA-NA","Watch")</f>
        <v/>
      </c>
    </row>
    <row r="73" ht="30" customHeight="1" s="23">
      <c r="A73" s="21" t="b">
        <v>0</v>
      </c>
      <c r="B73" s="21" t="n">
        <v>67</v>
      </c>
      <c r="C73" s="21" t="inlineStr">
        <is>
          <t>322</t>
        </is>
      </c>
      <c r="D73" s="14" t="inlineStr">
        <is>
          <t>Wookiee Hunt</t>
        </is>
      </c>
      <c r="E73" s="14" t="inlineStr">
        <is>
          <t>Season 3, Episode 22</t>
        </is>
      </c>
      <c r="F73" s="20">
        <f>HYPERLINK("https://www.starwars.com/tv-shows/clone-wars/wookiee-hunt-episode-guide","Episode guide")</f>
        <v/>
      </c>
      <c r="G73" s="20">
        <f>HYPERLINK("https://www.disneyplus.com/video/d332b464-3b44-4ace-af1b-bcabcf5f9155?cid=DTCI-Synergy-DDN-Site-Acquisition-StarWars-US-StarWars-StarWarsTheCloneWars-EN-BlogArticleEmbed-TCWChronological_StreamOnDisneyPlusCTA-NA","Watch")</f>
        <v/>
      </c>
    </row>
    <row r="74" ht="30" customHeight="1" s="23">
      <c r="A74" s="21" t="b">
        <v>0</v>
      </c>
      <c r="B74" s="21" t="n">
        <v>68</v>
      </c>
      <c r="C74" s="21" t="inlineStr">
        <is>
          <t>401</t>
        </is>
      </c>
      <c r="D74" s="14" t="inlineStr">
        <is>
          <t>Water War</t>
        </is>
      </c>
      <c r="E74" s="14" t="inlineStr">
        <is>
          <t>Season 4, Episode 1</t>
        </is>
      </c>
      <c r="F74" s="20">
        <f>HYPERLINK("https://www.starwars.com/tv-shows/clone-wars/water-war-episode-guide","Episode guide")</f>
        <v/>
      </c>
      <c r="G74" s="20">
        <f>HYPERLINK("https://www.disneyplus.com/video/0118dfcf-cb59-44eb-bb93-15888e9cb8a6?cid=DTCI-Synergy-DDN-Site-Acquisition-StarWars-US-StarWars-StarWarsTheCloneWars-EN-BlogArticleEmbed-TCWChronological_StreamOnDisneyPlusCTA-NA","Watch")</f>
        <v/>
      </c>
    </row>
    <row r="75" ht="30" customHeight="1" s="23">
      <c r="A75" s="21" t="b">
        <v>0</v>
      </c>
      <c r="B75" s="21" t="n">
        <v>69</v>
      </c>
      <c r="C75" s="21" t="inlineStr">
        <is>
          <t>402</t>
        </is>
      </c>
      <c r="D75" s="14" t="inlineStr">
        <is>
          <t>Gungan Attack</t>
        </is>
      </c>
      <c r="E75" s="14" t="inlineStr">
        <is>
          <t>Season 4, Episode 2</t>
        </is>
      </c>
      <c r="F75" s="20">
        <f>HYPERLINK("https://www.starwars.com/tv-shows/clone-wars/gungan-attack-episode-guide","Episode guide")</f>
        <v/>
      </c>
      <c r="G75" s="20">
        <f>HYPERLINK("https://www.disneyplus.com/video/661736f6-035f-4d8f-98b7-d1a75d3359db?cid=DTCI-Synergy-DDN-Site-Acquisition-StarWars-US-StarWars-StarWarsTheCloneWars-EN-BlogArticleEmbed-TCWChronological_StreamOnDisneyPlusCTA-NA","Watch")</f>
        <v/>
      </c>
    </row>
    <row r="76" ht="30" customHeight="1" s="23">
      <c r="A76" s="21" t="b">
        <v>0</v>
      </c>
      <c r="B76" s="21" t="n">
        <v>70</v>
      </c>
      <c r="C76" s="21" t="inlineStr">
        <is>
          <t>403</t>
        </is>
      </c>
      <c r="D76" s="14" t="inlineStr">
        <is>
          <t>Prisoners</t>
        </is>
      </c>
      <c r="E76" s="14" t="inlineStr">
        <is>
          <t>Season 4, Episode 3</t>
        </is>
      </c>
      <c r="F76" s="20">
        <f>HYPERLINK("https://www.starwars.com/tv-shows/clone-wars/prisoners-episode-guide","Episode guide")</f>
        <v/>
      </c>
      <c r="G76" s="20">
        <f>HYPERLINK("https://www.disneyplus.com/video/a78235e0-c137-410c-abd8-69601e432648?cid=DTCI-Synergy-DDN-Site-Acquisition-StarWars-US-StarWars-StarWarsTheCloneWars-EN-BlogArticleEmbed-TCWChronological_StreamOnDisneyPlusCTA-NA","Watch")</f>
        <v/>
      </c>
    </row>
    <row r="77" ht="30" customHeight="1" s="23">
      <c r="A77" s="21" t="b">
        <v>0</v>
      </c>
      <c r="B77" s="21" t="n">
        <v>71</v>
      </c>
      <c r="C77" s="21" t="inlineStr">
        <is>
          <t>404</t>
        </is>
      </c>
      <c r="D77" s="14" t="inlineStr">
        <is>
          <t>Shadow Warrior</t>
        </is>
      </c>
      <c r="E77" s="14" t="inlineStr">
        <is>
          <t>Season 4, Episode 4</t>
        </is>
      </c>
      <c r="F77" s="20">
        <f>HYPERLINK("https://www.starwars.com/tv-shows/clone-wars/shadow-warrior-episode-guide","Episode guide")</f>
        <v/>
      </c>
      <c r="G77" s="20">
        <f>HYPERLINK("https://www.disneyplus.com/video/794938c4-0700-4b1f-a6c3-20aff7ca1b39?cid=DTCI-Synergy-DDN-Site-Acquisition-StarWars-US-StarWars-StarWarsTheCloneWars-EN-BlogArticleEmbed-TCWChronological_StreamOnDisneyPlusCTA-NA","Watch")</f>
        <v/>
      </c>
    </row>
    <row r="78" ht="30" customHeight="1" s="23">
      <c r="A78" s="21" t="b">
        <v>0</v>
      </c>
      <c r="B78" s="21" t="n">
        <v>72</v>
      </c>
      <c r="C78" s="21" t="inlineStr">
        <is>
          <t>405</t>
        </is>
      </c>
      <c r="D78" s="14" t="inlineStr">
        <is>
          <t>Mercy Mission</t>
        </is>
      </c>
      <c r="E78" s="14" t="inlineStr">
        <is>
          <t>Season 4, Episode 5</t>
        </is>
      </c>
      <c r="F78" s="20">
        <f>HYPERLINK("https://www.starwars.com/tv-shows/clone-wars/mercy-mission-episode-guide","Episode guide")</f>
        <v/>
      </c>
      <c r="G78" s="20">
        <f>HYPERLINK("https://www.disneyplus.com/video/1d717a67-fdce-4404-aed6-3cca361e0946?cid=DTCI-Synergy-DDN-Site-Acquisition-StarWars-US-StarWars-StarWarsTheCloneWars-EN-BlogArticleEmbed-TCWChronological_StreamOnDisneyPlusCTA-NA","Watch")</f>
        <v/>
      </c>
    </row>
    <row r="79" ht="30" customHeight="1" s="23">
      <c r="A79" s="21" t="b">
        <v>0</v>
      </c>
      <c r="B79" s="21" t="n">
        <v>73</v>
      </c>
      <c r="C79" s="21" t="inlineStr">
        <is>
          <t>406</t>
        </is>
      </c>
      <c r="D79" s="14" t="inlineStr">
        <is>
          <t>Nomad Droids</t>
        </is>
      </c>
      <c r="E79" s="14" t="inlineStr">
        <is>
          <t>Season 4, Episode 6</t>
        </is>
      </c>
      <c r="F79" s="20">
        <f>HYPERLINK("https://www.starwars.com/tv-shows/clone-wars/nomad-droids-episode-guide","Episode guide")</f>
        <v/>
      </c>
      <c r="G79" s="20">
        <f>HYPERLINK("https://www.disneyplus.com/video/70b7d424-fd27-4388-b934-b4bfad3f898d?cid=DTCI-Synergy-DDN-Site-Acquisition-StarWars-US-StarWars-StarWarsTheCloneWars-EN-BlogArticleEmbed-TCWChronological_StreamOnDisneyPlusCTA-NA","Watch")</f>
        <v/>
      </c>
    </row>
    <row r="80" ht="30" customHeight="1" s="23">
      <c r="A80" s="21" t="b">
        <v>0</v>
      </c>
      <c r="B80" s="21" t="n">
        <v>74</v>
      </c>
      <c r="C80" s="21" t="inlineStr">
        <is>
          <t>407</t>
        </is>
      </c>
      <c r="D80" s="14" t="inlineStr">
        <is>
          <t>Darkness on Umbara</t>
        </is>
      </c>
      <c r="E80" s="14" t="inlineStr">
        <is>
          <t>Season 4, Episode 7</t>
        </is>
      </c>
      <c r="F80" s="20">
        <f>HYPERLINK("https://www.starwars.com/tv-shows/clone-wars/darkness-on-umbara-episode-guide","Episode guide")</f>
        <v/>
      </c>
      <c r="G80" s="20">
        <f>HYPERLINK("https://www.disneyplus.com/video/f9bfac62-4bb9-443b-905c-db5d978df3f2?cid=DTCI-Synergy-DDN-Site-Acquisition-StarWars-US-StarWars-StarWarsTheCloneWars-EN-BlogArticleEmbed-TCWChronological_StreamOnDisneyPlusCTA-NA","Watch")</f>
        <v/>
      </c>
    </row>
    <row r="81" ht="30" customHeight="1" s="23">
      <c r="A81" s="21" t="b">
        <v>0</v>
      </c>
      <c r="B81" s="21" t="n">
        <v>75</v>
      </c>
      <c r="C81" s="21" t="inlineStr">
        <is>
          <t>408</t>
        </is>
      </c>
      <c r="D81" s="14" t="inlineStr">
        <is>
          <t>The General</t>
        </is>
      </c>
      <c r="E81" s="14" t="inlineStr">
        <is>
          <t>Season 4, Episode 8</t>
        </is>
      </c>
      <c r="F81" s="20">
        <f>HYPERLINK("https://www.starwars.com/tv-shows/clone-wars/the-general-episode-guide","Episode guide")</f>
        <v/>
      </c>
      <c r="G81" s="20">
        <f>HYPERLINK("https://www.disneyplus.com/video/61e6b80b-ae44-431d-ae37-3ff46db6fdf6?cid=DTCI-Synergy-DDN-Site-Acquisition-StarWars-US-StarWars-StarWarsTheCloneWars-EN-BlogArticleEmbed-TCWChronological_StreamOnDisneyPlusCTA-NA","Watch")</f>
        <v/>
      </c>
    </row>
    <row r="82" ht="30" customHeight="1" s="23">
      <c r="A82" s="21" t="b">
        <v>0</v>
      </c>
      <c r="B82" s="21" t="n">
        <v>76</v>
      </c>
      <c r="C82" s="21" t="inlineStr">
        <is>
          <t>409</t>
        </is>
      </c>
      <c r="D82" s="14" t="inlineStr">
        <is>
          <t>Plan of Dissent</t>
        </is>
      </c>
      <c r="E82" s="14" t="inlineStr">
        <is>
          <t>Season 4, Episode 9</t>
        </is>
      </c>
      <c r="F82" s="20">
        <f>HYPERLINK("https://www.starwars.com/tv-shows/clone-wars/plan-of-dissent-episode-guide","Episode guide")</f>
        <v/>
      </c>
      <c r="G82" s="20">
        <f>HYPERLINK("https://www.disneyplus.com/video/5dfa03d3-ec0c-462e-96b9-9995bb5b7e1d?cid=DTCI-Synergy-DDN-Site-Acquisition-StarWars-US-StarWars-StarWarsTheCloneWars-EN-BlogArticleEmbed-TCWChronological_StreamOnDisneyPlusCTA-NA","Watch")</f>
        <v/>
      </c>
    </row>
    <row r="83" ht="30" customHeight="1" s="23">
      <c r="A83" s="21" t="b">
        <v>0</v>
      </c>
      <c r="B83" s="21" t="n">
        <v>77</v>
      </c>
      <c r="C83" s="21" t="inlineStr">
        <is>
          <t>410</t>
        </is>
      </c>
      <c r="D83" s="14" t="inlineStr">
        <is>
          <t>Carnage of Krell</t>
        </is>
      </c>
      <c r="E83" s="14" t="inlineStr">
        <is>
          <t>Season 4, Episode 10</t>
        </is>
      </c>
      <c r="F83" s="20">
        <f>HYPERLINK("https://www.starwars.com/tv-shows/clone-wars/carnage-of-krell-episode-guide","Episode guide")</f>
        <v/>
      </c>
      <c r="G83" s="20">
        <f>HYPERLINK("https://www.disneyplus.com/video/3ea87b6f-c298-4847-a69d-05d6ec748f59?cid=DTCI-Synergy-DDN-Site-Acquisition-StarWars-US-StarWars-StarWarsTheCloneWars-EN-BlogArticleEmbed-TCWChronological_StreamOnDisneyPlusCTA-NA","Watch")</f>
        <v/>
      </c>
    </row>
    <row r="84" ht="30" customHeight="1" s="23">
      <c r="A84" s="21" t="b">
        <v>0</v>
      </c>
      <c r="B84" s="21" t="n">
        <v>78</v>
      </c>
      <c r="C84" s="21" t="inlineStr">
        <is>
          <t>411</t>
        </is>
      </c>
      <c r="D84" s="14" t="inlineStr">
        <is>
          <t>Kidnapped</t>
        </is>
      </c>
      <c r="E84" s="14" t="inlineStr">
        <is>
          <t>Season 4, Episode 11</t>
        </is>
      </c>
      <c r="F84" s="20">
        <f>HYPERLINK("https://www.starwars.com/tv-shows/clone-wars/kidnapped-episode-guide","Episode guide")</f>
        <v/>
      </c>
      <c r="G84" s="20">
        <f>HYPERLINK("https://www.disneyplus.com/video/02bd06fc-230f-4667-b9da-23fb11d66b70?cid=DTCI-Synergy-DDN-Site-Acquisition-StarWars-US-StarWars-StarWarsTheCloneWars-EN-BlogArticleEmbed-TCWChronological_StreamOnDisneyPlusCTA-NA","Watch")</f>
        <v/>
      </c>
    </row>
    <row r="85" ht="30" customHeight="1" s="23">
      <c r="A85" s="21" t="b">
        <v>0</v>
      </c>
      <c r="B85" s="21" t="n">
        <v>79</v>
      </c>
      <c r="C85" s="21" t="inlineStr">
        <is>
          <t>412</t>
        </is>
      </c>
      <c r="D85" s="14" t="inlineStr">
        <is>
          <t>Slaves of the Republic</t>
        </is>
      </c>
      <c r="E85" s="14" t="inlineStr">
        <is>
          <t>Season 4, Episode 12</t>
        </is>
      </c>
      <c r="F85" s="20">
        <f>HYPERLINK("https://www.starwars.com/tv-shows/clone-wars/slaves-of-the-republic-episode-guide","Episode guide")</f>
        <v/>
      </c>
      <c r="G85" s="20">
        <f>HYPERLINK("https://www.disneyplus.com/video/22ffd322-9702-403f-93d3-47dc7780e062?cid=DTCI-Synergy-DDN-Site-Acquisition-StarWars-US-StarWars-StarWarsTheCloneWars-EN-BlogArticleEmbed-TCWChronological_StreamOnDisneyPlusCTA-NA","Watch")</f>
        <v/>
      </c>
    </row>
    <row r="86" ht="30" customHeight="1" s="23">
      <c r="A86" s="21" t="b">
        <v>0</v>
      </c>
      <c r="B86" s="21" t="n">
        <v>80</v>
      </c>
      <c r="C86" s="21" t="inlineStr">
        <is>
          <t>413</t>
        </is>
      </c>
      <c r="D86" s="14" t="inlineStr">
        <is>
          <t>Escape from Kadavo</t>
        </is>
      </c>
      <c r="E86" s="14" t="inlineStr">
        <is>
          <t>Season 4, Episode 13</t>
        </is>
      </c>
      <c r="F86" s="20">
        <f>HYPERLINK("https://www.starwars.com/tv-shows/clone-wars/escape-from-kadavo-episode-guide","Episode guide")</f>
        <v/>
      </c>
      <c r="G86" s="20">
        <f>HYPERLINK("https://www.disneyplus.com/video/b2e1fd41-8496-4860-9ef8-80bed1b92754?cid=DTCI-Synergy-DDN-Site-Acquisition-StarWars-US-StarWars-StarWarsTheCloneWars-EN-BlogArticleEmbed-TCWChronological_StreamOnDisneyPlusCTA-NA","Watch")</f>
        <v/>
      </c>
    </row>
    <row r="87" ht="30" customHeight="1" s="23">
      <c r="A87" s="21" t="b">
        <v>0</v>
      </c>
      <c r="B87" s="21" t="n">
        <v>81</v>
      </c>
      <c r="C87" s="21" t="inlineStr">
        <is>
          <t>414</t>
        </is>
      </c>
      <c r="D87" s="14" t="inlineStr">
        <is>
          <t>A Friend in Need</t>
        </is>
      </c>
      <c r="E87" s="14" t="inlineStr">
        <is>
          <t>Season 4, Episode 14</t>
        </is>
      </c>
      <c r="F87" s="20">
        <f>HYPERLINK("https://www.starwars.com/series/clone-wars/-episode-guidea-friend-in-need","Episode guide")</f>
        <v/>
      </c>
      <c r="G87" s="20">
        <f>HYPERLINK("https://www.disneyplus.com/video/916bff39-2aae-47db-b43a-e22f4179d093?cid=DTCI-Synergy-DDN-Site-Acquisition-StarWars-US-StarWars-StarWarsTheCloneWars-EN-BlogArticleEmbed-TCWChronological_StreamOnDisneyPlusCTA-NA","Watch")</f>
        <v/>
      </c>
    </row>
    <row r="88" ht="30" customHeight="1" s="23">
      <c r="A88" s="21" t="b">
        <v>0</v>
      </c>
      <c r="B88" s="21" t="n">
        <v>82</v>
      </c>
      <c r="C88" s="21" t="inlineStr">
        <is>
          <t>415</t>
        </is>
      </c>
      <c r="D88" s="14" t="inlineStr">
        <is>
          <t>Deception</t>
        </is>
      </c>
      <c r="E88" s="14" t="inlineStr">
        <is>
          <t>Season 4, Episode 15</t>
        </is>
      </c>
      <c r="F88" s="20">
        <f>HYPERLINK("https://www.starwars.com/series/clone-wars/deception-episode-guide","Episode guide")</f>
        <v/>
      </c>
      <c r="G88" s="20">
        <f>HYPERLINK("https://www.disneyplus.com/video/c639cb21-5137-4090-a440-8f84a171d235?cid=DTCI-Synergy-DDN-Site-Acquisition-StarWars-US-StarWars-StarWarsTheCloneWars-EN-BlogArticleEmbed-TCWChronological_StreamOnDisneyPlusCTA-NA","Watch")</f>
        <v/>
      </c>
    </row>
    <row r="89" ht="30" customHeight="1" s="23">
      <c r="A89" s="21" t="b">
        <v>0</v>
      </c>
      <c r="B89" s="21" t="n">
        <v>83</v>
      </c>
      <c r="C89" s="21" t="inlineStr">
        <is>
          <t>416</t>
        </is>
      </c>
      <c r="D89" s="14" t="inlineStr">
        <is>
          <t>Friends and Enemies</t>
        </is>
      </c>
      <c r="E89" s="14" t="inlineStr">
        <is>
          <t>Season 4, Episode 16</t>
        </is>
      </c>
      <c r="F89" s="20">
        <f>HYPERLINK("https://www.starwars.com/tv-shows/clone-wars/friends-and-enemies-episode-guide","Episode guide")</f>
        <v/>
      </c>
      <c r="G89" s="20">
        <f>HYPERLINK("https://www.disneyplus.com/video/8fa14ce6-7c73-48b9-b271-16dffeb62fec?cid=DTCI-Synergy-DDN-Site-Acquisition-StarWars-US-StarWars-StarWarsTheCloneWars-EN-BlogArticleEmbed-TCWChronological_StreamOnDisneyPlusCTA-NA","Watch")</f>
        <v/>
      </c>
    </row>
    <row r="90" ht="30" customHeight="1" s="23">
      <c r="A90" s="21" t="b">
        <v>0</v>
      </c>
      <c r="B90" s="21" t="n">
        <v>84</v>
      </c>
      <c r="C90" s="21" t="inlineStr">
        <is>
          <t>417</t>
        </is>
      </c>
      <c r="D90" s="14" t="inlineStr">
        <is>
          <t>The Box</t>
        </is>
      </c>
      <c r="E90" s="14" t="inlineStr">
        <is>
          <t>Season 4, Episode 17</t>
        </is>
      </c>
      <c r="F90" s="20">
        <f>HYPERLINK("https://www.starwars.com/tv-shows/clone-wars/the-box-episode-guide","Episode guide")</f>
        <v/>
      </c>
      <c r="G90" s="20">
        <f>HYPERLINK("https://www.disneyplus.com/video/f95cb9de-abf7-4d7f-8a65-d9a731a60f47?cid=DTCI-Synergy-DDN-Site-Acquisition-StarWars-US-StarWars-StarWarsTheCloneWars-EN-BlogArticleEmbed-TCWChronological_StreamOnDisneyPlusCTA-NA","Watch")</f>
        <v/>
      </c>
    </row>
    <row r="91" ht="30" customHeight="1" s="23">
      <c r="A91" s="21" t="b">
        <v>0</v>
      </c>
      <c r="B91" s="21" t="n">
        <v>85</v>
      </c>
      <c r="C91" s="21" t="inlineStr">
        <is>
          <t>418</t>
        </is>
      </c>
      <c r="D91" s="14" t="inlineStr">
        <is>
          <t>Crisis on Naboo</t>
        </is>
      </c>
      <c r="E91" s="14" t="inlineStr">
        <is>
          <t>Season 4, Episode 18</t>
        </is>
      </c>
      <c r="F91" s="20">
        <f>HYPERLINK("https://www.starwars.com/tv-shows/clone-wars/crisis-on-naboo-episode-guide","Episode guide")</f>
        <v/>
      </c>
      <c r="G91" s="20">
        <f>HYPERLINK("https://www.disneyplus.com/video/ca31a17c-8cb2-4b69-acf5-4f1e399abf5d?cid=DTCI-Synergy-DDN-Site-Acquisition-StarWars-US-StarWars-StarWarsTheCloneWars-EN-BlogArticleEmbed-TCWChronological_StreamOnDisneyPlusCTA-NA","Watch")</f>
        <v/>
      </c>
    </row>
    <row r="92" ht="30" customHeight="1" s="23">
      <c r="A92" s="21" t="b">
        <v>0</v>
      </c>
      <c r="B92" s="21" t="n">
        <v>86</v>
      </c>
      <c r="C92" s="21" t="inlineStr">
        <is>
          <t>419</t>
        </is>
      </c>
      <c r="D92" s="14" t="inlineStr">
        <is>
          <t>Massacre</t>
        </is>
      </c>
      <c r="E92" s="14" t="inlineStr">
        <is>
          <t>Season 4, Episode 19</t>
        </is>
      </c>
      <c r="F92" s="20">
        <f>HYPERLINK("https://www.starwars.com/tv-shows/clone-wars/massacre-episode-guide","Episode guide")</f>
        <v/>
      </c>
      <c r="G92" s="20">
        <f>HYPERLINK("https://www.disneyplus.com/video/2467b031-3144-40b8-a3c2-55160986820d?cid=DTCI-Synergy-DDN-Site-Acquisition-StarWars-US-StarWars-StarWarsTheCloneWars-EN-BlogArticleEmbed-TCWChronological_StreamOnDisneyPlusCTA-NA","Watch")</f>
        <v/>
      </c>
    </row>
    <row r="93" ht="30" customHeight="1" s="23">
      <c r="A93" s="21" t="b">
        <v>0</v>
      </c>
      <c r="B93" s="21" t="n">
        <v>87</v>
      </c>
      <c r="C93" s="21" t="inlineStr">
        <is>
          <t>420</t>
        </is>
      </c>
      <c r="D93" s="14" t="inlineStr">
        <is>
          <t>Bounty</t>
        </is>
      </c>
      <c r="E93" s="14" t="inlineStr">
        <is>
          <t>Season 4, Episode 20</t>
        </is>
      </c>
      <c r="F93" s="20">
        <f>HYPERLINK("https://www.starwars.com/tv-shows/clone-wars/bounty-episode-guide","Episode guide")</f>
        <v/>
      </c>
      <c r="G93" s="20">
        <f>HYPERLINK("https://www.disneyplus.com/video/f7e92583-e67e-4ade-8da8-f64a2b38534a?cid=DTCI-Synergy-DDN-Site-Acquisition-StarWars-US-StarWars-StarWarsTheCloneWars-EN-BlogArticleEmbed-TCWChronological_StreamOnDisneyPlusCTA-NA","Watch")</f>
        <v/>
      </c>
    </row>
    <row r="94" ht="30" customHeight="1" s="23">
      <c r="A94" s="21" t="b">
        <v>0</v>
      </c>
      <c r="B94" s="21" t="n">
        <v>88</v>
      </c>
      <c r="C94" s="21" t="inlineStr">
        <is>
          <t>421</t>
        </is>
      </c>
      <c r="D94" s="14" t="inlineStr">
        <is>
          <t>Brothers</t>
        </is>
      </c>
      <c r="E94" s="14" t="inlineStr">
        <is>
          <t>Season 4, Episode 21</t>
        </is>
      </c>
      <c r="F94" s="20">
        <f>HYPERLINK("https://www.starwars.com/tv-shows/clone-wars/brothers-episode-guide","Episode guide")</f>
        <v/>
      </c>
      <c r="G94" s="20">
        <f>HYPERLINK("https://www.disneyplus.com/video/ea059b38-a21c-4ff2-8e64-6c3bda2d6afc?cid=DTCI-Synergy-DDN-Site-Acquisition-StarWars-US-StarWars-StarWarsTheCloneWars-EN-BlogArticleEmbed-TCWChronological_StreamOnDisneyPlusCTA-NA","Watch")</f>
        <v/>
      </c>
    </row>
    <row r="95" ht="30" customHeight="1" s="23">
      <c r="A95" s="21" t="b">
        <v>0</v>
      </c>
      <c r="B95" s="21" t="n">
        <v>89</v>
      </c>
      <c r="C95" s="21" t="inlineStr">
        <is>
          <t>422</t>
        </is>
      </c>
      <c r="D95" s="14" t="inlineStr">
        <is>
          <t>Revenge</t>
        </is>
      </c>
      <c r="E95" s="14" t="inlineStr">
        <is>
          <t>Season 4, Episode 22</t>
        </is>
      </c>
      <c r="F95" s="20">
        <f>HYPERLINK("https://www.starwars.com/tv-shows/clone-wars/revenge-episode-guide","Episode guide")</f>
        <v/>
      </c>
      <c r="G95" s="20">
        <f>HYPERLINK("https://www.disneyplus.com/video/6a302c32-b9bb-4d73-b69d-7698df40ae54?cid=DTCI-Synergy-DDN-Site-Acquisition-StarWars-US-StarWars-StarWarsTheCloneWars-EN-BlogArticleEmbed-TCWChronological_StreamOnDisneyPlusCTA-NA","Watch")</f>
        <v/>
      </c>
    </row>
    <row r="96" ht="30" customHeight="1" s="23">
      <c r="A96" s="21" t="b">
        <v>0</v>
      </c>
      <c r="B96" s="21" t="n">
        <v>90</v>
      </c>
      <c r="C96" s="21" t="inlineStr">
        <is>
          <t>502</t>
        </is>
      </c>
      <c r="D96" s="14" t="inlineStr">
        <is>
          <t>A War on Two Fronts</t>
        </is>
      </c>
      <c r="E96" s="14" t="inlineStr">
        <is>
          <t>Season 5, Episode 2</t>
        </is>
      </c>
      <c r="F96" s="20">
        <f>HYPERLINK("https://www.starwars.com/tv-shows/clone-wars/a-war-on-two-fronts-episode-guide","Episode guide")</f>
        <v/>
      </c>
      <c r="G96" s="20">
        <f>HYPERLINK("https://www.disneyplus.com/video/ede2e807-00f4-4c49-b634-16d7826ef47a?cid=DTCI-Synergy-DDN-Site-Acquisition-StarWars-US-StarWars-StarWarsTheCloneWars-EN-BlogArticleEmbed-TCWChronological_StreamOnDisneyPlusCTA-NA","Watch")</f>
        <v/>
      </c>
    </row>
    <row r="97" ht="30" customHeight="1" s="23">
      <c r="A97" s="21" t="b">
        <v>0</v>
      </c>
      <c r="B97" s="21" t="n">
        <v>91</v>
      </c>
      <c r="C97" s="21" t="inlineStr">
        <is>
          <t>503</t>
        </is>
      </c>
      <c r="D97" s="14" t="inlineStr">
        <is>
          <t>Front Runners</t>
        </is>
      </c>
      <c r="E97" s="14" t="inlineStr">
        <is>
          <t>Season 5, Episode 3</t>
        </is>
      </c>
      <c r="F97" s="20">
        <f>HYPERLINK("https://www.starwars.com/tv-shows/clone-wars/front-runners-episode-guide","Episode guide")</f>
        <v/>
      </c>
      <c r="G97" s="20">
        <f>HYPERLINK("https://www.disneyplus.com/video/e834cd28-5335-43c7-a5f1-9814431f414c?cid=DTCI-Synergy-DDN-Site-Acquisition-StarWars-US-StarWars-StarWarsTheCloneWars-EN-BlogArticleEmbed-TCWChronological_StreamOnDisneyPlusCTA-NA","Watch")</f>
        <v/>
      </c>
    </row>
    <row r="98" ht="30" customHeight="1" s="23">
      <c r="A98" s="21" t="b">
        <v>0</v>
      </c>
      <c r="B98" s="21" t="n">
        <v>92</v>
      </c>
      <c r="C98" s="21" t="inlineStr">
        <is>
          <t>504</t>
        </is>
      </c>
      <c r="D98" s="14" t="inlineStr">
        <is>
          <t>The Soft War</t>
        </is>
      </c>
      <c r="E98" s="14" t="inlineStr">
        <is>
          <t>Season 5, Episode 4</t>
        </is>
      </c>
      <c r="F98" s="20">
        <f>HYPERLINK("https://www.starwars.com/tv-shows/clone-wars/the-soft-war-episode-guide","Episode guide")</f>
        <v/>
      </c>
      <c r="G98" s="20">
        <f>HYPERLINK("https://www.disneyplus.com/video/bda5b155-0414-458c-9c65-457697ae8fb5?cid=DTCI-Synergy-DDN-Site-Acquisition-StarWars-US-StarWars-StarWarsTheCloneWars-EN-BlogArticleEmbed-TCWChronological_StreamOnDisneyPlusCTA-NA","Watch")</f>
        <v/>
      </c>
    </row>
    <row r="99" ht="30" customHeight="1" s="23">
      <c r="A99" s="21" t="b">
        <v>0</v>
      </c>
      <c r="B99" s="21" t="n">
        <v>93</v>
      </c>
      <c r="C99" s="21" t="inlineStr">
        <is>
          <t>505</t>
        </is>
      </c>
      <c r="D99" s="14" t="inlineStr">
        <is>
          <t>Tipping Points</t>
        </is>
      </c>
      <c r="E99" s="14" t="inlineStr">
        <is>
          <t>Season 5, Episode 5</t>
        </is>
      </c>
      <c r="F99" s="20">
        <f>HYPERLINK("https://www.starwars.com/tv-shows/clone-wars/tipping-points-episode-guide","Episode guide")</f>
        <v/>
      </c>
      <c r="G99" s="20">
        <f>HYPERLINK("https://www.disneyplus.com/video/682b3543-c8ae-4f19-99f9-411bb43a0467?cid=DTCI-Synergy-DDN-Site-Acquisition-StarWars-US-StarWars-StarWarsTheCloneWars-EN-BlogArticleEmbed-TCWChronological_StreamOnDisneyPlusCTA-NA","Watch")</f>
        <v/>
      </c>
    </row>
    <row r="100" ht="30" customHeight="1" s="23">
      <c r="A100" s="21" t="b">
        <v>0</v>
      </c>
      <c r="B100" s="21" t="n">
        <v>94</v>
      </c>
      <c r="C100" s="21" t="inlineStr">
        <is>
          <t>506</t>
        </is>
      </c>
      <c r="D100" s="14" t="inlineStr">
        <is>
          <t>The Gathering</t>
        </is>
      </c>
      <c r="E100" s="14" t="inlineStr">
        <is>
          <t>Season 5, Episode 6</t>
        </is>
      </c>
      <c r="F100" s="20">
        <f>HYPERLINK("https://www.starwars.com/tv-shows/clone-wars/the-gathering-episode-guide","Episode guide")</f>
        <v/>
      </c>
      <c r="G100" s="20">
        <f>HYPERLINK("https://www.disneyplus.com/video/dce32899-0e62-479d-b33a-37ca69ad9565?cid=DTCI-Synergy-DDN-Site-Acquisition-StarWars-US-StarWars-StarWarsTheCloneWars-EN-BlogArticleEmbed-TCWChronological_StreamOnDisneyPlusCTA-NA","Watch")</f>
        <v/>
      </c>
    </row>
    <row r="101" ht="30" customHeight="1" s="23">
      <c r="A101" s="21" t="b">
        <v>0</v>
      </c>
      <c r="B101" s="21" t="n">
        <v>95</v>
      </c>
      <c r="C101" s="21" t="inlineStr">
        <is>
          <t>507</t>
        </is>
      </c>
      <c r="D101" s="14" t="inlineStr">
        <is>
          <t>A Test of Strength</t>
        </is>
      </c>
      <c r="E101" s="14" t="inlineStr">
        <is>
          <t>Season 5, Episode 7</t>
        </is>
      </c>
      <c r="F101" s="20">
        <f>HYPERLINK("https://www.starwars.com/tv-shows/clone-wars/a-test-of-strength-episode-guide","Episode guide")</f>
        <v/>
      </c>
      <c r="G101" s="20">
        <f>HYPERLINK("https://www.disneyplus.com/video/da339c6c-de91-40f2-a091-09cb11a80f17?cid=DTCI-Synergy-DDN-Site-Acquisition-StarWars-US-StarWars-StarWarsTheCloneWars-EN-BlogArticleEmbed-TCWChronological_StreamOnDisneyPlusCTA-NA","Watch")</f>
        <v/>
      </c>
    </row>
    <row r="102" ht="30" customHeight="1" s="23">
      <c r="A102" s="21" t="b">
        <v>0</v>
      </c>
      <c r="B102" s="21" t="n">
        <v>96</v>
      </c>
      <c r="C102" s="21" t="inlineStr">
        <is>
          <t>508</t>
        </is>
      </c>
      <c r="D102" s="14" t="inlineStr">
        <is>
          <t>Bound for Rescue</t>
        </is>
      </c>
      <c r="E102" s="14" t="inlineStr">
        <is>
          <t>Season 5, Episode 8</t>
        </is>
      </c>
      <c r="F102" s="20">
        <f>HYPERLINK("https://www.starwars.com/series/clone-wars/bound-for-rescue-episode-guide","Episode guide")</f>
        <v/>
      </c>
      <c r="G102" s="20">
        <f>HYPERLINK("https://www.disneyplus.com/video/8cc2c6fb-ec6b-406e-a334-bb44f2fed008?cid=DTCI-Synergy-DDN-Site-Acquisition-StarWars-US-StarWars-StarWarsTheCloneWars-EN-BlogArticleEmbed-TCWChronological_StreamOnDisneyPlusCTA-NA","Watch")</f>
        <v/>
      </c>
    </row>
    <row r="103" ht="30" customHeight="1" s="23">
      <c r="A103" s="21" t="b">
        <v>0</v>
      </c>
      <c r="B103" s="21" t="n">
        <v>97</v>
      </c>
      <c r="C103" s="21" t="inlineStr">
        <is>
          <t>509</t>
        </is>
      </c>
      <c r="D103" s="14" t="inlineStr">
        <is>
          <t>A Necessary Bond</t>
        </is>
      </c>
      <c r="E103" s="14" t="inlineStr">
        <is>
          <t>Season 5, Episode 9</t>
        </is>
      </c>
      <c r="F103" s="20">
        <f>HYPERLINK("https://www.starwars.com/series/clone-wars/a-necessary-bond-episode-guide","Episode guide")</f>
        <v/>
      </c>
      <c r="G103" s="20">
        <f>HYPERLINK("https://www.disneyplus.com/video/06eb2462-5d0c-42a9-a1b4-acc9ccfd109e?cid=DTCI-Synergy-DDN-Site-Acquisition-StarWars-US-StarWars-StarWarsTheCloneWars-EN-BlogArticleEmbed-TCWChronological_StreamOnDisneyPlusCTA-NA","Watch")</f>
        <v/>
      </c>
    </row>
    <row r="104" ht="30" customHeight="1" s="23">
      <c r="A104" s="21" t="b">
        <v>0</v>
      </c>
      <c r="B104" s="21" t="n">
        <v>98</v>
      </c>
      <c r="C104" s="21" t="inlineStr">
        <is>
          <t>510</t>
        </is>
      </c>
      <c r="D104" s="14" t="inlineStr">
        <is>
          <t>Secret Weapons</t>
        </is>
      </c>
      <c r="E104" s="14" t="inlineStr">
        <is>
          <t>Season 5, Episode 10</t>
        </is>
      </c>
      <c r="F104" s="20">
        <f>HYPERLINK("https://www.starwars.com/tv-shows/clone-wars/secret-weapons-episode-guide","Episode guide")</f>
        <v/>
      </c>
      <c r="G104" s="20">
        <f>HYPERLINK("https://www.disneyplus.com/video/29f4f86d-1c16-47b5-9f2c-9df1e58fc01f?cid=DTCI-Synergy-DDN-Site-Acquisition-StarWars-US-StarWars-StarWarsTheCloneWars-EN-BlogArticleEmbed-TCWChronological_StreamOnDisneyPlusCTA-NA","Watch")</f>
        <v/>
      </c>
    </row>
    <row r="105" ht="30" customHeight="1" s="23">
      <c r="A105" s="21" t="b">
        <v>0</v>
      </c>
      <c r="B105" s="21" t="n">
        <v>99</v>
      </c>
      <c r="C105" s="21" t="inlineStr">
        <is>
          <t>511</t>
        </is>
      </c>
      <c r="D105" s="14" t="inlineStr">
        <is>
          <t>A Sunny Day in the Void</t>
        </is>
      </c>
      <c r="E105" s="14" t="inlineStr">
        <is>
          <t>Season 5, Episode 11</t>
        </is>
      </c>
      <c r="F105" s="20">
        <f>HYPERLINK("https://www.starwars.com/tv-shows/clone-wars/a-sunny-day-in-the-void-episode-guide","Episode guide")</f>
        <v/>
      </c>
      <c r="G105" s="20">
        <f>HYPERLINK("https://www.disneyplus.com/video/9c96ac8c-2f1e-463e-8361-218fb2796aff?cid=DTCI-Synergy-DDN-Site-Acquisition-StarWars-US-StarWars-StarWarsTheCloneWars-EN-BlogArticleEmbed-TCWChronological_StreamOnDisneyPlusCTA-NA","Watch")</f>
        <v/>
      </c>
    </row>
    <row r="106" ht="30" customHeight="1" s="23">
      <c r="A106" s="21" t="b">
        <v>0</v>
      </c>
      <c r="B106" s="21" t="n">
        <v>100</v>
      </c>
      <c r="C106" s="21" t="inlineStr">
        <is>
          <t>512</t>
        </is>
      </c>
      <c r="D106" s="14" t="inlineStr">
        <is>
          <t>Missing in Action</t>
        </is>
      </c>
      <c r="E106" s="14" t="inlineStr">
        <is>
          <t>Season 5, Episode 12</t>
        </is>
      </c>
      <c r="F106" s="20">
        <f>HYPERLINK("https://www.starwars.com/tv-shows/clone-wars/missing-in-action-episode-guide","Episode guide")</f>
        <v/>
      </c>
      <c r="G106" s="20">
        <f>HYPERLINK("https://www.disneyplus.com/video/3f8328ff-925d-4554-808c-5dc2c03c5df7?cid=DTCI-Synergy-DDN-Site-Acquisition-StarWars-US-StarWars-StarWarsTheCloneWars-EN-BlogArticleEmbed-TCWChronological_StreamOnDisneyPlusCTA-NA","Watch")</f>
        <v/>
      </c>
    </row>
    <row r="107" ht="30" customHeight="1" s="23">
      <c r="A107" s="21" t="b">
        <v>0</v>
      </c>
      <c r="B107" s="21" t="n">
        <v>101</v>
      </c>
      <c r="C107" s="21" t="inlineStr">
        <is>
          <t>513</t>
        </is>
      </c>
      <c r="D107" s="14" t="inlineStr">
        <is>
          <t>Point of No Return</t>
        </is>
      </c>
      <c r="E107" s="14" t="inlineStr">
        <is>
          <t>Season 5, Episode 13</t>
        </is>
      </c>
      <c r="F107" s="20">
        <f>HYPERLINK("https://www.starwars.com/tv-shows/clone-wars/point-of-no-return-episode-guide","Episode guide")</f>
        <v/>
      </c>
      <c r="G107" s="20">
        <f>HYPERLINK("https://www.disneyplus.com/video/7fd11383-337a-43ef-a633-94f357cc511a?cid=DTCI-Synergy-DDN-Site-Acquisition-StarWars-US-StarWars-StarWarsTheCloneWars-EN-BlogArticleEmbed-TCWChronological_StreamOnDisneyPlusCTA-NA","Watch")</f>
        <v/>
      </c>
    </row>
    <row r="108" ht="30" customHeight="1" s="23">
      <c r="A108" s="21" t="b">
        <v>0</v>
      </c>
      <c r="B108" s="21" t="n">
        <v>102</v>
      </c>
      <c r="C108" s="21" t="inlineStr">
        <is>
          <t>501</t>
        </is>
      </c>
      <c r="D108" s="14" t="inlineStr">
        <is>
          <t>Revival</t>
        </is>
      </c>
      <c r="E108" s="14" t="inlineStr">
        <is>
          <t>Season 5, Episode 1</t>
        </is>
      </c>
      <c r="F108" s="20">
        <f>HYPERLINK("https://www.starwars.com/tv-shows/clone-wars/revival-episode-guide","Episode guide")</f>
        <v/>
      </c>
      <c r="G108" s="20">
        <f>HYPERLINK("https://www.disneyplus.com/video/46bf27c0-bc74-404a-98de-56bbe187d941?cid=DTCI-Synergy-DDN-Site-Acquisition-StarWars-US-StarWars-StarWarsTheCloneWars-EN-BlogArticleEmbed-TCWChronological_StreamOnDisneyPlusCTA-NA","Watch")</f>
        <v/>
      </c>
    </row>
    <row r="109" ht="30" customHeight="1" s="23">
      <c r="A109" s="21" t="b">
        <v>0</v>
      </c>
      <c r="B109" s="21" t="n">
        <v>103</v>
      </c>
      <c r="C109" s="21" t="inlineStr">
        <is>
          <t>514</t>
        </is>
      </c>
      <c r="D109" s="14" t="inlineStr">
        <is>
          <t>Eminence</t>
        </is>
      </c>
      <c r="E109" s="14" t="inlineStr">
        <is>
          <t>Season 5, Episode 14</t>
        </is>
      </c>
      <c r="F109" s="20">
        <f>HYPERLINK("https://www.starwars.com/tv-shows/clone-wars/eminence-episode-guide","Episode guide")</f>
        <v/>
      </c>
      <c r="G109" s="20">
        <f>HYPERLINK("https://www.disneyplus.com/video/bce6b831-36ff-4ef7-9c85-7ae8030cdbcb?cid=DTCI-Synergy-DDN-Site-Acquisition-StarWars-US-StarWars-StarWarsTheCloneWars-EN-BlogArticleEmbed-TCWChronological_StreamOnDisneyPlusCTA-NA","Watch")</f>
        <v/>
      </c>
    </row>
    <row r="110" ht="30" customHeight="1" s="23">
      <c r="A110" s="21" t="b">
        <v>0</v>
      </c>
      <c r="B110" s="21" t="n">
        <v>104</v>
      </c>
      <c r="C110" s="21" t="inlineStr">
        <is>
          <t>515</t>
        </is>
      </c>
      <c r="D110" s="14" t="inlineStr">
        <is>
          <t>Shades of Reason</t>
        </is>
      </c>
      <c r="E110" s="14" t="inlineStr">
        <is>
          <t>Season 5, Episode 15</t>
        </is>
      </c>
      <c r="F110" s="20">
        <f>HYPERLINK("https://www.starwars.com/tv-shows/clone-wars/shades-of-reason-episode-guide","Episode guide")</f>
        <v/>
      </c>
      <c r="G110" s="20">
        <f>HYPERLINK("https://www.disneyplus.com/video/9fce5334-6a7b-4308-9d90-e50e579b5cbb?cid=DTCI-Synergy-DDN-Site-Acquisition-StarWars-US-StarWars-StarWarsTheCloneWars-EN-BlogArticleEmbed-TCWChronological_StreamOnDisneyPlusCTA-NA","Watch")</f>
        <v/>
      </c>
    </row>
    <row r="111" ht="30" customHeight="1" s="23">
      <c r="A111" s="21" t="b">
        <v>0</v>
      </c>
      <c r="B111" s="21" t="n">
        <v>105</v>
      </c>
      <c r="C111" s="21" t="inlineStr">
        <is>
          <t>516</t>
        </is>
      </c>
      <c r="D111" s="14" t="inlineStr">
        <is>
          <t>The Lawless</t>
        </is>
      </c>
      <c r="E111" s="14" t="inlineStr">
        <is>
          <t>Season 5, Episode 16</t>
        </is>
      </c>
      <c r="F111" s="20">
        <f>HYPERLINK("https://www.starwars.com/tv-shows/clone-wars/the-lawless-episode-guide","Episode guide")</f>
        <v/>
      </c>
      <c r="G111" s="20">
        <f>HYPERLINK("https://www.disneyplus.com/video/13bc0d23-46f6-4650-952c-57a19aac17bd?cid=DTCI-Synergy-DDN-Site-Acquisition-StarWars-US-StarWars-StarWarsTheCloneWars-EN-BlogArticleEmbed-TCWChronological_StreamOnDisneyPlusCTA-NA","Watch")</f>
        <v/>
      </c>
    </row>
    <row r="112" ht="30" customHeight="1" s="23">
      <c r="A112" s="21" t="b">
        <v>0</v>
      </c>
      <c r="B112" s="21" t="n">
        <v>106</v>
      </c>
      <c r="C112" s="21" t="inlineStr">
        <is>
          <t>517</t>
        </is>
      </c>
      <c r="D112" s="14" t="inlineStr">
        <is>
          <t>Sabotage</t>
        </is>
      </c>
      <c r="E112" s="14" t="inlineStr">
        <is>
          <t>Season 5, Episode 17</t>
        </is>
      </c>
      <c r="F112" s="20">
        <f>HYPERLINK("https://www.starwars.com/tv-shows/clone-wars/sabotage-episode-guide","Episode guide")</f>
        <v/>
      </c>
      <c r="G112" s="20">
        <f>HYPERLINK("https://www.disneyplus.com/video/17176f47-85e5-4687-ae84-a3d7f6984415?cid=DTCI-Synergy-DDN-Site-Acquisition-StarWars-US-StarWars-StarWarsTheCloneWars-EN-BlogArticleEmbed-TCWChronological_StreamOnDisneyPlusCTA-NA","Watch")</f>
        <v/>
      </c>
    </row>
    <row r="113" ht="30" customHeight="1" s="23">
      <c r="A113" s="21" t="b">
        <v>0</v>
      </c>
      <c r="B113" s="21" t="n">
        <v>107</v>
      </c>
      <c r="C113" s="21" t="inlineStr">
        <is>
          <t>518</t>
        </is>
      </c>
      <c r="D113" s="14" t="inlineStr">
        <is>
          <t>The Jedi Who Knew Too Much</t>
        </is>
      </c>
      <c r="E113" s="14" t="inlineStr">
        <is>
          <t>Season 5, Episode 18</t>
        </is>
      </c>
      <c r="F113" s="20">
        <f>HYPERLINK("https://www.starwars.com/tv-shows/clone-wars/the-jedi-who-knew-too-much-episode-guide","Episode guide")</f>
        <v/>
      </c>
      <c r="G113" s="20">
        <f>HYPERLINK("https://www.disneyplus.com/video/a799d6f3-a50e-4be0-b8f2-8102f11c1bb7?cid=DTCI-Synergy-DDN-Site-Acquisition-StarWars-US-StarWars-StarWarsTheCloneWars-EN-BlogArticleEmbed-TCWChronological_StreamOnDisneyPlusCTA-NA","Watch")</f>
        <v/>
      </c>
    </row>
    <row r="114" ht="30" customHeight="1" s="23">
      <c r="A114" s="21" t="b">
        <v>0</v>
      </c>
      <c r="B114" s="21" t="n">
        <v>108</v>
      </c>
      <c r="C114" s="21" t="inlineStr">
        <is>
          <t>519</t>
        </is>
      </c>
      <c r="D114" s="14" t="inlineStr">
        <is>
          <t>To Catch a Jedi</t>
        </is>
      </c>
      <c r="E114" s="14" t="inlineStr">
        <is>
          <t>Season 5, Episode 19</t>
        </is>
      </c>
      <c r="F114" s="20">
        <f>HYPERLINK("https://www.starwars.com/tv-shows/clone-wars/to-catch-a-jedi-episode-guide","Episode guide")</f>
        <v/>
      </c>
      <c r="G114" s="20">
        <f>HYPERLINK("https://www.disneyplus.com/video/d504b77e-8c64-44a4-b051-ca5e9300d4a9?cid=DTCI-Synergy-DDN-Site-Acquisition-StarWars-US-StarWars-StarWarsTheCloneWars-EN-BlogArticleEmbed-TCWChronological_StreamOnDisneyPlusCTA-NA","Watch")</f>
        <v/>
      </c>
    </row>
    <row r="115" ht="30" customHeight="1" s="23">
      <c r="A115" s="21" t="b">
        <v>0</v>
      </c>
      <c r="B115" s="21" t="n">
        <v>109</v>
      </c>
      <c r="C115" s="21" t="inlineStr">
        <is>
          <t>520</t>
        </is>
      </c>
      <c r="D115" s="14" t="inlineStr">
        <is>
          <t>The Wrong Jedi</t>
        </is>
      </c>
      <c r="E115" s="14" t="inlineStr">
        <is>
          <t>Season 5, Episode 20</t>
        </is>
      </c>
      <c r="F115" s="20">
        <f>HYPERLINK("https://www.starwars.com/tv-shows/clone-wars/the-wrong-jedi-episode-guide","Episode guide")</f>
        <v/>
      </c>
      <c r="G115" s="20">
        <f>HYPERLINK("https://www.disneyplus.com/video/c09fcde1-1b4d-40da-af52-5d8fa0611a53?cid=DTCI-Synergy-DDN-Site-Acquisition-StarWars-US-StarWars-StarWarsTheCloneWars-EN-BlogArticleEmbed-TCWChronological_StreamOnDisneyPlusCTA-NA","Watch")</f>
        <v/>
      </c>
    </row>
    <row r="116" ht="30" customHeight="1" s="23">
      <c r="A116" s="21" t="b">
        <v>0</v>
      </c>
      <c r="B116" s="21" t="n">
        <v>110</v>
      </c>
      <c r="C116" s="21" t="inlineStr">
        <is>
          <t>601</t>
        </is>
      </c>
      <c r="D116" s="14" t="inlineStr">
        <is>
          <t>The Unknown</t>
        </is>
      </c>
      <c r="E116" s="14" t="inlineStr">
        <is>
          <t>Season 6, Episode 1</t>
        </is>
      </c>
      <c r="F116" s="20">
        <f>HYPERLINK("https://www.starwars.com/tv-shows/clone-wars/the-unknown-episode-guide","Episode guide")</f>
        <v/>
      </c>
      <c r="G116" s="20">
        <f>HYPERLINK("https://www.disneyplus.com/video/ec135b2d-d990-4564-99d4-2e3a2ee866bd?cid=DTCI-Synergy-DDN-Site-Acquisition-StarWars-US-StarWars-StarWarsTheCloneWars-EN-BlogArticleEmbed-TCWChronological_StreamOnDisneyPlusCTA-NA","Watch")</f>
        <v/>
      </c>
    </row>
    <row r="117" ht="30" customHeight="1" s="23">
      <c r="A117" s="21" t="b">
        <v>0</v>
      </c>
      <c r="B117" s="21" t="n">
        <v>111</v>
      </c>
      <c r="C117" s="21" t="inlineStr">
        <is>
          <t>602</t>
        </is>
      </c>
      <c r="D117" s="14" t="inlineStr">
        <is>
          <t>Conspiracy</t>
        </is>
      </c>
      <c r="E117" s="14" t="inlineStr">
        <is>
          <t>Season 6, Episode 2</t>
        </is>
      </c>
      <c r="F117" s="20">
        <f>HYPERLINK("https://www.starwars.com/tv-shows/clone-wars/conspiracy-episode-guide","Episode guide")</f>
        <v/>
      </c>
      <c r="G117" s="20">
        <f>HYPERLINK("https://www.disneyplus.com/video/d4e8fd92-4d92-494d-8d49-d5b148bdcbb5?cid=DTCI-Synergy-DDN-Site-Acquisition-StarWars-US-StarWars-StarWarsTheCloneWars-EN-BlogArticleEmbed-TCWChronological_StreamOnDisneyPlusCTA-NA","Watch")</f>
        <v/>
      </c>
    </row>
    <row r="118" ht="30" customHeight="1" s="23">
      <c r="A118" s="21" t="b">
        <v>0</v>
      </c>
      <c r="B118" s="21" t="n">
        <v>112</v>
      </c>
      <c r="C118" s="21" t="inlineStr">
        <is>
          <t>603</t>
        </is>
      </c>
      <c r="D118" s="14" t="inlineStr">
        <is>
          <t>Fugitive</t>
        </is>
      </c>
      <c r="E118" s="14" t="inlineStr">
        <is>
          <t>Season 6, Episode 3</t>
        </is>
      </c>
      <c r="F118" s="20">
        <f>HYPERLINK("https://www.starwars.com/tv-shows/clone-wars/fugitive-episode-guide","Episode guide")</f>
        <v/>
      </c>
      <c r="G118" s="20">
        <f>HYPERLINK("https://www.disneyplus.com/video/e3d63b2f-8e40-4064-9fe8-1f32299f17d3?cid=DTCI-Synergy-DDN-Site-Acquisition-StarWars-US-StarWars-StarWarsTheCloneWars-EN-BlogArticleEmbed-TCWChronological_StreamOnDisneyPlusCTA-NA","Watch")</f>
        <v/>
      </c>
    </row>
    <row r="119" ht="30" customHeight="1" s="23">
      <c r="A119" s="21" t="b">
        <v>0</v>
      </c>
      <c r="B119" s="21" t="n">
        <v>113</v>
      </c>
      <c r="C119" s="21" t="inlineStr">
        <is>
          <t>604</t>
        </is>
      </c>
      <c r="D119" s="14" t="inlineStr">
        <is>
          <t>Orders</t>
        </is>
      </c>
      <c r="E119" s="14" t="inlineStr">
        <is>
          <t>Season 6, Episode 4</t>
        </is>
      </c>
      <c r="F119" s="20">
        <f>HYPERLINK("https://www.starwars.com/tv-shows/clone-wars/orders-episode-guide","Episode guide")</f>
        <v/>
      </c>
      <c r="G119" s="20">
        <f>HYPERLINK("https://www.disneyplus.com/video/46c3decc-a11c-4d2e-a792-069ebe535003?cid=DTCI-Synergy-DDN-Site-Acquisition-StarWars-US-StarWars-StarWarsTheCloneWars-EN-BlogArticleEmbed-TCWChronological_StreamOnDisneyPlusCTA-NA","Watch")</f>
        <v/>
      </c>
    </row>
    <row r="120" ht="30" customHeight="1" s="23">
      <c r="A120" s="21" t="b">
        <v>0</v>
      </c>
      <c r="B120" s="21" t="n">
        <v>114</v>
      </c>
      <c r="C120" s="21" t="inlineStr">
        <is>
          <t>605</t>
        </is>
      </c>
      <c r="D120" s="14" t="inlineStr">
        <is>
          <t>An Old Friend</t>
        </is>
      </c>
      <c r="E120" s="14" t="inlineStr">
        <is>
          <t>Season 6, Episode 5</t>
        </is>
      </c>
      <c r="F120" s="20">
        <f>HYPERLINK("https://www.starwars.com/tv-shows/clone-wars/an-old-friend-episode-guide","Episode guide")</f>
        <v/>
      </c>
      <c r="G120" s="20">
        <f>HYPERLINK("https://www.disneyplus.com/video/64438a1c-f629-4085-b461-33fac7ea99ba?cid=DTCI-Synergy-DDN-Site-Acquisition-StarWars-US-StarWars-StarWarsTheCloneWars-EN-BlogArticleEmbed-TCWChronological_StreamOnDisneyPlusCTA-NA","Watch")</f>
        <v/>
      </c>
    </row>
    <row r="121" ht="30" customHeight="1" s="23">
      <c r="A121" s="21" t="b">
        <v>0</v>
      </c>
      <c r="B121" s="21" t="n">
        <v>115</v>
      </c>
      <c r="C121" s="21" t="inlineStr">
        <is>
          <t>606</t>
        </is>
      </c>
      <c r="D121" s="14" t="inlineStr">
        <is>
          <t>The Rise of Clovis</t>
        </is>
      </c>
      <c r="E121" s="14" t="inlineStr">
        <is>
          <t>Season 6, Episode 6</t>
        </is>
      </c>
      <c r="F121" s="20">
        <f>HYPERLINK("https://www.starwars.com/tv-shows/clone-wars/the-rise-of-clovis-episode-guide","Episode guide")</f>
        <v/>
      </c>
      <c r="G121" s="20">
        <f>HYPERLINK("https://www.disneyplus.com/video/cad54530-94eb-4b92-b380-b0a807d195c5?cid=DTCI-Synergy-DDN-Site-Acquisition-StarWars-US-StarWars-StarWarsTheCloneWars-EN-BlogArticleEmbed-TCWChronological_StreamOnDisneyPlusCTA-NA","Watch")</f>
        <v/>
      </c>
    </row>
    <row r="122" ht="30" customHeight="1" s="23">
      <c r="A122" s="21" t="b">
        <v>0</v>
      </c>
      <c r="B122" s="21" t="n">
        <v>116</v>
      </c>
      <c r="C122" s="21" t="inlineStr">
        <is>
          <t>607</t>
        </is>
      </c>
      <c r="D122" s="14" t="inlineStr">
        <is>
          <t>Crisis at the Heart</t>
        </is>
      </c>
      <c r="E122" s="14" t="inlineStr">
        <is>
          <t>Season 6, Episode 7</t>
        </is>
      </c>
      <c r="F122" s="20">
        <f>HYPERLINK("https://www.starwars.com/tv-shows/clone-wars/crisis-at-the-heart-episode-guide","Episode guide")</f>
        <v/>
      </c>
      <c r="G122" s="20">
        <f>HYPERLINK("https://www.disneyplus.com/video/2a2fc61d-3813-4cf8-88a7-cab1975cee35?cid=DTCI-Synergy-DDN-Site-Acquisition-StarWars-US-StarWars-StarWarsTheCloneWars-EN-BlogArticleEmbed-TCWChronological_StreamOnDisneyPlusCTA-NA","Watch")</f>
        <v/>
      </c>
    </row>
    <row r="123" ht="30" customHeight="1" s="23">
      <c r="A123" s="21" t="b">
        <v>0</v>
      </c>
      <c r="B123" s="21" t="n">
        <v>117</v>
      </c>
      <c r="C123" s="21" t="inlineStr">
        <is>
          <t>608</t>
        </is>
      </c>
      <c r="D123" s="14" t="inlineStr">
        <is>
          <t>The Disappeared</t>
        </is>
      </c>
      <c r="E123" s="14" t="inlineStr">
        <is>
          <t>Season 6, Episode 8</t>
        </is>
      </c>
      <c r="F123" s="20">
        <f>HYPERLINK("https://www.starwars.com/tv-shows/clone-wars/the-disappeared-part-i-episode-guide","Episode guide")</f>
        <v/>
      </c>
      <c r="G123" s="20">
        <f>HYPERLINK("https://www.disneyplus.com/video/6173c7f8-b2d8-448c-8143-77eb71c73589?cid=DTCI-Synergy-DDN-Site-Acquisition-StarWars-US-StarWars-StarWarsTheCloneWars-EN-BlogArticleEmbed-TCWChronological_StreamOnDisneyPlusCTA-NA","Watch")</f>
        <v/>
      </c>
    </row>
    <row r="124" ht="30" customHeight="1" s="23">
      <c r="A124" s="21" t="b">
        <v>0</v>
      </c>
      <c r="B124" s="21" t="n">
        <v>118</v>
      </c>
      <c r="C124" s="21" t="inlineStr">
        <is>
          <t>609</t>
        </is>
      </c>
      <c r="D124" s="14" t="inlineStr">
        <is>
          <t>The Disappeared: Part II</t>
        </is>
      </c>
      <c r="E124" s="14" t="inlineStr">
        <is>
          <t>Season 6, Episode 9</t>
        </is>
      </c>
      <c r="F124" s="20">
        <f>HYPERLINK("https://www.starwars.com/tv-shows/clone-wars/the-disappeared-part-ii-episode-guide","Episode guide")</f>
        <v/>
      </c>
      <c r="G124" s="20">
        <f>HYPERLINK("https://www.disneyplus.com/video/2e4fe8fe-c7e3-40dc-87d7-bdb7e02eb896?cid=DTCI-Synergy-DDN-Site-Acquisition-StarWars-US-StarWars-StarWarsTheCloneWars-EN-BlogArticleEmbed-TCWChronological_StreamOnDisneyPlusCTA-NA","Watch")</f>
        <v/>
      </c>
    </row>
    <row r="125" ht="30" customHeight="1" s="23">
      <c r="A125" s="21" t="b">
        <v>0</v>
      </c>
      <c r="B125" s="21" t="n">
        <v>119</v>
      </c>
      <c r="C125" s="21" t="inlineStr">
        <is>
          <t>610</t>
        </is>
      </c>
      <c r="D125" s="14" t="inlineStr">
        <is>
          <t>The Lost One</t>
        </is>
      </c>
      <c r="E125" s="14" t="inlineStr">
        <is>
          <t>Season 6, Episode 10</t>
        </is>
      </c>
      <c r="F125" s="20">
        <f>HYPERLINK("https://www.starwars.com/tv-shows/clone-wars/the-lost-one-episode-guide","Episode guide")</f>
        <v/>
      </c>
      <c r="G125" s="20">
        <f>HYPERLINK("https://www.disneyplus.com/video/f8d1131b-c197-4e8e-b1a5-9f9ad5e7cb9b?cid=DTCI-Synergy-DDN-Site-Acquisition-StarWars-US-StarWars-StarWarsTheCloneWars-EN-BlogArticleEmbed-TCWChronological_StreamOnDisneyPlusCTA-NA","Watch")</f>
        <v/>
      </c>
    </row>
    <row r="126" ht="30" customHeight="1" s="23">
      <c r="A126" s="21" t="b">
        <v>0</v>
      </c>
      <c r="B126" s="21" t="n">
        <v>120</v>
      </c>
      <c r="C126" s="21" t="inlineStr">
        <is>
          <t>611</t>
        </is>
      </c>
      <c r="D126" s="14" t="inlineStr">
        <is>
          <t>Voices</t>
        </is>
      </c>
      <c r="E126" s="14" t="inlineStr">
        <is>
          <t>Season 6, Episode 11</t>
        </is>
      </c>
      <c r="F126" s="20">
        <f>HYPERLINK("https://www.starwars.com/tv-shows/clone-wars/voices-episode-guide","Episode guide")</f>
        <v/>
      </c>
      <c r="G126" s="20">
        <f>HYPERLINK("https://www.disneyplus.com/video/ced4924c-6c39-4346-b07e-d22fb33de653?cid=DTCI-Synergy-DDN-Site-Acquisition-StarWars-US-StarWars-StarWarsTheCloneWars-EN-BlogArticleEmbed-TCWChronological_StreamOnDisneyPlusCTA-NA","Watch")</f>
        <v/>
      </c>
    </row>
    <row r="127" ht="30" customHeight="1" s="23">
      <c r="A127" s="21" t="b">
        <v>0</v>
      </c>
      <c r="B127" s="21" t="n">
        <v>121</v>
      </c>
      <c r="C127" s="21" t="inlineStr">
        <is>
          <t>612</t>
        </is>
      </c>
      <c r="D127" s="14" t="inlineStr">
        <is>
          <t>Destiny</t>
        </is>
      </c>
      <c r="E127" s="14" t="inlineStr">
        <is>
          <t>Season 6, Episode 12</t>
        </is>
      </c>
      <c r="F127" s="20">
        <f>HYPERLINK("https://www.starwars.com/tv-shows/clone-wars/destiny-episode-guide","Episode guide")</f>
        <v/>
      </c>
      <c r="G127" s="20">
        <f>HYPERLINK("https://www.disneyplus.com/video/99e77e6b-d43a-4f6f-b07c-51d48ee4c3bd?cid=DTCI-Synergy-DDN-Site-Acquisition-StarWars-US-StarWars-StarWarsTheCloneWars-EN-BlogArticleEmbed-TCWChronological_StreamOnDisneyPlusCTA-NA","Watch")</f>
        <v/>
      </c>
    </row>
    <row r="128" ht="30" customHeight="1" s="23">
      <c r="A128" s="21" t="b">
        <v>0</v>
      </c>
      <c r="B128" s="21" t="n">
        <v>122</v>
      </c>
      <c r="C128" s="21" t="inlineStr">
        <is>
          <t>613</t>
        </is>
      </c>
      <c r="D128" s="14" t="inlineStr">
        <is>
          <t>Sacrifice</t>
        </is>
      </c>
      <c r="E128" s="14" t="inlineStr">
        <is>
          <t>Season 6, Episode 13</t>
        </is>
      </c>
      <c r="F128" s="20">
        <f>HYPERLINK("https://www.starwars.com/tv-shows/clone-wars/sacrifice-episode-guide","Episode guide")</f>
        <v/>
      </c>
      <c r="G128" s="20">
        <f>HYPERLINK("https://www.disneyplus.com/video/37357ff9-88a7-4652-b16e-cda4808d1930?cid=DTCI-Synergy-DDN-Site-Acquisition-StarWars-US-StarWars-StarWarsTheCloneWars-EN-BlogArticleEmbed-TCWChronological_StreamOnDisneyPlusCTA-NA","Watch")</f>
        <v/>
      </c>
    </row>
    <row r="129" ht="30" customHeight="1" s="23">
      <c r="A129" s="21" t="b">
        <v>0</v>
      </c>
      <c r="B129" s="21" t="n">
        <v>123</v>
      </c>
      <c r="C129" s="21" t="inlineStr">
        <is>
          <t>705</t>
        </is>
      </c>
      <c r="D129" s="14" t="inlineStr">
        <is>
          <t>Gone with a Trace</t>
        </is>
      </c>
      <c r="E129" s="14" t="inlineStr">
        <is>
          <t>Season 7, Episode 5</t>
        </is>
      </c>
      <c r="F129" s="20">
        <f>HYPERLINK("https://www.starwars.com/series/clone-wars/gone-with-a-trace-episode-guide","Episode guide")</f>
        <v/>
      </c>
      <c r="G129" s="20">
        <f>HYPERLINK("https://www.disneyplus.com/en-gb/video/a1dfba86-2134-41e9-8794-e8040896bef6?cid=DTCI-Synergy-DDN-Site-Acquisition-StarWars-US-StarWars-StarWarsTheCloneWars-EN-BlogArticleEmbed-TCWChronological_StreamOnDisneyPlusCTA-NA","Watch")</f>
        <v/>
      </c>
    </row>
    <row r="130" ht="30" customHeight="1" s="23">
      <c r="A130" s="21" t="b">
        <v>0</v>
      </c>
      <c r="B130" s="21" t="n">
        <v>124</v>
      </c>
      <c r="C130" s="21" t="inlineStr">
        <is>
          <t>706</t>
        </is>
      </c>
      <c r="D130" s="14" t="inlineStr">
        <is>
          <t>Deal No Deal</t>
        </is>
      </c>
      <c r="E130" s="14" t="inlineStr">
        <is>
          <t>Season 7, Episode 6</t>
        </is>
      </c>
      <c r="F130" s="20">
        <f>HYPERLINK("https://www.starwars.com/series/clone-wars/deal-no-deal-episode-guide","Episode guide")</f>
        <v/>
      </c>
      <c r="G130" s="20">
        <f>HYPERLINK("https://www.disneyplus.com/en-gb/video/7ed29bb0-bfff-462c-ae96-f89a4f3f89e2?cid=DTCI-Synergy-DDN-Site-Acquisition-StarWars-US-StarWars-StarWarsTheCloneWars-EN-BlogArticleEmbed-TCWChronological_StreamOnDisneyPlusCTA-NA","Watch")</f>
        <v/>
      </c>
    </row>
    <row r="131" ht="30" customHeight="1" s="23">
      <c r="A131" s="21" t="b">
        <v>0</v>
      </c>
      <c r="B131" s="21" t="n">
        <v>125</v>
      </c>
      <c r="C131" s="21" t="inlineStr">
        <is>
          <t>707</t>
        </is>
      </c>
      <c r="D131" s="14" t="inlineStr">
        <is>
          <t>Dangerous Debt</t>
        </is>
      </c>
      <c r="E131" s="14" t="inlineStr">
        <is>
          <t>Season 7, Episode 7</t>
        </is>
      </c>
      <c r="F131" s="20">
        <f>HYPERLINK("https://www.starwars.com/series/clone-wars/dangerous-debt-episode-guide","Episode guide")</f>
        <v/>
      </c>
      <c r="G131" s="20">
        <f>HYPERLINK("https://www.disneyplus.com/video/468b341b-4d54-4adf-823f-8934ff05800b?cid=DTCI-Synergy-DDN-Site-Acquisition-StarWars-US-StarWars-StarWarsTheCloneWars-EN-BlogArticleEmbed-TCWChronological_StreamOnDisneyPlusCTA-NA","Watch")</f>
        <v/>
      </c>
    </row>
    <row r="132" ht="30" customHeight="1" s="23">
      <c r="A132" s="21" t="b">
        <v>0</v>
      </c>
      <c r="B132" s="21" t="n">
        <v>126</v>
      </c>
      <c r="C132" s="21" t="inlineStr">
        <is>
          <t>708</t>
        </is>
      </c>
      <c r="D132" s="14" t="inlineStr">
        <is>
          <t>Together Again</t>
        </is>
      </c>
      <c r="E132" s="14" t="inlineStr">
        <is>
          <t>Season 7, Episode 8</t>
        </is>
      </c>
      <c r="F132" s="20">
        <f>HYPERLINK("https://www.starwars.com/series/clone-wars/together-again-episode-guide","Episode guide")</f>
        <v/>
      </c>
      <c r="G132" s="20">
        <f>HYPERLINK("https://www.disneyplus.com/video/c59f5965-71d6-40e5-8650-ddf076125e0d?cid=DTCI-Synergy-DDN-Site-Acquisition-StarWars-US-StarWars-StarWarsTheCloneWars-EN-BlogArticleEmbed-TCWChronological_StreamOnDisneyPlusCTA-NA","Watch")</f>
        <v/>
      </c>
    </row>
    <row r="133" ht="30" customHeight="1" s="23">
      <c r="A133" s="21" t="b">
        <v>0</v>
      </c>
      <c r="B133" s="21" t="n">
        <v>127</v>
      </c>
      <c r="C133" s="21" t="inlineStr">
        <is>
          <t>701</t>
        </is>
      </c>
      <c r="D133" s="14" t="inlineStr">
        <is>
          <t>The Bad Batch</t>
        </is>
      </c>
      <c r="E133" s="14" t="inlineStr">
        <is>
          <t>Season 7, Episode 1</t>
        </is>
      </c>
      <c r="F133" s="20">
        <f>HYPERLINK("https://www.starwars.com/series/clone-wars/the-bad-batch-episode-guide","Episode guide")</f>
        <v/>
      </c>
      <c r="G133" s="20">
        <f>HYPERLINK("https://www.disneyplus.com/en-gb/video/9ee46453-c414-4c89-b3ef-b0d4d1c001fc?cid=DTCI-Synergy-DDN-Site-Acquisition-StarWars-US-StarWars-StarWarsTheCloneWars-EN-BlogArticleEmbed-TCWChronological_StreamOnDisneyPlusCTA-NA","Watch")</f>
        <v/>
      </c>
    </row>
    <row r="134" ht="30" customHeight="1" s="23">
      <c r="A134" s="21" t="b">
        <v>0</v>
      </c>
      <c r="B134" s="21" t="n">
        <v>128</v>
      </c>
      <c r="C134" s="21" t="inlineStr">
        <is>
          <t>702</t>
        </is>
      </c>
      <c r="D134" s="14" t="inlineStr">
        <is>
          <t>A Distant Echo</t>
        </is>
      </c>
      <c r="E134" s="14" t="inlineStr">
        <is>
          <t>Season 7, Episode 2</t>
        </is>
      </c>
      <c r="F134" s="20">
        <f>HYPERLINK("https://www.starwars.com/series/clone-wars/a-distant-echo-episode-guide","Episode guide")</f>
        <v/>
      </c>
      <c r="G134" s="20">
        <f>HYPERLINK("https://www.disneyplus.com/en-gb/video/cbcde944-1622-4f15-a136-47a85e7f75c1?cid=DTCI-Synergy-DDN-Site-Acquisition-StarWars-US-StarWars-StarWarsTheCloneWars-EN-BlogArticleEmbed-TCWChronological_StreamOnDisneyPlusCTA-NA","Watch")</f>
        <v/>
      </c>
    </row>
    <row r="135" ht="30" customHeight="1" s="23">
      <c r="A135" s="21" t="b">
        <v>0</v>
      </c>
      <c r="B135" s="21" t="n">
        <v>129</v>
      </c>
      <c r="C135" s="21" t="inlineStr">
        <is>
          <t>703</t>
        </is>
      </c>
      <c r="D135" s="14" t="inlineStr">
        <is>
          <t>On the Wings of Keeradaks</t>
        </is>
      </c>
      <c r="E135" s="14" t="inlineStr">
        <is>
          <t>Season 7, Episode 3</t>
        </is>
      </c>
      <c r="F135" s="20">
        <f>HYPERLINK("https://www.starwars.com/series/clone-wars/on-the-wings-of-keeradaks-episode-guide","Episode guide")</f>
        <v/>
      </c>
      <c r="G135" s="20">
        <f>HYPERLINK("https://www.disneyplus.com/en-gb/video/1df8336f-23c4-437a-a360-043e5cb26a41?cid=DTCI-Synergy-DDN-Site-Acquisition-StarWars-US-StarWars-StarWarsTheCloneWars-EN-BlogArticleEmbed-TCWChronological_StreamOnDisneyPlusCTA-NA","Watch")</f>
        <v/>
      </c>
    </row>
    <row r="136" ht="30" customHeight="1" s="23">
      <c r="A136" s="21" t="b">
        <v>0</v>
      </c>
      <c r="B136" s="21" t="n">
        <v>130</v>
      </c>
      <c r="C136" s="21" t="inlineStr">
        <is>
          <t>704</t>
        </is>
      </c>
      <c r="D136" s="14" t="inlineStr">
        <is>
          <t>Unfinished Business</t>
        </is>
      </c>
      <c r="E136" s="14" t="inlineStr">
        <is>
          <t>Season 7, Episode 4</t>
        </is>
      </c>
      <c r="F136" s="20">
        <f>HYPERLINK("https://www.starwars.com/series/clone-wars/unfinished-business-episode-guide","Episode guide")</f>
        <v/>
      </c>
      <c r="G136" s="20">
        <f>HYPERLINK("https://www.disneyplus.com/en-gb/video/2aba28e0-4dbe-49ab-9512-fa856ff1e791?cid=DTCI-Synergy-DDN-Site-Acquisition-StarWars-US-StarWars-StarWarsTheCloneWars-EN-BlogArticleEmbed-TCWChronological_StreamOnDisneyPlusCTA-NA","Watch")</f>
        <v/>
      </c>
    </row>
    <row r="137" ht="30" customHeight="1" s="23">
      <c r="A137" s="21" t="b">
        <v>0</v>
      </c>
      <c r="B137" s="21" t="n">
        <v>131</v>
      </c>
      <c r="C137" s="21" t="inlineStr">
        <is>
          <t>709</t>
        </is>
      </c>
      <c r="D137" s="14" t="inlineStr">
        <is>
          <t>Old Friends Not Forgotten</t>
        </is>
      </c>
      <c r="E137" s="14" t="inlineStr">
        <is>
          <t>Season 7, Episode 9</t>
        </is>
      </c>
      <c r="F137" s="20">
        <f>HYPERLINK("https://www.starwars.com/series/clone-wars/old-friends-not-forgotten-episode-guide","Episode guide")</f>
        <v/>
      </c>
      <c r="G137" s="20">
        <f>HYPERLINK("https://www.disneyplus.com/video/0626c961-a67c-4203-bee2-a8166e95b895?cid=DTCI-Synergy-DDN-Site-Acquisition-StarWars-US-StarWars-StarWarsTheCloneWars-EN-BlogArticleEmbed-TCWChronological_StreamOnDisneyPlusCTA-NA","Watch")</f>
        <v/>
      </c>
    </row>
    <row r="138" ht="30" customHeight="1" s="23">
      <c r="A138" s="21" t="b">
        <v>0</v>
      </c>
      <c r="B138" s="21" t="n">
        <v>132</v>
      </c>
      <c r="C138" s="21" t="inlineStr">
        <is>
          <t>710</t>
        </is>
      </c>
      <c r="D138" s="14" t="inlineStr">
        <is>
          <t>The Phantom Apprentice</t>
        </is>
      </c>
      <c r="E138" s="14" t="inlineStr">
        <is>
          <t>Season 7, Episode 10</t>
        </is>
      </c>
      <c r="F138" s="20">
        <f>HYPERLINK("https://www.starwars.com/series/clone-wars/the-phantom-apprentice-episode-guide","Episode guide")</f>
        <v/>
      </c>
      <c r="G138" s="20">
        <f>HYPERLINK("https://www.disneyplus.com/video/24dd0033-1f7d-492e-9114-63a684fa4f78?cid=DTCI-Synergy-DDN-Site-Acquisition-StarWars-US-StarWars-StarWarsTheCloneWars-EN-BlogArticleEmbed-TCWChronological_StreamOnDisneyPlusCTA-NA","Watch")</f>
        <v/>
      </c>
    </row>
    <row r="139" ht="30" customHeight="1" s="23">
      <c r="A139" s="21" t="b">
        <v>0</v>
      </c>
      <c r="B139" s="21" t="n">
        <v>133</v>
      </c>
      <c r="C139" s="21" t="inlineStr">
        <is>
          <t>711</t>
        </is>
      </c>
      <c r="D139" s="14" t="inlineStr">
        <is>
          <t>Shattered</t>
        </is>
      </c>
      <c r="E139" s="14" t="inlineStr">
        <is>
          <t>Season 7, Episode 11</t>
        </is>
      </c>
      <c r="F139" s="20">
        <f>HYPERLINK("https://www.starwars.com/series/clone-wars/shattered-episode-guide","Episode guide")</f>
        <v/>
      </c>
      <c r="G139" s="20">
        <f>HYPERLINK("https://www.disneyplus.com/video/cfcd7267-d3d1-4e98-92d6-3129b4c8d686?cid=DTCI-Synergy-DDN-Site-Acquisition-StarWars-US-StarWars-StarWarsTheCloneWars-EN-BlogArticleEmbed-TCWChronological_StreamOnDisneyPlusCTA-NA","Watch")</f>
        <v/>
      </c>
    </row>
    <row r="140" ht="30" customHeight="1" s="23">
      <c r="A140" s="21" t="b">
        <v>0</v>
      </c>
      <c r="B140" s="21" t="n">
        <v>134</v>
      </c>
      <c r="C140" s="21" t="inlineStr">
        <is>
          <t>712</t>
        </is>
      </c>
      <c r="D140" s="14" t="inlineStr">
        <is>
          <t>Victory and Death</t>
        </is>
      </c>
      <c r="E140" s="14" t="inlineStr">
        <is>
          <t>Season 7, Episode 12</t>
        </is>
      </c>
      <c r="F140" s="20">
        <f>HYPERLINK("https://www.starwars.com/series/clone-wars/victory-and-death-episode-guide","Episode guide")</f>
        <v/>
      </c>
      <c r="G140" s="20">
        <f>HYPERLINK("https://www.disneyplus.com/video/f21bd5ab-d24d-4a4a-b09c-d09d4361148b?cid=DTCI-Synergy-DDN-Site-Acquisition-StarWars-US-StarWars-StarWarsTheCloneWars-EN-BlogArticleEmbed-TCWChronological_StreamOnDisneyPlusCTA-NA","Watch")</f>
        <v/>
      </c>
    </row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autoFilter ref="$A$6:$G$140"/>
  <conditionalFormatting sqref="A7:G140">
    <cfRule type="expression" priority="1" dxfId="0">
      <formula>$A7=TRUE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2026-10-17T16:59:57Z</dcterms:created>
  <dcterms:modified xmlns:dcterms="http://purl.org/dc/terms/" xmlns:xsi="http://www.w3.org/2001/XMLSchema-instance" xsi:type="dcterms:W3CDTF">2026-10-17T16:59:57Z</dcterms:modified>
</cp:coreProperties>
</file>