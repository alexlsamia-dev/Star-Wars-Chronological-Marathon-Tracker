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509dfebde284277" /></Relationships>
</file>

<file path=xl/workbook.xml><?xml version="1.0" encoding="utf-8"?>
<x:workbook xmlns:x="http://schemas.openxmlformats.org/spreadsheetml/2006/main">
  <x:sheets>
    <x:sheet xmlns:r="http://schemas.openxmlformats.org/officeDocument/2006/relationships" name="Marathon Tracker" sheetId="1" r:id="Rc6466e17c9ad4fb8"/>
    <x:sheet xmlns:r="http://schemas.openxmlformats.org/officeDocument/2006/relationships" name="Forces of Destiny" sheetId="2" r:id="R751f2583d3934dca"/>
    <x:sheet xmlns:r="http://schemas.openxmlformats.org/officeDocument/2006/relationships" name="Clone Wars Order" sheetId="3" r:id="R480121f45221487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7">
    <x:font>
      <x:sz val="11"/>
      <x:color rgb="FF000000"/>
      <x:name val="Carlito"/>
      <x:scheme val="minor"/>
    </x:font>
    <x:font>
      <x:sz val="10"/>
      <x:color rgb="FF111827"/>
      <x:name val="Arial"/>
    </x:font>
    <x:font>
      <x:b/>
      <x:sz val="16"/>
      <x:color rgb="FF111827"/>
      <x:name val="Arial"/>
    </x:font>
    <x:font>
      <x:i/>
      <x:sz val="10"/>
      <x:color rgb="FF6B7280"/>
      <x:name val="Arial"/>
    </x:font>
    <x:font>
      <x:b/>
      <x:sz val="10"/>
      <x:color rgb="FF111827"/>
      <x:name val="Arial"/>
    </x:font>
    <x:font>
      <x:u val="single"/>
      <x:sz val="9"/>
      <x:color rgb="FF2563EB"/>
      <x:name val="Arial"/>
    </x:font>
    <x:font>
      <x:sz val="9"/>
      <x:color rgb="FF2563EB"/>
      <x:name val="Arial"/>
    </x:font>
    <x:font>
      <x:u val="single"/>
      <x:sz val="9"/>
      <x:color rgb="FF2563EB"/>
      <x:name val="Arial"/>
    </x:font>
    <x:font>
      <x:u val="single"/>
      <x:sz val="10"/>
      <x:color rgb="FF111827"/>
      <x:name val="Arial"/>
    </x:font>
    <x:font>
      <x:sz val="9"/>
      <x:color rgb="FF202A3A"/>
      <x:name val="Aptos"/>
    </x:font>
    <x:font>
      <x:u val="single"/>
      <x:sz val="9"/>
      <x:color rgb="FF202A3A"/>
      <x:name val="Aptos"/>
    </x:font>
    <x:font>
      <x:sz val="9"/>
      <x:color rgb="FF202A3A"/>
      <x:name val="Aptos"/>
      <x:scheme val="minor"/>
    </x:font>
    <x:font>
      <x:u val="single"/>
      <x:sz val="9"/>
      <x:color rgb="FF1E67A5"/>
      <x:name val="Aptos"/>
    </x:font>
    <x:font>
      <x:u val="single"/>
      <x:sz val="9"/>
      <x:color rgb="FF1E67A5"/>
      <x:name val="Aptos"/>
      <x:scheme val="minor"/>
    </x:font>
    <x:font>
      <x:b/>
      <x:sz val="9"/>
      <x:color rgb="FF17202B"/>
      <x:name val="Aptos"/>
    </x:font>
    <x:font>
      <x:b/>
      <x:sz val="9"/>
      <x:color rgb="FF17202B"/>
      <x:name val="Aptos"/>
      <x:scheme val="minor"/>
    </x:font>
    <x:font>
      <x:u val="single"/>
      <x:sz val="9"/>
      <x:color rgb="FF202A3A"/>
      <x:name val="Aptos"/>
      <x:scheme val="minor"/>
    </x:font>
  </x:fonts>
  <x:fills count="7">
    <x:fill>
      <x:patternFill patternType="none"/>
    </x:fill>
    <x:fill>
      <x:patternFill patternType="lightGray"/>
    </x:fill>
    <x:fill>
      <x:patternFill patternType="solid">
        <x:fgColor rgb="FFE5E7EB"/>
      </x:patternFill>
    </x:fill>
    <x:fill>
      <x:patternFill patternType="solid">
        <x:fgColor rgb="FFFAFBFD"/>
      </x:patternFill>
    </x:fill>
    <x:fill>
      <x:patternFill patternType="solid">
        <x:fgColor rgb="FFDDE2EA"/>
      </x:patternFill>
    </x:fill>
    <x:fill>
      <x:patternFill patternType="solid">
        <x:fgColor rgb="FFFAFBFD"/>
      </x:patternFill>
    </x:fill>
    <x:fill>
      <x:patternFill patternType="solid">
        <x:fgColor rgb="FFDDE2EA"/>
      </x:patternFill>
    </x:fill>
  </x:fills>
  <x:borders count="5">
    <x:border/>
    <x:border>
      <x:left/>
      <x:right/>
      <x:top/>
      <x:bottom style="medium">
        <x:color rgb="FFD1D5DB"/>
      </x:bottom>
    </x:border>
    <x:border>
      <x:bottom style="thin">
        <x:color rgb="FFD9DEE7"/>
      </x:bottom>
    </x:border>
    <x:border>
      <x:left/>
      <x:right/>
      <x:top/>
      <x:bottom style="medium">
        <x:color rgb="FFAAB2BE"/>
      </x:bottom>
    </x:border>
    <x:border>
      <x:bottom style="medium">
        <x:color rgb="FFAAB2BE"/>
      </x:bottom>
    </x:border>
  </x:borders>
  <x:cellStyleXfs count="1">
    <x:xf numFmtId="0" fontId="0" fillId="0" borderId="0"/>
  </x:cellStyleXfs>
  <x:cellXfs count="80">
    <x:xf numFmtId="0" fontId="0" fillId="0" borderId="0" xfId="0" applyAlignment="1">
      <x:alignment vertical="bottom"/>
    </x:xf>
    <x:xf numFmtId="0" fontId="1" fillId="0" borderId="0" xfId="0"/>
    <x:xf numFmtId="0" fontId="2" fillId="0" borderId="0" xfId="0"/>
    <x:xf numFmtId="0" fontId="3" fillId="0" borderId="0" xfId="0"/>
    <x:xf numFmtId="0" fontId="1" fillId="0" borderId="0" xfId="0"/>
    <x:xf numFmtId="0" fontId="3" fillId="0" borderId="0" xfId="0"/>
    <x:xf numFmtId="0" fontId="4" fillId="0" borderId="0" xfId="0"/>
    <x:xf numFmtId="0" fontId="4" fillId="0" borderId="0" xfId="0"/>
    <x:xf numFmtId="9" fontId="4" fillId="0" borderId="0" xfId="0"/>
    <x:xf numFmtId="0" fontId="4" fillId="2" borderId="1" xfId="0" applyAlignment="1">
      <x:alignment horizontal="center" vertical="center"/>
    </x:xf>
    <x:xf numFmtId="0" fontId="1" fillId="0" borderId="0" xfId="0" applyAlignment="1">
      <x:alignment horizontal="center" vertical="center"/>
    </x:xf>
    <x:xf numFmtId="0" fontId="1" fillId="0" borderId="0" xfId="0" applyAlignment="1">
      <x:alignment vertical="center"/>
    </x:xf>
    <x:xf numFmtId="0" fontId="4" fillId="2" borderId="1" xfId="0" applyAlignment="1">
      <x:alignment horizontal="center" vertical="center"/>
    </x:xf>
    <x:xf numFmtId="0" fontId="1" fillId="0" borderId="0" xfId="0" applyAlignment="1">
      <x:alignment horizontal="center" vertical="center"/>
    </x:xf>
    <x:xf numFmtId="0" fontId="1" fillId="0" borderId="0" xfId="0" applyAlignment="1">
      <x:alignment vertical="center"/>
    </x:xf>
    <x:xf numFmtId="0" fontId="1" fillId="0" borderId="0" xfId="0" applyAlignment="1">
      <x:alignment vertical="center" wrapText="1"/>
    </x:xf>
    <x:xf numFmtId="0" fontId="1" fillId="0" borderId="0" xfId="0" applyAlignment="1">
      <x:alignment horizontal="center" vertical="center" wrapText="1"/>
    </x:xf>
    <x:xf numFmtId="0" fontId="1" fillId="0" borderId="0" xfId="0" applyAlignment="1">
      <x:alignment vertical="center" wrapText="1"/>
    </x:xf>
    <x:xf numFmtId="0" fontId="5" fillId="0" borderId="0" xfId="0" applyAlignment="1">
      <x:alignment vertical="center" wrapText="1"/>
    </x:xf>
    <x:xf numFmtId="0" fontId="6" fillId="0" borderId="0" xfId="0" applyAlignment="1">
      <x:alignment vertical="center" wrapText="1"/>
    </x:xf>
    <x:xf numFmtId="0" fontId="7" fillId="0" borderId="0" xfId="0" applyAlignment="1">
      <x:alignment vertical="center"/>
    </x:xf>
    <x:xf numFmtId="0" fontId="1" fillId="0" borderId="0" xfId="0" applyAlignment="1">
      <x:alignment horizontal="center" vertical="center"/>
    </x:xf>
    <x:xf numFmtId="0" fontId="8" fillId="0" borderId="0" xfId="0" applyAlignment="1">
      <x:alignment vertical="center" wrapText="1"/>
    </x:xf>
    <x:xf numFmtId="0" fontId="0" fillId="0" borderId="0" xfId="0"/>
    <x:xf numFmtId="0" fontId="1" fillId="0" borderId="0" xfId="0" applyAlignment="1">
      <x:alignment vertical="center" wrapText="1"/>
    </x:xf>
    <x:xf numFmtId="0" fontId="1" fillId="0" borderId="0" xfId="0" applyAlignment="1">
      <x:alignment horizontal="center" vertical="center" wrapText="1"/>
    </x:xf>
    <x:xf numFmtId="0" fontId="1" fillId="0" borderId="0" xfId="0" applyAlignment="1">
      <x:alignment vertical="center" wrapText="1"/>
    </x:xf>
    <x:xf numFmtId="0" fontId="5" fillId="0" borderId="0" xfId="0" applyAlignment="1">
      <x:alignment vertical="center" wrapText="1"/>
    </x:xf>
    <x:xf numFmtId="0" fontId="1" fillId="0" borderId="0" xfId="0" applyAlignment="1">
      <x:alignment horizontal="center" vertical="center"/>
      <x:extLst>
        <x:ext uri="{C7286773-470A-42A8-94C5-96B5CB345126}">
          <xfpb:xfComplement xmlns:xfpb="http://schemas.microsoft.com/office/spreadsheetml/2022/featurepropertybag" i="0"/>
        </x:ext>
      </x:extLst>
    </x:xf>
    <x:xf numFmtId="0" fontId="9" fillId="0" borderId="0" xfId="0" applyNumberFormat="1" applyFont="1" applyFill="1" applyBorder="1" applyAlignment="1">
      <x:alignment horizontal="center" vertical="center"/>
      <x:extLst>
        <x:ext uri="{C7286773-470A-42A8-94C5-96B5CB345126}">
          <xfpb:xfComplement xmlns:xfpb="http://schemas.microsoft.com/office/spreadsheetml/2022/featurepropertybag" i="0"/>
        </x:ext>
      </x:extLst>
    </x:xf>
    <x:xf numFmtId="0" fontId="9" fillId="0" borderId="0" xfId="0" applyNumberFormat="1" applyFont="1" applyFill="1" applyBorder="1" applyAlignment="1">
      <x:alignment horizontal="center" vertical="center"/>
    </x:xf>
    <x:xf numFmtId="0" fontId="9" fillId="0" borderId="0" xfId="0" applyNumberFormat="1" applyFont="1" applyFill="1" applyBorder="1" applyAlignment="1">
      <x:alignment vertical="center"/>
    </x:xf>
    <x:xf numFmtId="0" fontId="9" fillId="0" borderId="0" xfId="0" applyNumberFormat="1" applyFont="1" applyFill="1" applyBorder="1" applyAlignment="1">
      <x:alignment vertical="center" wrapText="1"/>
    </x:xf>
    <x:xf numFmtId="0" fontId="9" fillId="0" borderId="0" xfId="0" applyNumberFormat="1" applyFont="1" applyFill="1" applyBorder="1" applyAlignment="1">
      <x:alignment horizontal="center" vertical="center" wrapText="1"/>
    </x:xf>
    <x:xf numFmtId="0" fontId="10" fillId="0" borderId="0" xfId="0" applyNumberFormat="1" applyFont="1" applyFill="1" applyBorder="1" applyAlignment="1">
      <x:alignment vertical="center" wrapText="1"/>
    </x:xf>
    <x:xf numFmtId="0" fontId="11" fillId="0" borderId="0" xfId="0" applyNumberFormat="1" applyFont="1" applyFill="1" applyBorder="1"/>
    <x:xf numFmtId="0" fontId="9" fillId="0" xfId="0" applyNumberFormat="1" applyFont="1" applyFill="1" applyBorder="0" applyAlignment="1">
      <x:alignment horizontal="center" vertical="center"/>
      <x:extLst>
        <x:ext uri="{C7286773-470A-42A8-94C5-96B5CB345126}">
          <xfpb:xfComplement xmlns:xfpb="http://schemas.microsoft.com/office/spreadsheetml/2022/featurepropertybag" i="0"/>
        </x:ext>
      </x:extLst>
    </x:xf>
    <x:xf numFmtId="0" fontId="9" fillId="0" xfId="0" applyNumberFormat="1" applyFont="1" applyFill="1" applyBorder="0" applyAlignment="1">
      <x:alignment horizontal="center" vertical="center"/>
    </x:xf>
    <x:xf numFmtId="0" fontId="9" fillId="0" xfId="0" applyNumberFormat="1" applyFont="1" applyFill="1" applyBorder="0" applyAlignment="1">
      <x:alignment vertical="center"/>
    </x:xf>
    <x:xf numFmtId="0" fontId="9" fillId="0" xfId="0" applyNumberFormat="1" applyFont="1" applyFill="1" applyBorder="0" applyAlignment="1">
      <x:alignment vertical="center" wrapText="1"/>
    </x:xf>
    <x:xf numFmtId="0" fontId="9" fillId="0" xfId="0" applyNumberFormat="1" applyFont="1" applyFill="1" applyBorder="0" applyAlignment="1">
      <x:alignment horizontal="center" vertical="center" wrapText="1"/>
    </x:xf>
    <x:xf numFmtId="0" fontId="10" fillId="0" xfId="0" applyNumberFormat="1" applyFont="1" applyFill="1" applyBorder="0" applyAlignment="1">
      <x:alignment vertical="center" wrapText="1"/>
    </x:xf>
    <x:xf numFmtId="0" fontId="11" fillId="0" xfId="0" applyNumberFormat="1" applyFont="1" applyFill="1" applyBorder="0"/>
    <x:xf numFmtId="0" fontId="9" fillId="0" borderId="2" xfId="0" applyNumberFormat="1" applyFont="1" applyFill="1" applyBorder="1" applyAlignment="1">
      <x:alignment horizontal="center" vertical="center"/>
      <x:extLst>
        <x:ext uri="{C7286773-470A-42A8-94C5-96B5CB345126}">
          <xfpb:xfComplement xmlns:xfpb="http://schemas.microsoft.com/office/spreadsheetml/2022/featurepropertybag" i="0"/>
        </x:ext>
      </x:extLst>
    </x:xf>
    <x:xf numFmtId="0" fontId="11" fillId="0" borderId="2" xfId="0" applyNumberFormat="1" applyFont="1" applyFill="1" applyBorder="1"/>
    <x:xf numFmtId="0" fontId="9" fillId="0" xfId="0" applyNumberFormat="1" applyFont="1" applyFill="1" applyBorder="0" applyAlignment="1">
      <x:alignment horizontal="center" vertical="center" wrapText="1"/>
      <x:extLst>
        <x:ext uri="{C7286773-470A-42A8-94C5-96B5CB345126}">
          <xfpb:xfComplement xmlns:xfpb="http://schemas.microsoft.com/office/spreadsheetml/2022/featurepropertybag" i="0"/>
        </x:ext>
      </x:extLst>
    </x:xf>
    <x:xf numFmtId="0" fontId="11" fillId="0" xfId="0" applyNumberFormat="1" applyFont="1" applyFill="1" applyBorder="0" applyAlignment="1">
      <x:alignment wrapText="1"/>
    </x:xf>
    <x:xf numFmtId="0" fontId="9" fillId="0" borderId="2"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1" fillId="0" borderId="2" xfId="0" applyNumberFormat="1" applyFont="1" applyFill="1" applyBorder="1" applyAlignment="1">
      <x:alignment wrapText="1"/>
    </x:xf>
    <x:xf numFmtId="0" fontId="9" fillId="0" xfId="0" applyNumberFormat="1" applyFont="1" applyFill="1" applyBorder="0" applyAlignment="1">
      <x:alignment horizontal="center" vertical="top" wrapText="1"/>
      <x:extLst>
        <x:ext uri="{C7286773-470A-42A8-94C5-96B5CB345126}">
          <xfpb:xfComplement xmlns:xfpb="http://schemas.microsoft.com/office/spreadsheetml/2022/featurepropertybag" i="0"/>
        </x:ext>
      </x:extLst>
    </x:xf>
    <x:xf numFmtId="0" fontId="9" fillId="0" xfId="0" applyNumberFormat="1" applyFont="1" applyFill="1" applyBorder="0" applyAlignment="1">
      <x:alignment horizontal="center" vertical="top" wrapText="1"/>
    </x:xf>
    <x:xf numFmtId="0" fontId="9" fillId="0" xfId="0" applyNumberFormat="1" applyFont="1" applyFill="1" applyBorder="0" applyAlignment="1">
      <x:alignment vertical="top" wrapText="1"/>
    </x:xf>
    <x:xf numFmtId="0" fontId="10" fillId="0" xfId="0" applyNumberFormat="1" applyFont="1" applyFill="1" applyBorder="0" applyAlignment="1">
      <x:alignment vertical="top" wrapText="1"/>
    </x:xf>
    <x:xf numFmtId="0" fontId="11" fillId="0" xfId="0" applyNumberFormat="1" applyFont="1" applyFill="1" applyBorder="0" applyAlignment="1">
      <x:alignment vertical="top" wrapText="1"/>
    </x:xf>
    <x:xf numFmtId="0" fontId="9" fillId="0" borderId="2"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1" fillId="0" borderId="2" xfId="0" applyNumberFormat="1" applyFont="1" applyFill="1" applyBorder="1" applyAlignment="1">
      <x:alignment vertical="top" wrapText="1"/>
    </x:xf>
    <x:xf numFmtId="0" fontId="11" fillId="0" xfId="0" applyNumberFormat="1" applyFont="1" applyFill="1" applyBorder="0" applyAlignment="1">
      <x:alignment horizontal="center" vertical="top" wrapText="1"/>
    </x:xf>
    <x:xf numFmtId="0" fontId="11" fillId="0" borderId="2" xfId="0" applyNumberFormat="1" applyFont="1" applyFill="1" applyBorder="1" applyAlignment="1">
      <x:alignment horizontal="center" vertical="top" wrapText="1"/>
    </x:xf>
    <x:xf numFmtId="0" fontId="12" fillId="0" xfId="0" applyNumberFormat="1" applyFont="1" applyFill="1" applyBorder="0" applyAlignment="1">
      <x:alignment vertical="top" wrapText="1"/>
    </x:xf>
    <x:xf numFmtId="0" fontId="13" fillId="0" xfId="0" applyNumberFormat="1" applyFont="1" applyFill="1" applyBorder="0" applyAlignment="1">
      <x:alignment vertical="top" wrapText="1"/>
    </x:xf>
    <x:xf numFmtId="0" fontId="13" fillId="0" borderId="2" xfId="0" applyNumberFormat="1" applyFont="1" applyFill="1" applyBorder="1" applyAlignment="1">
      <x:alignment vertical="top" wrapText="1"/>
    </x:xf>
    <x:xf numFmtId="0" fontId="11" fillId="3" xfId="0" applyNumberFormat="1" applyFont="1" applyFill="1" applyBorder="0" applyAlignment="1">
      <x:alignment vertical="top" wrapText="1"/>
    </x:xf>
    <x:xf numFmtId="0" fontId="11" fillId="3" borderId="2" xfId="0" applyNumberFormat="1" applyFont="1" applyFill="1" applyBorder="1" applyAlignment="1">
      <x:alignment vertical="top" wrapText="1"/>
    </x:xf>
    <x:xf numFmtId="0" fontId="4" fillId="4" borderId="1" xfId="0" applyNumberFormat="1" applyFont="1" applyFill="1" applyBorder="1" applyAlignment="1">
      <x:alignment horizontal="center" vertical="center"/>
    </x:xf>
    <x:xf numFmtId="0" fontId="0" fillId="4" borderId="0" xfId="0" applyNumberFormat="1" applyFont="1" applyFill="1" applyBorder="1"/>
    <x:xf numFmtId="0" fontId="14" fillId="4" borderId="1" xfId="0" applyNumberFormat="1" applyFont="1" applyFill="1" applyBorder="1" applyAlignment="1">
      <x:alignment horizontal="center" vertical="center"/>
    </x:xf>
    <x:xf numFmtId="0" fontId="15" fillId="4" borderId="0" xfId="0" applyNumberFormat="1" applyFont="1" applyFill="1" applyBorder="1"/>
    <x:xf numFmtId="0" fontId="14" fillId="4" borderId="3" xfId="0" applyNumberFormat="1" applyFont="1" applyFill="1" applyBorder="1" applyAlignment="1">
      <x:alignment horizontal="center" vertical="center"/>
    </x:xf>
    <x:xf numFmtId="0" fontId="15" fillId="4" borderId="4" xfId="0" applyNumberFormat="1" applyFont="1" applyFill="1" applyBorder="1"/>
    <x:xf numFmtId="0" fontId="14" fillId="4" borderId="3" xfId="0" applyNumberFormat="1" applyFont="1" applyFill="1" applyBorder="1" applyAlignment="1">
      <x:alignment horizontal="center" vertical="center" wrapText="1"/>
    </x:xf>
    <x:xf numFmtId="0" fontId="15" fillId="4" borderId="4" xfId="0" applyNumberFormat="1" applyFont="1" applyFill="1" applyBorder="1" applyAlignment="1">
      <x:alignment wrapText="1"/>
    </x:xf>
    <x:xf numFmtId="0" fontId="15" fillId="4" borderId="4" xfId="0" applyNumberFormat="1" applyFont="1" applyFill="1" applyBorder="1" applyAlignment="1">
      <x:alignment horizontal="center" wrapText="1"/>
    </x:xf>
    <x:xf numFmtId="0" fontId="15" fillId="4" borderId="4" xfId="0" applyNumberFormat="1" applyFont="1" applyFill="1" applyBorder="1" applyAlignment="1">
      <x:alignment horizontal="center" vertical="center" wrapText="1"/>
    </x:xf>
    <x:xf numFmtId="200" fontId="4" fillId="0" borderId="0" xfId="0" applyNumberFormat="1" applyFont="1" applyFill="1" applyBorder="1"/>
    <x:xf numFmtId="0" fontId="16" fillId="0" xfId="0" applyNumberFormat="1" applyFont="1" applyFill="1" applyBorder="0" applyAlignment="1">
      <x:alignment vertical="top" wrapText="1"/>
    </x:xf>
    <x:xf numFmtId="0" fontId="16" fillId="0" borderId="2" xfId="0" applyNumberFormat="1" applyFont="1" applyFill="1" applyBorder="1" applyAlignment="1">
      <x:alignment vertical="top" wrapText="1"/>
    </x:xf>
    <x:xf numFmtId="0" fontId="11" fillId="5" xfId="0" applyNumberFormat="1" applyFont="1" applyFill="1" applyBorder="0" applyAlignment="1">
      <x:alignment vertical="top" wrapText="1"/>
    </x:xf>
    <x:xf numFmtId="0" fontId="11" fillId="5" borderId="2" xfId="0" applyNumberFormat="1" applyFont="1" applyFill="1" applyBorder="1" applyAlignment="1">
      <x:alignment vertical="top" wrapText="1"/>
    </x:xf>
    <x:xf numFmtId="0" fontId="14" fillId="6" borderId="3" xfId="0" applyNumberFormat="1" applyFont="1" applyFill="1" applyBorder="1" applyAlignment="1">
      <x:alignment horizontal="center" vertical="center" wrapText="1"/>
    </x:xf>
    <x:xf numFmtId="0" fontId="15" fillId="6" borderId="4" xfId="0" applyNumberFormat="1" applyFont="1" applyFill="1" applyBorder="1" applyAlignment="1">
      <x:alignment horizontal="center" vertical="center" wrapText="1"/>
    </x:xf>
  </x:cellXfs>
  <x:cellStyles count="1">
    <x:cellStyle name="Normal" xfId="0"/>
  </x:cellStyles>
  <x:dxfs count="5">
    <x:dxf>
      <x:font>
        <x:color rgb="FF166534"/>
      </x:font>
      <x:fill>
        <x:patternFill>
          <x:bgColor rgb="FFDCFCE7"/>
        </x:patternFill>
      </x:fill>
      <x:border/>
    </x:dxf>
    <x:dxf>
      <x:font>
        <x:i/>
        <x:color rgb="FF7A828D"/>
      </x:font>
      <x:fill>
        <x:patternFill>
          <x:bgColor rgb="FFE8EAED"/>
        </x:patternFill>
      </x:fill>
    </x:dxf>
    <x:dxf>
      <x:font>
        <x:b/>
        <x:color rgb="FF8A1C1C"/>
      </x:font>
      <x:fill>
        <x:patternFill>
          <x:bgColor rgb="FFFDE2E2"/>
        </x:patternFill>
      </x:fill>
    </x:dxf>
    <x:dxf>
      <x:font>
        <x:i/>
        <x:color rgb="FF7A828D"/>
      </x:font>
      <x:fill>
        <x:patternFill patternType="solid">
          <x:bgColor rgb="FFE8EAED"/>
        </x:patternFill>
      </x:fill>
    </x:dxf>
    <x:dxf>
      <x:font>
        <x:b/>
        <x:color rgb="FF8A1C1C"/>
      </x:font>
      <x:fill>
        <x:patternFill patternType="solid">
          <x:bgColor rgb="FFFD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443567ac9df4393" /><Relationship Type="http://schemas.openxmlformats.org/officeDocument/2006/relationships/theme" Target="/xl/theme/theme1.xml" Id="R25fffadb2f4645a4" /><Relationship Type="http://schemas.microsoft.com/office/2022/11/relationships/FeaturePropertyBag" Target="/xl/featurePropertyBag/featurePropertyBag.xml" Id="Ra4f31d506fab446a" /><Relationship Type="http://schemas.openxmlformats.org/officeDocument/2006/relationships/sharedStrings" Target="/xl/sharedStrings.xml" Id="R9385da445e2c4539" /><Relationship Type="http://schemas.openxmlformats.org/officeDocument/2006/relationships/worksheet" Target="/xl/worksheets/sheet1.xml" Id="Rc6466e17c9ad4fb8" /><Relationship Type="http://schemas.openxmlformats.org/officeDocument/2006/relationships/worksheet" Target="/xl/worksheets/sheet2.xml" Id="R751f2583d3934dca" /><Relationship Type="http://schemas.openxmlformats.org/officeDocument/2006/relationships/worksheet" Target="/xl/worksheets/sheet3.xml" Id="R480121f45221487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2937"/>
  </x:sheetPr>
  <x:sheetViews>
    <x:sheetView showGridLines="0" workbookViewId="0">
      <x:pane xSplit="2" ySplit="6" topLeftCell="C7" activePane="bottomRight" state="frozen"/>
    </x:sheetView>
  </x:sheetViews>
  <x:sheetFormatPr baseColWidth="8" defaultColWidth="12.630000114440918" defaultRowHeight="15"/>
  <x:cols>
    <x:col min="1" max="2" width="8" style="23" customWidth="1"/>
    <x:col min="3" max="3" width="32" style="23" hidden="0" customWidth="1"/>
    <x:col min="4" max="4" width="52" style="23" hidden="0" customWidth="1"/>
    <x:col min="5" max="5" width="20" style="23" hidden="0" customWidth="1"/>
    <x:col min="6" max="6" width="20" style="23" hidden="0" customWidth="1"/>
    <x:col min="7" max="8" width="18" style="23" customWidth="1"/>
    <x:col min="9" max="9" width="25" style="23" hidden="0" customWidth="1"/>
    <x:col min="10" max="10" width="12" style="23" hidden="0" customWidth="1"/>
    <x:col min="11" max="11" width="55" style="23" hidden="0" customWidth="1"/>
    <x:col min="12" max="27" width="8.630000114440918" style="23" customWidth="1"/>
    <x:col min="1" max="1" width="7" hidden="0" customWidth="1"/>
    <x:col min="2" max="2" width="10" hidden="0" customWidth="1"/>
    <x:col min="7" max="7" width="20" hidden="0" customWidth="1"/>
    <x:col min="8" max="8" width="18" hidden="0" customWidth="1"/>
    <x:col min="12" max="12" width="28" hidden="0" customWidth="1"/>
    <x:col min="13" max="13" width="52" hidden="0" customWidth="1"/>
    <x:col min="14" max="14" width="72" hidden="0" customWidth="1"/>
    <x:col min="15" max="15" width="48" hidden="0" customWidth="1"/>
    <x:col min="16" max="16" width="40" hidden="0" customWidth="1"/>
    <x:col min="17" max="17" width="24" hidden="0" customWidth="1"/>
    <x:col min="18" max="18" width="18" hidden="0" customWidth="1"/>
    <x:col min="19" max="19" width="58" hidden="0" customWidth="1"/>
    <x:col min="20" max="20" width="30" hidden="0" customWidth="1"/>
  </x:cols>
  <x:sheetData>
    <x:row r="1">
      <x:c r="A1" s="4" t="n"/>
      <x:c r="B1" s="4" t="n"/>
      <x:c r="C1" s="4" t="n"/>
      <x:c r="D1" s="4" t="n"/>
      <x:c r="E1" s="4" t="n"/>
      <x:c r="F1" s="4" t="n"/>
      <x:c r="G1" s="4" t="n"/>
      <x:c r="H1" s="4" t="n"/>
      <x:c r="I1" s="4" t="n"/>
      <x:c r="J1" s="4" t="n"/>
      <x:c r="K1" s="4" t="n"/>
    </x:row>
    <x:row r="2">
      <x:c r="A2" s="2" t="str">
        <x:v>Star Wars Chronological Marathon Tracker</x:v>
      </x:c>
      <x:c r="B2" s="4" t="n"/>
      <x:c r="C2" s="4" t="n"/>
      <x:c r="D2" s="4" t="n"/>
      <x:c r="E2" s="4" t="n"/>
      <x:c r="F2" s="4" t="n"/>
      <x:c r="G2" s="4" t="n"/>
      <x:c r="H2" s="4" t="n"/>
      <x:c r="I2" s="4" t="n"/>
      <x:c r="J2" s="4" t="n"/>
      <x:c r="K2" s="4" t="n"/>
    </x:row>
    <x:row r="3">
      <x:c r="A3" s="5" t="str">
        <x:v>One unified chronological checklist with movies, episodes, games, fan videos, screenshot provenance, and a review queue</x:v>
      </x:c>
      <x:c r="B3" s="4" t="inlineStr">
        <x:is>
          <x:t xml:space="preserve"/>
        </x:is>
      </x:c>
      <x:c r="C3" s="4" t="n"/>
      <x:c r="D3" s="4" t="n"/>
      <x:c r="E3" s="4" t="n"/>
      <x:c r="F3" s="4" t="n"/>
      <x:c r="G3" s="4" t="n"/>
      <x:c r="H3" s="4" t="n"/>
      <x:c r="I3" s="4" t="n"/>
      <x:c r="J3" s="4" t="n"/>
      <x:c r="K3" s="4" t="n"/>
    </x:row>
    <x:row r="4">
      <x:c r="A4" s="7" t="str">
        <x:v>Completed</x:v>
      </x:c>
      <x:c r="B4" s="7" t="n">
        <x:f>COUNTIFS(A7:A955,TRUE)</x:f>
        <x:v>0</x:v>
      </x:c>
      <x:c r="C4" s="7" t="str">
        <x:v>Total</x:v>
      </x:c>
      <x:c r="D4" s="7" t="n">
        <x:f>COUNTA(D7:D955)</x:f>
        <x:v>949</x:v>
      </x:c>
      <x:c r="E4" s="7" t="n"/>
      <x:c r="F4" s="7" t="str">
        <x:v>Progress</x:v>
      </x:c>
      <x:c r="G4" s="73" t="n">
        <x:f>IF(D4=0,0,B4/D4)</x:f>
        <x:v>0</x:v>
      </x:c>
      <x:c r="H4" s="4" t="n"/>
      <x:c r="I4" s="6" t="str">
        <x:v>Last updated: October 17, 2026</x:v>
      </x:c>
      <x:c r="J4" s="4"/>
      <x:c r="K4" s="4" t="n"/>
    </x:row>
    <x:row r="5">
      <x:c r="A5" s="4" t="n"/>
      <x:c r="B5" s="4" t="n"/>
      <x:c r="C5" s="4" t="n"/>
      <x:c r="D5" s="4" t="n"/>
      <x:c r="E5" s="4" t="n"/>
      <x:c r="F5" s="4" t="n"/>
      <x:c r="G5" s="4" t="n"/>
      <x:c r="H5" s="4" t="n"/>
      <x:c r="I5" s="4" t="n"/>
      <x:c r="J5" s="4" t="n"/>
      <x:c r="K5" s="4" t="n"/>
    </x:row>
    <x:row r="6" ht="30" customHeight="1">
      <x:c r="A6" s="78" t="str">
        <x:v>Done</x:v>
      </x:c>
      <x:c r="B6" s="78" t="str">
        <x:v>#</x:v>
      </x:c>
      <x:c r="C6" s="78" t="str">
        <x:v>Era</x:v>
      </x:c>
      <x:c r="D6" s="78" t="str">
        <x:v>Title</x:v>
      </x:c>
      <x:c r="E6" s="78" t="str">
        <x:v>Season / Episode</x:v>
      </x:c>
      <x:c r="F6" s="78" t="str">
        <x:v>Release date</x:v>
      </x:c>
      <x:c r="G6" s="78" t="str">
        <x:v>Continuity</x:v>
      </x:c>
      <x:c r="H6" s="78" t="str">
        <x:v>Format</x:v>
      </x:c>
      <x:c r="I6" s="78" t="str">
        <x:v>Where to watch</x:v>
      </x:c>
      <x:c r="J6" s="78" t="str">
        <x:v>Link</x:v>
      </x:c>
      <x:c r="K6" s="78" t="str">
        <x:v>Notes</x:v>
      </x:c>
      <x:c r="L6" s="79" t="str">
        <x:v>Series name</x:v>
      </x:c>
      <x:c r="M6" s="79" t="str">
        <x:v>Original title</x:v>
      </x:c>
      <x:c r="N6" s="79" t="str">
        <x:v>Visible description</x:v>
      </x:c>
      <x:c r="O6" s="79" t="str">
        <x:v>Suggested chronological placement</x:v>
      </x:c>
      <x:c r="P6" s="79" t="str">
        <x:v>Source screenshot filename(s)</x:v>
      </x:c>
      <x:c r="Q6" s="79" t="str">
        <x:v>Verification status</x:v>
      </x:c>
      <x:c r="R6" s="79" t="str">
        <x:v>Placement confidence</x:v>
      </x:c>
      <x:c r="S6" s="79" t="str">
        <x:v>Review reason(s)</x:v>
      </x:c>
      <x:c r="T6" s="79" t="str">
        <x:v>Duplicate status</x:v>
      </x:c>
    </x:row>
    <x:row r="7" s="23" customFormat="1" ht="36" customHeight="1">
      <x:c r="A7" s="49" t="b">
        <x:v>0</x:v>
      </x:c>
      <x:c r="B7" s="50" t="str">
        <x:v>1</x:v>
      </x:c>
      <x:c r="C7" s="51" t="str">
        <x:v>Old Republic and High Republic</x:v>
      </x:c>
      <x:c r="D7" s="51" t="str">
        <x:v>Knights of the Old Republic</x:v>
      </x:c>
      <x:c r="E7" s="50" t="str"/>
      <x:c r="F7" s="51" t="str">
        <x:v>July 15, 2003</x:v>
      </x:c>
      <x:c r="G7" s="51" t="str">
        <x:v>Legends</x:v>
      </x:c>
      <x:c r="H7" s="51" t="str">
        <x:v>Game movie</x:v>
      </x:c>
      <x:c r="I7" s="51" t="str">
        <x:v>YouTube</x:v>
      </x:c>
      <x:c r="J7" s="58" t="e">
        <x:f>HYPERLINK("https://www.youtube.com/watch?v=9N_Banq8Kuc","Open")</x:f>
        <x:v>HYPERLINK is not implemented. linkLocation=https://www.youtube.com/watch?v=9N_Banq8Kuc, friendlyName=Open</x:v>
      </x:c>
      <x:c r="K7" s="51" t="str">
        <x:v>Full game movie, about 15 hours</x:v>
      </x:c>
      <x:c r="L7" s="76" t="str"/>
      <x:c r="M7" s="76" t="str"/>
      <x:c r="N7" s="76" t="str"/>
      <x:c r="O7" s="76" t="str"/>
      <x:c r="P7" s="76" t="str"/>
      <x:c r="Q7" s="76" t="str"/>
      <x:c r="R7" s="76" t="str"/>
      <x:c r="S7" s="76" t="str"/>
      <x:c r="T7" s="76" t="str"/>
    </x:row>
    <x:row r="8" s="23" customFormat="1" ht="36" customHeight="1">
      <x:c r="A8" s="49" t="b">
        <x:v>0</x:v>
      </x:c>
      <x:c r="B8" s="50" t="str">
        <x:v>2</x:v>
      </x:c>
      <x:c r="C8" s="51" t="str">
        <x:v>Old Republic and High Republic</x:v>
      </x:c>
      <x:c r="D8" s="51" t="str">
        <x:v>Knights of the Old Republic II: The Sith Lords</x:v>
      </x:c>
      <x:c r="E8" s="50" t="str"/>
      <x:c r="F8" s="51" t="str">
        <x:v>December 6, 2004</x:v>
      </x:c>
      <x:c r="G8" s="51" t="str">
        <x:v>Legends</x:v>
      </x:c>
      <x:c r="H8" s="51" t="str">
        <x:v>Game movie</x:v>
      </x:c>
      <x:c r="I8" s="51" t="str">
        <x:v>YouTube</x:v>
      </x:c>
      <x:c r="J8" s="58" t="e">
        <x:f>HYPERLINK("https://www.youtube.com/watch?v=Ut6qGIEkLx8","Open")</x:f>
        <x:v>HYPERLINK is not implemented. linkLocation=https://www.youtube.com/watch?v=Ut6qGIEkLx8, friendlyName=Open</x:v>
      </x:c>
      <x:c r="K8" s="51" t="str">
        <x:v>Restored Content version; choices change the story</x:v>
      </x:c>
      <x:c r="L8" s="76" t="str"/>
      <x:c r="M8" s="76" t="str"/>
      <x:c r="N8" s="76" t="str"/>
      <x:c r="O8" s="76" t="str"/>
      <x:c r="P8" s="76" t="str"/>
      <x:c r="Q8" s="76" t="str"/>
      <x:c r="R8" s="76" t="str"/>
      <x:c r="S8" s="76" t="str"/>
      <x:c r="T8" s="76" t="str"/>
    </x:row>
    <x:row r="9" s="23" customFormat="1" ht="36" customHeight="1">
      <x:c r="A9" s="49" t="b">
        <x:v>0</x:v>
      </x:c>
      <x:c r="B9" s="50" t="str">
        <x:v>3</x:v>
      </x:c>
      <x:c r="C9" s="51" t="str">
        <x:v>Old Republic and High Republic</x:v>
      </x:c>
      <x:c r="D9" s="51" t="str">
        <x:v>Star Wars: The Old Republic</x:v>
      </x:c>
      <x:c r="E9" s="50" t="str"/>
      <x:c r="F9" s="51" t="str">
        <x:v>December 20, 2011</x:v>
      </x:c>
      <x:c r="G9" s="51" t="str">
        <x:v>Legends</x:v>
      </x:c>
      <x:c r="H9" s="51" t="str">
        <x:v>Game / cinematics</x:v>
      </x:c>
      <x:c r="I9" s="51" t="str">
        <x:v>YouTube / SWTOR</x:v>
      </x:c>
      <x:c r="J9" s="58" t="e">
        <x:f>HYPERLINK("https://www.youtube.com/watch?v=nfjWANrhl5g","Open")</x:f>
        <x:v>HYPERLINK is not implemented. linkLocation=https://www.youtube.com/watch?v=nfjWANrhl5g, friendlyName=Open</x:v>
      </x:c>
      <x:c r="K9" s="51" t="str">
        <x:v>Start with the cinematic trailers, then choose class-story compilations</x:v>
      </x:c>
      <x:c r="L9" s="76" t="str"/>
      <x:c r="M9" s="76" t="str"/>
      <x:c r="N9" s="76" t="str"/>
      <x:c r="O9" s="76" t="str"/>
      <x:c r="P9" s="76" t="str"/>
      <x:c r="Q9" s="76" t="str"/>
      <x:c r="R9" s="76" t="str"/>
      <x:c r="S9" s="76" t="str"/>
      <x:c r="T9" s="76" t="str"/>
    </x:row>
    <x:row r="10" s="23" customFormat="1" ht="36" customHeight="1">
      <x:c r="A10" s="49" t="b">
        <x:v>0</x:v>
      </x:c>
      <x:c r="B10" s="50" t="str">
        <x:v>4</x:v>
      </x:c>
      <x:c r="C10" s="51" t="str">
        <x:v>Old Republic and High Republic</x:v>
      </x:c>
      <x:c r="D10" s="51" t="str">
        <x:v>Star Wars: Fate of the Old Republic teaser</x:v>
      </x:c>
      <x:c r="E10" s="50" t="str"/>
      <x:c r="F10" s="51" t="str">
        <x:v>December 11, 2025</x:v>
      </x:c>
      <x:c r="G10" s="51" t="str">
        <x:v>Unreleased</x:v>
      </x:c>
      <x:c r="H10" s="51" t="str">
        <x:v>Trailer</x:v>
      </x:c>
      <x:c r="I10" s="51" t="str">
        <x:v>YouTube</x:v>
      </x:c>
      <x:c r="J10" s="58" t="e">
        <x:f>HYPERLINK("https://www.youtube.com/watch?v=lAmkl1jL0fo","Open")</x:f>
        <x:v>HYPERLINK is not implemented. linkLocation=https://www.youtube.com/watch?v=lAmkl1jL0fo, friendlyName=Open</x:v>
      </x:c>
      <x:c r="K10" s="51" t="str">
        <x:v>Game unreleased; timeline placement provisional</x:v>
      </x:c>
      <x:c r="L10" s="76" t="str"/>
      <x:c r="M10" s="76" t="str"/>
      <x:c r="N10" s="76" t="str"/>
      <x:c r="O10" s="76" t="str"/>
      <x:c r="P10" s="76" t="str"/>
      <x:c r="Q10" s="76" t="str"/>
      <x:c r="R10" s="76" t="str"/>
      <x:c r="S10" s="76" t="str"/>
      <x:c r="T10" s="76" t="str"/>
    </x:row>
    <x:row r="11" s="23" customFormat="1" ht="36" customHeight="1">
      <x:c r="A11" s="49" t="b">
        <x:v>0</x:v>
      </x:c>
      <x:c r="B11" s="50" t="str">
        <x:v>5</x:v>
      </x:c>
      <x:c r="C11" s="51" t="str">
        <x:v>Old Republic and High Republic</x:v>
      </x:c>
      <x:c r="D11" s="51" t="str">
        <x:v>Young Jedi Adventures shorts</x:v>
      </x:c>
      <x:c r="E11" s="50" t="str"/>
      <x:c r="F11" s="51" t="str">
        <x:v>March 27, 2023; August 2, 2024</x:v>
      </x:c>
      <x:c r="G11" s="51" t="str">
        <x:v>Canon</x:v>
      </x:c>
      <x:c r="H11" s="51" t="str">
        <x:v>Shorts</x:v>
      </x:c>
      <x:c r="I11" s="51" t="str">
        <x:v>Disney+ / Star Wars Kids</x:v>
      </x:c>
      <x:c r="J11" s="58" t="str"/>
      <x:c r="K11" s="51" t="str"/>
      <x:c r="L11" s="76" t="str"/>
      <x:c r="M11" s="76" t="str"/>
      <x:c r="N11" s="76" t="str"/>
      <x:c r="O11" s="76" t="str"/>
      <x:c r="P11" s="76" t="str"/>
      <x:c r="Q11" s="76" t="str"/>
      <x:c r="R11" s="76" t="str"/>
      <x:c r="S11" s="76" t="str"/>
      <x:c r="T11" s="76" t="str"/>
    </x:row>
    <x:row r="12" s="23" customFormat="1" ht="36" customHeight="1">
      <x:c r="A12" s="49" t="b">
        <x:v>0</x:v>
      </x:c>
      <x:c r="B12" s="50" t="str">
        <x:v>6</x:v>
      </x:c>
      <x:c r="C12" s="51" t="str">
        <x:v>Old Republic and High Republic</x:v>
      </x:c>
      <x:c r="D12" s="51" t="str">
        <x:v>Young Jedi Adventures</x:v>
      </x:c>
      <x:c r="E12" s="50" t="str"/>
      <x:c r="F12" s="51" t="str">
        <x:v>S1 May 4, 2023; S2 Aug. 14, 2024; S3 Dec. 8, 2025</x:v>
      </x:c>
      <x:c r="G12" s="51" t="str">
        <x:v>Canon</x:v>
      </x:c>
      <x:c r="H12" s="51" t="str">
        <x:v>Series</x:v>
      </x:c>
      <x:c r="I12" s="51" t="str">
        <x:v>Disney+</x:v>
      </x:c>
      <x:c r="J12" s="58" t="str"/>
      <x:c r="K12" s="51" t="str"/>
      <x:c r="L12" s="76" t="str"/>
      <x:c r="M12" s="76" t="str"/>
      <x:c r="N12" s="76" t="str"/>
      <x:c r="O12" s="76" t="str"/>
      <x:c r="P12" s="76" t="str"/>
      <x:c r="Q12" s="76" t="str"/>
      <x:c r="R12" s="76" t="str"/>
      <x:c r="S12" s="76" t="str"/>
      <x:c r="T12" s="76" t="str"/>
    </x:row>
    <x:row r="13" s="23" customFormat="1" ht="36" customHeight="1">
      <x:c r="A13" s="49" t="b">
        <x:v>0</x:v>
      </x:c>
      <x:c r="B13" s="50" t="str">
        <x:v>7</x:v>
      </x:c>
      <x:c r="C13" s="51" t="str">
        <x:v>Old Republic and High Republic</x:v>
      </x:c>
      <x:c r="D13" s="51" t="str">
        <x:v>Star Wars Eclipse reveal trailer</x:v>
      </x:c>
      <x:c r="E13" s="50" t="str"/>
      <x:c r="F13" s="51" t="str">
        <x:v>December 9, 2021</x:v>
      </x:c>
      <x:c r="G13" s="51" t="str">
        <x:v>Unreleased</x:v>
      </x:c>
      <x:c r="H13" s="51" t="str">
        <x:v>Trailer</x:v>
      </x:c>
      <x:c r="I13" s="51" t="str">
        <x:v>YouTube</x:v>
      </x:c>
      <x:c r="J13" s="58" t="e">
        <x:f>HYPERLINK("https://www.youtube.com/watch?v=4cJpiOPKH14","Open")</x:f>
        <x:v>HYPERLINK is not implemented. linkLocation=https://www.youtube.com/watch?v=4cJpiOPKH14, friendlyName=Open</x:v>
      </x:c>
      <x:c r="K13" s="51" t="str">
        <x:v>Game unreleased; precise placement provisional</x:v>
      </x:c>
      <x:c r="L13" s="76" t="str"/>
      <x:c r="M13" s="76" t="str"/>
      <x:c r="N13" s="76" t="str"/>
      <x:c r="O13" s="76" t="str"/>
      <x:c r="P13" s="76" t="str"/>
      <x:c r="Q13" s="76" t="str"/>
      <x:c r="R13" s="76" t="str"/>
      <x:c r="S13" s="76" t="str"/>
      <x:c r="T13" s="76" t="str"/>
    </x:row>
    <x:row r="14" s="23" customFormat="1" ht="36" customHeight="1">
      <x:c r="A14" s="49" t="b">
        <x:v>0</x:v>
      </x:c>
      <x:c r="B14" s="50" t="str">
        <x:v>8</x:v>
      </x:c>
      <x:c r="C14" s="51" t="str">
        <x:v>Old Republic and High Republic</x:v>
      </x:c>
      <x:c r="D14" s="51" t="str">
        <x:v>The Acolyte</x:v>
      </x:c>
      <x:c r="E14" s="50" t="str"/>
      <x:c r="F14" s="51" t="str">
        <x:v>June 4–July 16, 2024</x:v>
      </x:c>
      <x:c r="G14" s="51" t="str">
        <x:v>Canon</x:v>
      </x:c>
      <x:c r="H14" s="51" t="str">
        <x:v>Series</x:v>
      </x:c>
      <x:c r="I14" s="51" t="str">
        <x:v>Disney+</x:v>
      </x:c>
      <x:c r="J14" s="58" t="str"/>
      <x:c r="K14" s="51" t="str"/>
      <x:c r="L14" s="76" t="str"/>
      <x:c r="M14" s="76" t="str"/>
      <x:c r="N14" s="76" t="str"/>
      <x:c r="O14" s="76" t="str"/>
      <x:c r="P14" s="76" t="str"/>
      <x:c r="Q14" s="76" t="str"/>
      <x:c r="R14" s="76" t="str"/>
      <x:c r="S14" s="76" t="str"/>
      <x:c r="T14" s="76" t="str"/>
    </x:row>
    <x:row r="15" s="23" customFormat="1" ht="36" customHeight="1">
      <x:c r="A15" s="49" t="b">
        <x:v>0</x:v>
      </x:c>
      <x:c r="B15" s="50" t="str">
        <x:v>9</x:v>
      </x:c>
      <x:c r="C15" s="51" t="str">
        <x:v>Fall of the Jedi</x:v>
      </x:c>
      <x:c r="D15" s="51" t="str">
        <x:v>Tales of the Jedi: Justice</x:v>
      </x:c>
      <x:c r="E15" s="50" t="str"/>
      <x:c r="F15" s="51" t="str">
        <x:v>October 26, 2022</x:v>
      </x:c>
      <x:c r="G15" s="51" t="str">
        <x:v>Canon</x:v>
      </x:c>
      <x:c r="H15" s="51" t="str">
        <x:v>Episode</x:v>
      </x:c>
      <x:c r="I15" s="51" t="str">
        <x:v>Disney+</x:v>
      </x:c>
      <x:c r="J15" s="58" t="str"/>
      <x:c r="K15" s="51" t="str"/>
      <x:c r="L15" s="76" t="str"/>
      <x:c r="M15" s="76" t="str"/>
      <x:c r="N15" s="76" t="str"/>
      <x:c r="O15" s="76" t="str"/>
      <x:c r="P15" s="76" t="str"/>
      <x:c r="Q15" s="76" t="str"/>
      <x:c r="R15" s="76" t="str"/>
      <x:c r="S15" s="76" t="str"/>
      <x:c r="T15" s="76" t="str"/>
    </x:row>
    <x:row r="16" s="23" customFormat="1" ht="36" customHeight="1">
      <x:c r="A16" s="49" t="b">
        <x:v>0</x:v>
      </x:c>
      <x:c r="B16" s="50" t="str">
        <x:v>10</x:v>
      </x:c>
      <x:c r="C16" s="51" t="str">
        <x:v>Fall of the Jedi</x:v>
      </x:c>
      <x:c r="D16" s="51" t="str">
        <x:v>Tales of the Jedi: Choices</x:v>
      </x:c>
      <x:c r="E16" s="50" t="str"/>
      <x:c r="F16" s="51" t="str">
        <x:v>October 26, 2022</x:v>
      </x:c>
      <x:c r="G16" s="51" t="str">
        <x:v>Canon</x:v>
      </x:c>
      <x:c r="H16" s="51" t="str">
        <x:v>Episode</x:v>
      </x:c>
      <x:c r="I16" s="51" t="str">
        <x:v>Disney+</x:v>
      </x:c>
      <x:c r="J16" s="58" t="str"/>
      <x:c r="K16" s="51" t="str"/>
      <x:c r="L16" s="76" t="str"/>
      <x:c r="M16" s="76" t="str"/>
      <x:c r="N16" s="76" t="str"/>
      <x:c r="O16" s="76" t="str"/>
      <x:c r="P16" s="76" t="str"/>
      <x:c r="Q16" s="76" t="str"/>
      <x:c r="R16" s="76" t="str"/>
      <x:c r="S16" s="76" t="str"/>
      <x:c r="T16" s="76" t="str"/>
    </x:row>
    <x:row r="17" s="23" customFormat="1" ht="36" customHeight="1">
      <x:c r="A17" s="49" t="b">
        <x:v>0</x:v>
      </x:c>
      <x:c r="B17" s="50" t="str">
        <x:v>11</x:v>
      </x:c>
      <x:c r="C17" s="51" t="str">
        <x:v>Fall of the Jedi</x:v>
      </x:c>
      <x:c r="D17" s="51" t="str">
        <x:v>Tales of the Jedi: Life and Death</x:v>
      </x:c>
      <x:c r="E17" s="50" t="str"/>
      <x:c r="F17" s="51" t="str">
        <x:v>October 26, 2022</x:v>
      </x:c>
      <x:c r="G17" s="51" t="str">
        <x:v>Canon</x:v>
      </x:c>
      <x:c r="H17" s="51" t="str">
        <x:v>Episode</x:v>
      </x:c>
      <x:c r="I17" s="51" t="str">
        <x:v>Disney+</x:v>
      </x:c>
      <x:c r="J17" s="58" t="str"/>
      <x:c r="K17" s="51" t="str"/>
      <x:c r="L17" s="76" t="str"/>
      <x:c r="M17" s="76" t="str"/>
      <x:c r="N17" s="76" t="str"/>
      <x:c r="O17" s="76" t="str"/>
      <x:c r="P17" s="76" t="str"/>
      <x:c r="Q17" s="76" t="str"/>
      <x:c r="R17" s="76" t="str"/>
      <x:c r="S17" s="76" t="str"/>
      <x:c r="T17" s="76" t="str"/>
    </x:row>
    <x:row r="18" s="23" customFormat="1" ht="36" customHeight="1">
      <x:c r="A18" s="49" t="b">
        <x:v>0</x:v>
      </x:c>
      <x:c r="B18" s="50" t="str">
        <x:v>12</x:v>
      </x:c>
      <x:c r="C18" s="51" t="str">
        <x:v>Fall of the Jedi</x:v>
      </x:c>
      <x:c r="D18" s="51" t="str">
        <x:v>Episode I: The Phantom Menace</x:v>
      </x:c>
      <x:c r="E18" s="50" t="str"/>
      <x:c r="F18" s="51" t="str">
        <x:v>May 19, 1999</x:v>
      </x:c>
      <x:c r="G18" s="51" t="str">
        <x:v>Canon</x:v>
      </x:c>
      <x:c r="H18" s="51" t="str">
        <x:v>Movie</x:v>
      </x:c>
      <x:c r="I18" s="51" t="str">
        <x:v>Disney+</x:v>
      </x:c>
      <x:c r="J18" s="58" t="str"/>
      <x:c r="K18" s="51" t="str"/>
      <x:c r="L18" s="76" t="str"/>
      <x:c r="M18" s="76" t="str"/>
      <x:c r="N18" s="76" t="str"/>
      <x:c r="O18" s="76" t="str"/>
      <x:c r="P18" s="76" t="str"/>
      <x:c r="Q18" s="76" t="str"/>
      <x:c r="R18" s="76" t="str"/>
      <x:c r="S18" s="76" t="str"/>
      <x:c r="T18" s="76" t="str"/>
    </x:row>
    <x:row r="19" s="23" customFormat="1" ht="36" customHeight="1">
      <x:c r="A19" s="49" t="b">
        <x:v>0</x:v>
      </x:c>
      <x:c r="B19" s="50" t="str">
        <x:v>13</x:v>
      </x:c>
      <x:c r="C19" s="51" t="str">
        <x:v>Fall of the Jedi</x:v>
      </x:c>
      <x:c r="D19" s="51" t="str">
        <x:v>Forces of Destiny: Monster Misunderstanding</x:v>
      </x:c>
      <x:c r="E19" s="50" t="str">
        <x:v>Season 2, Episode 10</x:v>
      </x:c>
      <x:c r="F19" s="51" t="str">
        <x:v>May 4, 2018</x:v>
      </x:c>
      <x:c r="G19" s="51" t="str">
        <x:v>Canon</x:v>
      </x:c>
      <x:c r="H19" s="51" t="str">
        <x:v>Short</x:v>
      </x:c>
      <x:c r="I19" s="51" t="str">
        <x:v>Disney+ / official YouTube</x:v>
      </x:c>
      <x:c r="J19" s="58" t="e">
        <x:f>HYPERLINK("https://www.youtube.com/results?search_query=Star%20Wars%20Forces%20of%20Destiny%20Monster%20Misunderstanding%20official","Open")</x:f>
        <x:v>HYPERLINK is not implemented. linkLocation=https://www.youtube.com/results?search_query=Star%20Wars%20Forces%20of%20Destiny%20Monster%20Misunderstanding%20official, friendlyName=Open</x:v>
      </x:c>
      <x:c r="K19" s="51" t="str">
        <x:v>After The Phantom Menace</x:v>
      </x:c>
      <x:c r="L19" s="76" t="str"/>
      <x:c r="M19" s="76" t="str"/>
      <x:c r="N19" s="76" t="str"/>
      <x:c r="O19" s="76" t="str"/>
      <x:c r="P19" s="76" t="str"/>
      <x:c r="Q19" s="76" t="str"/>
      <x:c r="R19" s="76" t="str"/>
      <x:c r="S19" s="76" t="str"/>
      <x:c r="T19" s="76" t="str"/>
    </x:row>
    <x:row r="20" s="23" customFormat="1" ht="36" customHeight="1">
      <x:c r="A20" s="49" t="b">
        <x:v>0</x:v>
      </x:c>
      <x:c r="B20" s="50" t="str">
        <x:v>14</x:v>
      </x:c>
      <x:c r="C20" s="51" t="str">
        <x:v>Fall of the Jedi</x:v>
      </x:c>
      <x:c r="D20" s="51" t="str">
        <x:v>Tales of the Jedi: The Sith Lord</x:v>
      </x:c>
      <x:c r="E20" s="50" t="str"/>
      <x:c r="F20" s="51" t="str">
        <x:v>October 26, 2022</x:v>
      </x:c>
      <x:c r="G20" s="51" t="str">
        <x:v>Canon</x:v>
      </x:c>
      <x:c r="H20" s="51" t="str">
        <x:v>Episode</x:v>
      </x:c>
      <x:c r="I20" s="51" t="str">
        <x:v>Disney+</x:v>
      </x:c>
      <x:c r="J20" s="58" t="str"/>
      <x:c r="K20" s="51" t="str"/>
      <x:c r="L20" s="76" t="str"/>
      <x:c r="M20" s="76" t="str"/>
      <x:c r="N20" s="76" t="str"/>
      <x:c r="O20" s="76" t="str"/>
      <x:c r="P20" s="76" t="str"/>
      <x:c r="Q20" s="76" t="str"/>
      <x:c r="R20" s="76" t="str"/>
      <x:c r="S20" s="76" t="str"/>
      <x:c r="T20" s="76" t="str"/>
    </x:row>
    <x:row r="21" s="23" customFormat="1" ht="36" customHeight="1">
      <x:c r="A21" s="49" t="b">
        <x:v>0</x:v>
      </x:c>
      <x:c r="B21" s="50" t="str">
        <x:v>15</x:v>
      </x:c>
      <x:c r="C21" s="51" t="str">
        <x:v>Fall of the Jedi</x:v>
      </x:c>
      <x:c r="D21" s="51" t="str">
        <x:v>Star Wars: Bounty Hunter</x:v>
      </x:c>
      <x:c r="E21" s="50" t="str"/>
      <x:c r="F21" s="51" t="str">
        <x:v>Original Nov. 19, 2002; remaster Aug. 1, 2024</x:v>
      </x:c>
      <x:c r="G21" s="51" t="str">
        <x:v>Legends-adjacent</x:v>
      </x:c>
      <x:c r="H21" s="51" t="str">
        <x:v>Game movie</x:v>
      </x:c>
      <x:c r="I21" s="51" t="str">
        <x:v>YouTube</x:v>
      </x:c>
      <x:c r="J21" s="58" t="e">
        <x:f>HYPERLINK("https://www.youtube.com/watch?v=1fCk6ZANZBc","Open")</x:f>
        <x:v>HYPERLINK is not implemented. linkLocation=https://www.youtube.com/watch?v=1fCk6ZANZBc, friendlyName=Open</x:v>
      </x:c>
      <x:c r="K21" s="51" t="str">
        <x:v>Remastered complete game movie in 4K</x:v>
      </x:c>
      <x:c r="L21" s="76" t="str"/>
      <x:c r="M21" s="76" t="str"/>
      <x:c r="N21" s="76" t="str"/>
      <x:c r="O21" s="76" t="str"/>
      <x:c r="P21" s="76" t="str"/>
      <x:c r="Q21" s="76" t="str"/>
      <x:c r="R21" s="76" t="str"/>
      <x:c r="S21" s="76" t="str"/>
      <x:c r="T21" s="76" t="str"/>
    </x:row>
    <x:row r="22" s="23" customFormat="1" ht="36" customHeight="1">
      <x:c r="A22" s="49" t="b">
        <x:v>0</x:v>
      </x:c>
      <x:c r="B22" s="50" t="str">
        <x:v>16</x:v>
      </x:c>
      <x:c r="C22" s="51" t="str">
        <x:v>Fall of the Jedi</x:v>
      </x:c>
      <x:c r="D22" s="51" t="str">
        <x:v>Episode II: Attack of the Clones</x:v>
      </x:c>
      <x:c r="E22" s="50" t="str"/>
      <x:c r="F22" s="51" t="str">
        <x:v>May 16, 2002</x:v>
      </x:c>
      <x:c r="G22" s="51" t="str">
        <x:v>Canon</x:v>
      </x:c>
      <x:c r="H22" s="51" t="str">
        <x:v>Movie</x:v>
      </x:c>
      <x:c r="I22" s="51" t="str">
        <x:v>Disney+</x:v>
      </x:c>
      <x:c r="J22" s="58" t="str"/>
      <x:c r="K22" s="51" t="str"/>
      <x:c r="L22" s="76" t="str"/>
      <x:c r="M22" s="76" t="str"/>
      <x:c r="N22" s="76" t="str"/>
      <x:c r="O22" s="76" t="str"/>
      <x:c r="P22" s="76" t="str"/>
      <x:c r="Q22" s="76" t="str"/>
      <x:c r="R22" s="76" t="str"/>
      <x:c r="S22" s="76" t="str"/>
      <x:c r="T22" s="76" t="str"/>
    </x:row>
    <x:row r="23" s="23" customFormat="1" ht="36" customHeight="1">
      <x:c r="A23" s="49" t="b">
        <x:v>0</x:v>
      </x:c>
      <x:c r="B23" s="50" t="str">
        <x:v>17</x:v>
      </x:c>
      <x:c r="C23" s="51" t="str">
        <x:v>Fall of the Jedi</x:v>
      </x:c>
      <x:c r="D23" s="51" t="str">
        <x:v>The Clone Wars: Cat and Mouse</x:v>
      </x:c>
      <x:c r="E23" s="50" t="str">
        <x:v>Season 2, Episode 16</x:v>
      </x:c>
      <x:c r="F23" s="51" t="str">
        <x:v>Series aired October 3, 2008–May 4, 2020</x:v>
      </x:c>
      <x:c r="G23" s="51" t="str">
        <x:v>Canon</x:v>
      </x:c>
      <x:c r="H23" s="51" t="str">
        <x:v>Episode</x:v>
      </x:c>
      <x:c r="I23" s="51" t="str">
        <x:v>Disney+</x:v>
      </x:c>
      <x:c r="J23" s="58" t="e">
        <x:f>HYPERLINK("https://www.disneyplus.com/video/5faf61af-2ce0-4baa-a647-a4f4363eba0e?cid=DTCI-Synergy-DDN-Site-Acquisition-StarWars-US-StarWars-StarWarsTheCloneWars-EN-BlogArticleEmbed-TCWChronological_StreamOnDisneyPlusCTA-NA","Watch")</x:f>
        <x:v>HYPERLINK is not implemented. linkLocation=https://www.disneyplus.com/video/5faf61af-2ce0-4baa-a647-a4f4363eba0e?cid=DTCI-Synergy-DDN-Site-Acquisition-StarWars-US-StarWars-StarWarsTheCloneWars-EN-BlogArticleEmbed-TCWChronological_StreamOnDisneyPlusCTA-NA, friendlyName=Watch</x:v>
      </x:c>
      <x:c r="K23" s="52" t="str">
        <x:v>Season 2, Episode 16 · Episode guide</x:v>
      </x:c>
      <x:c r="L23" s="76" t="str"/>
      <x:c r="M23" s="76" t="str"/>
      <x:c r="N23" s="76" t="str"/>
      <x:c r="O23" s="76" t="str"/>
      <x:c r="P23" s="76" t="str"/>
      <x:c r="Q23" s="76" t="str"/>
      <x:c r="R23" s="76" t="str"/>
      <x:c r="S23" s="76" t="str"/>
      <x:c r="T23" s="76" t="str"/>
    </x:row>
    <x:row r="24" s="23" customFormat="1" ht="36" customHeight="1">
      <x:c r="A24" s="49" t="b">
        <x:v>0</x:v>
      </x:c>
      <x:c r="B24" s="50" t="str">
        <x:v>18</x:v>
      </x:c>
      <x:c r="C24" s="51" t="str">
        <x:v>Fall of the Jedi</x:v>
      </x:c>
      <x:c r="D24" s="51" t="str">
        <x:v>The Clone Wars: Hidden Enemy</x:v>
      </x:c>
      <x:c r="E24" s="50" t="str">
        <x:v>Season 1, Episode 16</x:v>
      </x:c>
      <x:c r="F24" s="51" t="str">
        <x:v>Series aired October 3, 2008–May 4, 2020</x:v>
      </x:c>
      <x:c r="G24" s="51" t="str">
        <x:v>Canon</x:v>
      </x:c>
      <x:c r="H24" s="51" t="str">
        <x:v>Episode</x:v>
      </x:c>
      <x:c r="I24" s="51" t="str">
        <x:v>Disney+</x:v>
      </x:c>
      <x:c r="J24" s="58" t="e">
        <x:f>HYPERLINK("https://www.disneyplus.com/video/7c732b05-b90f-4090-a184-5652be228139?cid=DTCI-Synergy-DDN-Site-Acquisition-StarWars-US-StarWars-StarWarsTheCloneWars-EN-BlogArticleEmbed-TCWChronological_StreamOnDisneyPlusCTA-NA","Watch")</x:f>
        <x:v>HYPERLINK is not implemented. linkLocation=https://www.disneyplus.com/video/7c732b05-b90f-4090-a184-5652be228139?cid=DTCI-Synergy-DDN-Site-Acquisition-StarWars-US-StarWars-StarWarsTheCloneWars-EN-BlogArticleEmbed-TCWChronological_StreamOnDisneyPlusCTA-NA, friendlyName=Watch</x:v>
      </x:c>
      <x:c r="K24" s="52" t="str">
        <x:v>Season 1, Episode 16 · Episode guide</x:v>
      </x:c>
      <x:c r="L24" s="76" t="str"/>
      <x:c r="M24" s="76" t="str"/>
      <x:c r="N24" s="76" t="str"/>
      <x:c r="O24" s="76" t="str"/>
      <x:c r="P24" s="76" t="str"/>
      <x:c r="Q24" s="76" t="str"/>
      <x:c r="R24" s="76" t="str"/>
      <x:c r="S24" s="76" t="str"/>
      <x:c r="T24" s="76" t="str"/>
    </x:row>
    <x:row r="25" s="23" customFormat="1" ht="36" customHeight="1">
      <x:c r="A25" s="49" t="b">
        <x:v>0</x:v>
      </x:c>
      <x:c r="B25" s="50" t="str">
        <x:v>19</x:v>
      </x:c>
      <x:c r="C25" s="51" t="str">
        <x:v>Fall of the Jedi</x:v>
      </x:c>
      <x:c r="D25" s="51" t="str">
        <x:v>The Clone Wars theatrical movie</x:v>
      </x:c>
      <x:c r="E25" s="50" t="str">
        <x:v>Movie</x:v>
      </x:c>
      <x:c r="F25" s="51" t="str">
        <x:v>August 15, 2008</x:v>
      </x:c>
      <x:c r="G25" s="51" t="str">
        <x:v>Canon</x:v>
      </x:c>
      <x:c r="H25" s="51" t="str">
        <x:v>Movie</x:v>
      </x:c>
      <x:c r="I25" s="51" t="str">
        <x:v>Disney+</x:v>
      </x:c>
      <x:c r="J25" s="58" t="e">
        <x:f>HYPERLINK("https://www.disneyplus.com/movies/star-wars-the-clone-wars/AVmv1ulT1nQW?cid=DTCI-Synergy-DDN-Site-Acquisition-StarWars-US-StarWars-StarWarsTheCloneWars-EN-BlogArticleEmbed-TCWChronological_StreamOnDisneyPlusCTA-NA","Watch")</x:f>
        <x:v>HYPERLINK is not implemented. linkLocation=https://www.disneyplus.com/movies/star-wars-the-clone-wars/AVmv1ulT1nQW?cid=DTCI-Synergy-DDN-Site-Acquisition-StarWars-US-StarWars-StarWarsTheCloneWars-EN-BlogArticleEmbed-TCWChronological_StreamOnDisneyPlusCTA-NA, friendlyName=Watch</x:v>
      </x:c>
      <x:c r="K25" s="51" t="str">
        <x:v>Separate movie listing</x:v>
      </x:c>
      <x:c r="L25" s="76" t="str"/>
      <x:c r="M25" s="76" t="str"/>
      <x:c r="N25" s="76" t="str"/>
      <x:c r="O25" s="76" t="str"/>
      <x:c r="P25" s="76" t="str"/>
      <x:c r="Q25" s="76" t="str"/>
      <x:c r="R25" s="76" t="str"/>
      <x:c r="S25" s="76" t="str"/>
      <x:c r="T25" s="76" t="str"/>
    </x:row>
    <x:row r="26" s="23" customFormat="1" ht="36" customHeight="1">
      <x:c r="A26" s="49" t="b">
        <x:v>0</x:v>
      </x:c>
      <x:c r="B26" s="50" t="str">
        <x:v>20</x:v>
      </x:c>
      <x:c r="C26" s="51" t="str">
        <x:v>Fall of the Jedi</x:v>
      </x:c>
      <x:c r="D26" s="51" t="str">
        <x:v>The Clone Wars: Clone Cadets</x:v>
      </x:c>
      <x:c r="E26" s="50" t="str">
        <x:v>Season 3, Episode 1</x:v>
      </x:c>
      <x:c r="F26" s="51" t="str">
        <x:v>Series aired October 3, 2008–May 4, 2020</x:v>
      </x:c>
      <x:c r="G26" s="51" t="str">
        <x:v>Canon</x:v>
      </x:c>
      <x:c r="H26" s="51" t="str">
        <x:v>Episode</x:v>
      </x:c>
      <x:c r="I26" s="51" t="str">
        <x:v>Disney+</x:v>
      </x:c>
      <x:c r="J26" s="58" t="e">
        <x:f>HYPERLINK("https://www.disneyplus.com/video/7851718f-2530-47e2-bf32-a8b498b3efa9?cid=DTCI-Synergy-DDN-Site-Acquisition-StarWars-US-StarWars-StarWarsTheCloneWars-EN-BlogArticleEmbed-TCWChronological_StreamOnDisneyPlusCTA-NA","Watch")</x:f>
        <x:v>HYPERLINK is not implemented. linkLocation=https://www.disneyplus.com/video/7851718f-2530-47e2-bf32-a8b498b3efa9?cid=DTCI-Synergy-DDN-Site-Acquisition-StarWars-US-StarWars-StarWarsTheCloneWars-EN-BlogArticleEmbed-TCWChronological_StreamOnDisneyPlusCTA-NA, friendlyName=Watch</x:v>
      </x:c>
      <x:c r="K26" s="52" t="str">
        <x:v>Season 3, Episode 1 · Episode guide</x:v>
      </x:c>
      <x:c r="L26" s="76" t="str"/>
      <x:c r="M26" s="76" t="str"/>
      <x:c r="N26" s="76" t="str"/>
      <x:c r="O26" s="76" t="str"/>
      <x:c r="P26" s="76" t="str"/>
      <x:c r="Q26" s="76" t="str"/>
      <x:c r="R26" s="76" t="str"/>
      <x:c r="S26" s="76" t="str"/>
      <x:c r="T26" s="76" t="str"/>
    </x:row>
    <x:row r="27" s="23" customFormat="1" ht="36" customHeight="1">
      <x:c r="A27" s="49" t="b">
        <x:v>0</x:v>
      </x:c>
      <x:c r="B27" s="50" t="str">
        <x:v>21</x:v>
      </x:c>
      <x:c r="C27" s="51" t="str">
        <x:v>Fall of the Jedi</x:v>
      </x:c>
      <x:c r="D27" s="51" t="str">
        <x:v>The Clone Wars: Supply Lines</x:v>
      </x:c>
      <x:c r="E27" s="50" t="str">
        <x:v>Season 3, Episode 3</x:v>
      </x:c>
      <x:c r="F27" s="51" t="str">
        <x:v>Series aired October 3, 2008–May 4, 2020</x:v>
      </x:c>
      <x:c r="G27" s="51" t="str">
        <x:v>Canon</x:v>
      </x:c>
      <x:c r="H27" s="51" t="str">
        <x:v>Episode</x:v>
      </x:c>
      <x:c r="I27" s="51" t="str">
        <x:v>Disney+</x:v>
      </x:c>
      <x:c r="J27" s="58" t="e">
        <x:f>HYPERLINK("https://www.disneyplus.com/video/9d78f2ca-bcf7-413c-a0ab-f6afe9edf677?cid=DTCI-Synergy-DDN-Site-Acquisition-StarWars-US-StarWars-StarWarsTheCloneWars-EN-BlogArticleEmbed-TCWChronological_StreamOnDisneyPlusCTA-NA","Watch")</x:f>
        <x:v>HYPERLINK is not implemented. linkLocation=https://www.disneyplus.com/video/9d78f2ca-bcf7-413c-a0ab-f6afe9edf677?cid=DTCI-Synergy-DDN-Site-Acquisition-StarWars-US-StarWars-StarWarsTheCloneWars-EN-BlogArticleEmbed-TCWChronological_StreamOnDisneyPlusCTA-NA, friendlyName=Watch</x:v>
      </x:c>
      <x:c r="K27" s="52" t="str">
        <x:v>Season 3, Episode 3 · Episode guide</x:v>
      </x:c>
      <x:c r="L27" s="76" t="str"/>
      <x:c r="M27" s="76" t="str"/>
      <x:c r="N27" s="76" t="str"/>
      <x:c r="O27" s="76" t="str"/>
      <x:c r="P27" s="76" t="str"/>
      <x:c r="Q27" s="76" t="str"/>
      <x:c r="R27" s="76" t="str"/>
      <x:c r="S27" s="76" t="str"/>
      <x:c r="T27" s="76" t="str"/>
    </x:row>
    <x:row r="28" s="23" customFormat="1" ht="36" customHeight="1">
      <x:c r="A28" s="49" t="b">
        <x:v>0</x:v>
      </x:c>
      <x:c r="B28" s="50" t="str">
        <x:v>22</x:v>
      </x:c>
      <x:c r="C28" s="51" t="str">
        <x:v>Fall of the Jedi</x:v>
      </x:c>
      <x:c r="D28" s="51" t="str">
        <x:v>The Clone Wars: Ambush</x:v>
      </x:c>
      <x:c r="E28" s="50" t="str">
        <x:v>Season 1, Episode 1</x:v>
      </x:c>
      <x:c r="F28" s="51" t="str">
        <x:v>Series aired October 3, 2008–May 4, 2020</x:v>
      </x:c>
      <x:c r="G28" s="51" t="str">
        <x:v>Canon</x:v>
      </x:c>
      <x:c r="H28" s="51" t="str">
        <x:v>Episode</x:v>
      </x:c>
      <x:c r="I28" s="51" t="str">
        <x:v>Disney+</x:v>
      </x:c>
      <x:c r="J28" s="58" t="e">
        <x:f>HYPERLINK("https://www.disneyplus.com/video/0bf87f10-d9a1-44ca-8371-f38543eb3706?cid=DTCI-Synergy-DDN-Site-Acquisition-StarWars-US-StarWars-StarWarsTheCloneWars-EN-BlogArticleEmbed-TCWChronological_StreamOnDisneyPlusCTA-NA","Watch")</x:f>
        <x:v>HYPERLINK is not implemented. linkLocation=https://www.disneyplus.com/video/0bf87f10-d9a1-44ca-8371-f38543eb3706?cid=DTCI-Synergy-DDN-Site-Acquisition-StarWars-US-StarWars-StarWarsTheCloneWars-EN-BlogArticleEmbed-TCWChronological_StreamOnDisneyPlusCTA-NA, friendlyName=Watch</x:v>
      </x:c>
      <x:c r="K28" s="52" t="str">
        <x:v>Season 1, Episode 1 · Episode guide</x:v>
      </x:c>
      <x:c r="L28" s="76" t="str"/>
      <x:c r="M28" s="76" t="str"/>
      <x:c r="N28" s="76" t="str"/>
      <x:c r="O28" s="76" t="str"/>
      <x:c r="P28" s="76" t="str"/>
      <x:c r="Q28" s="76" t="str"/>
      <x:c r="R28" s="76" t="str"/>
      <x:c r="S28" s="76" t="str"/>
      <x:c r="T28" s="76" t="str"/>
    </x:row>
    <x:row r="29" s="23" customFormat="1" ht="36" customHeight="1">
      <x:c r="A29" s="49" t="b">
        <x:v>0</x:v>
      </x:c>
      <x:c r="B29" s="50" t="str">
        <x:v>23</x:v>
      </x:c>
      <x:c r="C29" s="51" t="str">
        <x:v>Fall of the Jedi</x:v>
      </x:c>
      <x:c r="D29" s="51" t="str">
        <x:v>The Clone Wars: Rising Malevolence</x:v>
      </x:c>
      <x:c r="E29" s="50" t="str">
        <x:v>Season 1, Episode 2</x:v>
      </x:c>
      <x:c r="F29" s="51" t="str">
        <x:v>Series aired October 3, 2008–May 4, 2020</x:v>
      </x:c>
      <x:c r="G29" s="51" t="str">
        <x:v>Canon</x:v>
      </x:c>
      <x:c r="H29" s="51" t="str">
        <x:v>Episode</x:v>
      </x:c>
      <x:c r="I29" s="51" t="str">
        <x:v>Disney+</x:v>
      </x:c>
      <x:c r="J29" s="58" t="e">
        <x:f>HYPERLINK("https://www.disneyplus.com/video/5bb0c4dc-91f1-434b-974f-1716511ecd4e?cid=DTCI-Synergy-DDN-Site-Acquisition-StarWars-US-StarWars-StarWarsTheCloneWars-EN-BlogArticleEmbed-TCWChronological_StreamOnDisneyPlusCTA-NA","Watch")</x:f>
        <x:v>HYPERLINK is not implemented. linkLocation=https://www.disneyplus.com/video/5bb0c4dc-91f1-434b-974f-1716511ecd4e?cid=DTCI-Synergy-DDN-Site-Acquisition-StarWars-US-StarWars-StarWarsTheCloneWars-EN-BlogArticleEmbed-TCWChronological_StreamOnDisneyPlusCTA-NA, friendlyName=Watch</x:v>
      </x:c>
      <x:c r="K29" s="52" t="str">
        <x:v>Season 1, Episode 2 · Episode guide</x:v>
      </x:c>
      <x:c r="L29" s="76" t="str"/>
      <x:c r="M29" s="76" t="str"/>
      <x:c r="N29" s="76" t="str"/>
      <x:c r="O29" s="76" t="str"/>
      <x:c r="P29" s="76" t="str"/>
      <x:c r="Q29" s="76" t="str"/>
      <x:c r="R29" s="76" t="str"/>
      <x:c r="S29" s="76" t="str"/>
      <x:c r="T29" s="76" t="str"/>
    </x:row>
    <x:row r="30" s="23" customFormat="1" ht="36" customHeight="1">
      <x:c r="A30" s="49" t="b">
        <x:v>0</x:v>
      </x:c>
      <x:c r="B30" s="50" t="str">
        <x:v>24</x:v>
      </x:c>
      <x:c r="C30" s="51" t="str">
        <x:v>Fall of the Jedi</x:v>
      </x:c>
      <x:c r="D30" s="51" t="str">
        <x:v>The Clone Wars: Shadow of Malevolence</x:v>
      </x:c>
      <x:c r="E30" s="50" t="str">
        <x:v>Season 1, Episode 3</x:v>
      </x:c>
      <x:c r="F30" s="51" t="str">
        <x:v>Series aired October 3, 2008–May 4, 2020</x:v>
      </x:c>
      <x:c r="G30" s="51" t="str">
        <x:v>Canon</x:v>
      </x:c>
      <x:c r="H30" s="51" t="str">
        <x:v>Episode</x:v>
      </x:c>
      <x:c r="I30" s="51" t="str">
        <x:v>Disney+</x:v>
      </x:c>
      <x:c r="J30" s="58" t="e">
        <x:f>HYPERLINK("https://www.disneyplus.com/video/96e47d91-f975-4302-8bb0-73dfe9ad0a37?cid=DTCI-Synergy-DDN-Site-Acquisition-StarWars-US-StarWars-StarWarsTheCloneWars-EN-BlogArticleEmbed-TCWChronological_StreamOnDisneyPlusCTA-NA","Watch")</x:f>
        <x:v>HYPERLINK is not implemented. linkLocation=https://www.disneyplus.com/video/96e47d91-f975-4302-8bb0-73dfe9ad0a37?cid=DTCI-Synergy-DDN-Site-Acquisition-StarWars-US-StarWars-StarWarsTheCloneWars-EN-BlogArticleEmbed-TCWChronological_StreamOnDisneyPlusCTA-NA, friendlyName=Watch</x:v>
      </x:c>
      <x:c r="K30" s="52" t="str">
        <x:v>Season 1, Episode 3 · Episode guide</x:v>
      </x:c>
      <x:c r="L30" s="76" t="str"/>
      <x:c r="M30" s="76" t="str"/>
      <x:c r="N30" s="76" t="str"/>
      <x:c r="O30" s="76" t="str"/>
      <x:c r="P30" s="76" t="str"/>
      <x:c r="Q30" s="76" t="str"/>
      <x:c r="R30" s="76" t="str"/>
      <x:c r="S30" s="76" t="str"/>
      <x:c r="T30" s="76" t="str"/>
    </x:row>
    <x:row r="31" s="23" customFormat="1" ht="36" customHeight="1">
      <x:c r="A31" s="49" t="b">
        <x:v>0</x:v>
      </x:c>
      <x:c r="B31" s="50" t="str">
        <x:v>25</x:v>
      </x:c>
      <x:c r="C31" s="51" t="str">
        <x:v>Fall of the Jedi</x:v>
      </x:c>
      <x:c r="D31" s="51" t="str">
        <x:v>The Clone Wars: Destroy Malevolence</x:v>
      </x:c>
      <x:c r="E31" s="50" t="str">
        <x:v>Season 1, Episode 4</x:v>
      </x:c>
      <x:c r="F31" s="51" t="str">
        <x:v>Series aired October 3, 2008–May 4, 2020</x:v>
      </x:c>
      <x:c r="G31" s="51" t="str">
        <x:v>Canon</x:v>
      </x:c>
      <x:c r="H31" s="51" t="str">
        <x:v>Episode</x:v>
      </x:c>
      <x:c r="I31" s="51" t="str">
        <x:v>Disney+</x:v>
      </x:c>
      <x:c r="J31" s="58" t="e">
        <x:f>HYPERLINK("https://www.disneyplus.com/video/7097d305-bca4-40e9-9cf0-cc84d89583a6?cid=DTCI-Synergy-DDN-Site-Acquisition-StarWars-US-StarWars-StarWarsTheCloneWars-EN-BlogArticleEmbed-TCWChronological_StreamOnDisneyPlusCTA-NA","Watch")</x:f>
        <x:v>HYPERLINK is not implemented. linkLocation=https://www.disneyplus.com/video/7097d305-bca4-40e9-9cf0-cc84d89583a6?cid=DTCI-Synergy-DDN-Site-Acquisition-StarWars-US-StarWars-StarWarsTheCloneWars-EN-BlogArticleEmbed-TCWChronological_StreamOnDisneyPlusCTA-NA, friendlyName=Watch</x:v>
      </x:c>
      <x:c r="K31" s="52" t="str">
        <x:v>Season 1, Episode 4 · Episode guide</x:v>
      </x:c>
      <x:c r="L31" s="76" t="str"/>
      <x:c r="M31" s="76" t="str"/>
      <x:c r="N31" s="76" t="str"/>
      <x:c r="O31" s="76" t="str"/>
      <x:c r="P31" s="76" t="str"/>
      <x:c r="Q31" s="76" t="str"/>
      <x:c r="R31" s="76" t="str"/>
      <x:c r="S31" s="76" t="str"/>
      <x:c r="T31" s="76" t="str"/>
    </x:row>
    <x:row r="32" s="23" customFormat="1" ht="36" customHeight="1">
      <x:c r="A32" s="49" t="b">
        <x:v>0</x:v>
      </x:c>
      <x:c r="B32" s="50" t="str">
        <x:v>26</x:v>
      </x:c>
      <x:c r="C32" s="51" t="str">
        <x:v>Fall of the Jedi</x:v>
      </x:c>
      <x:c r="D32" s="51" t="str">
        <x:v>The Clone Wars: Rookies</x:v>
      </x:c>
      <x:c r="E32" s="50" t="str">
        <x:v>Season 1, Episode 5</x:v>
      </x:c>
      <x:c r="F32" s="51" t="str">
        <x:v>Series aired October 3, 2008–May 4, 2020</x:v>
      </x:c>
      <x:c r="G32" s="51" t="str">
        <x:v>Canon</x:v>
      </x:c>
      <x:c r="H32" s="51" t="str">
        <x:v>Episode</x:v>
      </x:c>
      <x:c r="I32" s="51" t="str">
        <x:v>Disney+</x:v>
      </x:c>
      <x:c r="J32" s="58" t="e">
        <x:f>HYPERLINK("https://www.disneyplus.com/video/598d1e7b-f39e-4527-9487-b5e891f5eefa?cid=DTCI-Synergy-DDN-Site-Acquisition-StarWars-US-StarWars-StarWarsTheCloneWars-EN-BlogArticleEmbed-TCWChronological_StreamOnDisneyPlusCTA-NA","Watch")</x:f>
        <x:v>HYPERLINK is not implemented. linkLocation=https://www.disneyplus.com/video/598d1e7b-f39e-4527-9487-b5e891f5eefa?cid=DTCI-Synergy-DDN-Site-Acquisition-StarWars-US-StarWars-StarWarsTheCloneWars-EN-BlogArticleEmbed-TCWChronological_StreamOnDisneyPlusCTA-NA, friendlyName=Watch</x:v>
      </x:c>
      <x:c r="K32" s="52" t="str">
        <x:v>Season 1, Episode 5 · Episode guide</x:v>
      </x:c>
      <x:c r="L32" s="76" t="str"/>
      <x:c r="M32" s="76" t="str"/>
      <x:c r="N32" s="76" t="str"/>
      <x:c r="O32" s="76" t="str"/>
      <x:c r="P32" s="76" t="str"/>
      <x:c r="Q32" s="76" t="str"/>
      <x:c r="R32" s="76" t="str"/>
      <x:c r="S32" s="76" t="str"/>
      <x:c r="T32" s="76" t="str"/>
    </x:row>
    <x:row r="33" s="23" customFormat="1" ht="36" customHeight="1">
      <x:c r="A33" s="49" t="b">
        <x:v>0</x:v>
      </x:c>
      <x:c r="B33" s="50" t="str">
        <x:v>27</x:v>
      </x:c>
      <x:c r="C33" s="51" t="str">
        <x:v>Fall of the Jedi</x:v>
      </x:c>
      <x:c r="D33" s="51" t="str">
        <x:v>The Clone Wars: Downfall of a Droid</x:v>
      </x:c>
      <x:c r="E33" s="50" t="str">
        <x:v>Season 1, Episode 6</x:v>
      </x:c>
      <x:c r="F33" s="51" t="str">
        <x:v>Series aired October 3, 2008–May 4, 2020</x:v>
      </x:c>
      <x:c r="G33" s="51" t="str">
        <x:v>Canon</x:v>
      </x:c>
      <x:c r="H33" s="51" t="str">
        <x:v>Episode</x:v>
      </x:c>
      <x:c r="I33" s="51" t="str">
        <x:v>Disney+</x:v>
      </x:c>
      <x:c r="J33" s="58" t="e">
        <x:f>HYPERLINK("https://www.disneyplus.com/video/41059c6d-bb4c-4185-91f4-7b5eb3f15849?cid=DTCI-Synergy-DDN-Site-Acquisition-StarWars-US-StarWars-StarWarsTheCloneWars-EN-BlogArticleEmbed-TCWChronological_StreamOnDisneyPlusCTA-NA","Watch")</x:f>
        <x:v>HYPERLINK is not implemented. linkLocation=https://www.disneyplus.com/video/41059c6d-bb4c-4185-91f4-7b5eb3f15849?cid=DTCI-Synergy-DDN-Site-Acquisition-StarWars-US-StarWars-StarWarsTheCloneWars-EN-BlogArticleEmbed-TCWChronological_StreamOnDisneyPlusCTA-NA, friendlyName=Watch</x:v>
      </x:c>
      <x:c r="K33" s="52" t="str">
        <x:v>Season 1, Episode 6 · Episode guide</x:v>
      </x:c>
      <x:c r="L33" s="76" t="str"/>
      <x:c r="M33" s="76" t="str"/>
      <x:c r="N33" s="76" t="str"/>
      <x:c r="O33" s="76" t="str"/>
      <x:c r="P33" s="76" t="str"/>
      <x:c r="Q33" s="76" t="str"/>
      <x:c r="R33" s="76" t="str"/>
      <x:c r="S33" s="76" t="str"/>
      <x:c r="T33" s="76" t="str"/>
    </x:row>
    <x:row r="34" s="23" customFormat="1" ht="36" customHeight="1">
      <x:c r="A34" s="49" t="b">
        <x:v>0</x:v>
      </x:c>
      <x:c r="B34" s="50" t="str">
        <x:v>28</x:v>
      </x:c>
      <x:c r="C34" s="51" t="str">
        <x:v>Fall of the Jedi</x:v>
      </x:c>
      <x:c r="D34" s="51" t="str">
        <x:v>The Clone Wars: Duel of the Droids</x:v>
      </x:c>
      <x:c r="E34" s="50" t="str">
        <x:v>Season 1, Episode 7</x:v>
      </x:c>
      <x:c r="F34" s="51" t="str">
        <x:v>Series aired October 3, 2008–May 4, 2020</x:v>
      </x:c>
      <x:c r="G34" s="51" t="str">
        <x:v>Canon</x:v>
      </x:c>
      <x:c r="H34" s="51" t="str">
        <x:v>Episode</x:v>
      </x:c>
      <x:c r="I34" s="51" t="str">
        <x:v>Disney+</x:v>
      </x:c>
      <x:c r="J34" s="58" t="e">
        <x:f>HYPERLINK("https://www.disneyplus.com/video/6dfef4c5-f797-4ff3-95ca-2f6e6f865f82?cid=DTCI-Synergy-DDN-Site-Acquisition-StarWars-US-StarWars-StarWarsTheCloneWars-EN-BlogArticleEmbed-TCWChronological_StreamOnDisneyPlusCTA-NA","Watch")</x:f>
        <x:v>HYPERLINK is not implemented. linkLocation=https://www.disneyplus.com/video/6dfef4c5-f797-4ff3-95ca-2f6e6f865f82?cid=DTCI-Synergy-DDN-Site-Acquisition-StarWars-US-StarWars-StarWarsTheCloneWars-EN-BlogArticleEmbed-TCWChronological_StreamOnDisneyPlusCTA-NA, friendlyName=Watch</x:v>
      </x:c>
      <x:c r="K34" s="52" t="str">
        <x:v>Season 1, Episode 7 · Episode guide</x:v>
      </x:c>
      <x:c r="L34" s="76" t="str"/>
      <x:c r="M34" s="76" t="str"/>
      <x:c r="N34" s="76" t="str"/>
      <x:c r="O34" s="76" t="str"/>
      <x:c r="P34" s="76" t="str"/>
      <x:c r="Q34" s="76" t="str"/>
      <x:c r="R34" s="76" t="str"/>
      <x:c r="S34" s="76" t="str"/>
      <x:c r="T34" s="76" t="str"/>
    </x:row>
    <x:row r="35" s="23" customFormat="1" ht="36" customHeight="1">
      <x:c r="A35" s="49" t="b">
        <x:v>0</x:v>
      </x:c>
      <x:c r="B35" s="50" t="str">
        <x:v>29</x:v>
      </x:c>
      <x:c r="C35" s="51" t="str">
        <x:v>Fall of the Jedi</x:v>
      </x:c>
      <x:c r="D35" s="51" t="str">
        <x:v>The Clone Wars: Bombad Jedi</x:v>
      </x:c>
      <x:c r="E35" s="50" t="str">
        <x:v>Season 1, Episode 8</x:v>
      </x:c>
      <x:c r="F35" s="51" t="str">
        <x:v>Series aired October 3, 2008–May 4, 2020</x:v>
      </x:c>
      <x:c r="G35" s="51" t="str">
        <x:v>Canon</x:v>
      </x:c>
      <x:c r="H35" s="51" t="str">
        <x:v>Episode</x:v>
      </x:c>
      <x:c r="I35" s="51" t="str">
        <x:v>Disney+</x:v>
      </x:c>
      <x:c r="J35" s="58" t="e">
        <x:f>HYPERLINK("https://www.disneyplus.com/video/c0491eed-234e-461d-9e98-82dd297e1f6f?cid=DTCI-Synergy-DDN-Site-Acquisition-StarWars-US-StarWars-StarWarsTheCloneWars-EN-BlogArticleEmbed-TCWChronological_StreamOnDisneyPlusCTA-NA","Watch")</x:f>
        <x:v>HYPERLINK is not implemented. linkLocation=https://www.disneyplus.com/video/c0491eed-234e-461d-9e98-82dd297e1f6f?cid=DTCI-Synergy-DDN-Site-Acquisition-StarWars-US-StarWars-StarWarsTheCloneWars-EN-BlogArticleEmbed-TCWChronological_StreamOnDisneyPlusCTA-NA, friendlyName=Watch</x:v>
      </x:c>
      <x:c r="K35" s="52" t="str">
        <x:v>Season 1, Episode 8 · Episode guide</x:v>
      </x:c>
      <x:c r="L35" s="76" t="str"/>
      <x:c r="M35" s="76" t="str"/>
      <x:c r="N35" s="76" t="str"/>
      <x:c r="O35" s="76" t="str"/>
      <x:c r="P35" s="76" t="str"/>
      <x:c r="Q35" s="76" t="str"/>
      <x:c r="R35" s="76" t="str"/>
      <x:c r="S35" s="76" t="str"/>
      <x:c r="T35" s="76" t="str"/>
    </x:row>
    <x:row r="36" s="23" customFormat="1" ht="36" customHeight="1">
      <x:c r="A36" s="49" t="b">
        <x:v>0</x:v>
      </x:c>
      <x:c r="B36" s="50" t="str">
        <x:v>30</x:v>
      </x:c>
      <x:c r="C36" s="51" t="str">
        <x:v>Fall of the Jedi</x:v>
      </x:c>
      <x:c r="D36" s="51" t="str">
        <x:v>The Clone Wars: Cloak of Darkness</x:v>
      </x:c>
      <x:c r="E36" s="50" t="str">
        <x:v>Season 1, Episode 9</x:v>
      </x:c>
      <x:c r="F36" s="51" t="str">
        <x:v>Series aired October 3, 2008–May 4, 2020</x:v>
      </x:c>
      <x:c r="G36" s="51" t="str">
        <x:v>Canon</x:v>
      </x:c>
      <x:c r="H36" s="51" t="str">
        <x:v>Episode</x:v>
      </x:c>
      <x:c r="I36" s="51" t="str">
        <x:v>Disney+</x:v>
      </x:c>
      <x:c r="J36" s="58" t="e">
        <x:f>HYPERLINK("https://www.disneyplus.com/video/96574cf0-9dd5-48f4-9625-545a13cff7db?cid=DTCI-Synergy-DDN-Site-Acquisition-StarWars-US-StarWars-StarWarsTheCloneWars-EN-BlogArticleEmbed-TCWChronological_StreamOnDisneyPlusCTA-NA","Watch")</x:f>
        <x:v>HYPERLINK is not implemented. linkLocation=https://www.disneyplus.com/video/96574cf0-9dd5-48f4-9625-545a13cff7db?cid=DTCI-Synergy-DDN-Site-Acquisition-StarWars-US-StarWars-StarWarsTheCloneWars-EN-BlogArticleEmbed-TCWChronological_StreamOnDisneyPlusCTA-NA, friendlyName=Watch</x:v>
      </x:c>
      <x:c r="K36" s="52" t="str">
        <x:v>Season 1, Episode 9 · Episode guide</x:v>
      </x:c>
      <x:c r="L36" s="76" t="str"/>
      <x:c r="M36" s="76" t="str"/>
      <x:c r="N36" s="76" t="str"/>
      <x:c r="O36" s="76" t="str"/>
      <x:c r="P36" s="76" t="str"/>
      <x:c r="Q36" s="76" t="str"/>
      <x:c r="R36" s="76" t="str"/>
      <x:c r="S36" s="76" t="str"/>
      <x:c r="T36" s="76" t="str"/>
    </x:row>
    <x:row r="37" s="23" customFormat="1" ht="36" customHeight="1">
      <x:c r="A37" s="49" t="b">
        <x:v>0</x:v>
      </x:c>
      <x:c r="B37" s="50" t="str">
        <x:v>31</x:v>
      </x:c>
      <x:c r="C37" s="51" t="str">
        <x:v>Fall of the Jedi</x:v>
      </x:c>
      <x:c r="D37" s="51" t="str">
        <x:v>The Clone Wars: Lair of Grievous</x:v>
      </x:c>
      <x:c r="E37" s="50" t="str">
        <x:v>Season 1, Episode 10</x:v>
      </x:c>
      <x:c r="F37" s="51" t="str">
        <x:v>Series aired October 3, 2008–May 4, 2020</x:v>
      </x:c>
      <x:c r="G37" s="51" t="str">
        <x:v>Canon</x:v>
      </x:c>
      <x:c r="H37" s="51" t="str">
        <x:v>Episode</x:v>
      </x:c>
      <x:c r="I37" s="51" t="str">
        <x:v>Disney+</x:v>
      </x:c>
      <x:c r="J37" s="58" t="e">
        <x:f>HYPERLINK("https://www.disneyplus.com/video/3755d2fb-2904-47a2-9315-fd4969401c30?cid=DTCI-Synergy-DDN-Site-Acquisition-StarWars-US-StarWars-StarWarsTheCloneWars-EN-BlogArticleEmbed-TCWChronological_StreamOnDisneyPlusCTA-NA","Watch")</x:f>
        <x:v>HYPERLINK is not implemented. linkLocation=https://www.disneyplus.com/video/3755d2fb-2904-47a2-9315-fd4969401c30?cid=DTCI-Synergy-DDN-Site-Acquisition-StarWars-US-StarWars-StarWarsTheCloneWars-EN-BlogArticleEmbed-TCWChronological_StreamOnDisneyPlusCTA-NA, friendlyName=Watch</x:v>
      </x:c>
      <x:c r="K37" s="52" t="str">
        <x:v>Season 1, Episode 10 · Episode guide</x:v>
      </x:c>
      <x:c r="L37" s="76" t="str"/>
      <x:c r="M37" s="76" t="str"/>
      <x:c r="N37" s="76" t="str"/>
      <x:c r="O37" s="76" t="str"/>
      <x:c r="P37" s="76" t="str"/>
      <x:c r="Q37" s="76" t="str"/>
      <x:c r="R37" s="76" t="str"/>
      <x:c r="S37" s="76" t="str"/>
      <x:c r="T37" s="76" t="str"/>
    </x:row>
    <x:row r="38" s="23" customFormat="1" ht="36" customHeight="1">
      <x:c r="A38" s="49" t="b">
        <x:v>0</x:v>
      </x:c>
      <x:c r="B38" s="50" t="str">
        <x:v>32</x:v>
      </x:c>
      <x:c r="C38" s="51" t="str">
        <x:v>Fall of the Jedi</x:v>
      </x:c>
      <x:c r="D38" s="51" t="str">
        <x:v>The Clone Wars: Dooku Captured</x:v>
      </x:c>
      <x:c r="E38" s="50" t="str">
        <x:v>Season 1, Episode 11</x:v>
      </x:c>
      <x:c r="F38" s="51" t="str">
        <x:v>Series aired October 3, 2008–May 4, 2020</x:v>
      </x:c>
      <x:c r="G38" s="51" t="str">
        <x:v>Canon</x:v>
      </x:c>
      <x:c r="H38" s="51" t="str">
        <x:v>Episode</x:v>
      </x:c>
      <x:c r="I38" s="51" t="str">
        <x:v>Disney+</x:v>
      </x:c>
      <x:c r="J38" s="58" t="e">
        <x:f>HYPERLINK("https://www.disneyplus.com/video/9bc09e32-83d9-4e00-a49e-a0241b4fb243?cid=DTCI-Synergy-DDN-Site-Acquisition-StarWars-US-StarWars-StarWarsTheCloneWars-EN-BlogArticleEmbed-TCWChronological_StreamOnDisneyPlusCTA-NA","Watch")</x:f>
        <x:v>HYPERLINK is not implemented. linkLocation=https://www.disneyplus.com/video/9bc09e32-83d9-4e00-a49e-a0241b4fb243?cid=DTCI-Synergy-DDN-Site-Acquisition-StarWars-US-StarWars-StarWarsTheCloneWars-EN-BlogArticleEmbed-TCWChronological_StreamOnDisneyPlusCTA-NA, friendlyName=Watch</x:v>
      </x:c>
      <x:c r="K38" s="52" t="str">
        <x:v>Season 1, Episode 11 · Episode guide</x:v>
      </x:c>
      <x:c r="L38" s="76" t="str"/>
      <x:c r="M38" s="76" t="str"/>
      <x:c r="N38" s="76" t="str"/>
      <x:c r="O38" s="76" t="str"/>
      <x:c r="P38" s="76" t="str"/>
      <x:c r="Q38" s="76" t="str"/>
      <x:c r="R38" s="76" t="str"/>
      <x:c r="S38" s="76" t="str"/>
      <x:c r="T38" s="76" t="str"/>
    </x:row>
    <x:row r="39" s="23" customFormat="1" ht="36" customHeight="1">
      <x:c r="A39" s="49" t="b">
        <x:v>0</x:v>
      </x:c>
      <x:c r="B39" s="50" t="str">
        <x:v>33</x:v>
      </x:c>
      <x:c r="C39" s="51" t="str">
        <x:v>Fall of the Jedi</x:v>
      </x:c>
      <x:c r="D39" s="51" t="str">
        <x:v>The Clone Wars: The Gungan General</x:v>
      </x:c>
      <x:c r="E39" s="50" t="str">
        <x:v>Season 1, Episode 12</x:v>
      </x:c>
      <x:c r="F39" s="51" t="str">
        <x:v>Series aired October 3, 2008–May 4, 2020</x:v>
      </x:c>
      <x:c r="G39" s="51" t="str">
        <x:v>Canon</x:v>
      </x:c>
      <x:c r="H39" s="51" t="str">
        <x:v>Episode</x:v>
      </x:c>
      <x:c r="I39" s="51" t="str">
        <x:v>Disney+</x:v>
      </x:c>
      <x:c r="J39" s="58" t="e">
        <x:f>HYPERLINK("https://www.disneyplus.com/video/c1ac160f-7cc2-444f-a8a6-e1a1aa68d12d?cid=DTCI-Synergy-DDN-Site-Acquisition-StarWars-US-StarWars-StarWarsTheCloneWars-EN-BlogArticleEmbed-TCWChronological_StreamOnDisneyPlusCTA-NA","Watch")</x:f>
        <x:v>HYPERLINK is not implemented. linkLocation=https://www.disneyplus.com/video/c1ac160f-7cc2-444f-a8a6-e1a1aa68d12d?cid=DTCI-Synergy-DDN-Site-Acquisition-StarWars-US-StarWars-StarWarsTheCloneWars-EN-BlogArticleEmbed-TCWChronological_StreamOnDisneyPlusCTA-NA, friendlyName=Watch</x:v>
      </x:c>
      <x:c r="K39" s="52" t="str">
        <x:v>Season 1, Episode 12 · Episode guide</x:v>
      </x:c>
      <x:c r="L39" s="76" t="str"/>
      <x:c r="M39" s="76" t="str"/>
      <x:c r="N39" s="76" t="str"/>
      <x:c r="O39" s="76" t="str"/>
      <x:c r="P39" s="76" t="str"/>
      <x:c r="Q39" s="76" t="str"/>
      <x:c r="R39" s="76" t="str"/>
      <x:c r="S39" s="76" t="str"/>
      <x:c r="T39" s="76" t="str"/>
    </x:row>
    <x:row r="40" s="23" customFormat="1" ht="36" customHeight="1">
      <x:c r="A40" s="49" t="b">
        <x:v>0</x:v>
      </x:c>
      <x:c r="B40" s="50" t="str">
        <x:v>34</x:v>
      </x:c>
      <x:c r="C40" s="51" t="str">
        <x:v>Fall of the Jedi</x:v>
      </x:c>
      <x:c r="D40" s="51" t="str">
        <x:v>The Clone Wars: Jedi Crash</x:v>
      </x:c>
      <x:c r="E40" s="50" t="str">
        <x:v>Season 1, Episode 13</x:v>
      </x:c>
      <x:c r="F40" s="51" t="str">
        <x:v>Series aired October 3, 2008–May 4, 2020</x:v>
      </x:c>
      <x:c r="G40" s="51" t="str">
        <x:v>Canon</x:v>
      </x:c>
      <x:c r="H40" s="51" t="str">
        <x:v>Episode</x:v>
      </x:c>
      <x:c r="I40" s="51" t="str">
        <x:v>Disney+</x:v>
      </x:c>
      <x:c r="J40" s="58" t="e">
        <x:f>HYPERLINK("https://www.disneyplus.com/video/28c0b907-8efe-4400-af50-c13c66e18468?cid=DTCI-Synergy-DDN-Site-Acquisition-StarWars-US-StarWars-StarWarsTheCloneWars-EN-BlogArticleEmbed-TCWChronological_StreamOnDisneyPlusCTA-NA","Watch")</x:f>
        <x:v>HYPERLINK is not implemented. linkLocation=https://www.disneyplus.com/video/28c0b907-8efe-4400-af50-c13c66e18468?cid=DTCI-Synergy-DDN-Site-Acquisition-StarWars-US-StarWars-StarWarsTheCloneWars-EN-BlogArticleEmbed-TCWChronological_StreamOnDisneyPlusCTA-NA, friendlyName=Watch</x:v>
      </x:c>
      <x:c r="K40" s="52" t="str">
        <x:v>Season 1, Episode 13 · Episode guide</x:v>
      </x:c>
      <x:c r="L40" s="76" t="str"/>
      <x:c r="M40" s="76" t="str"/>
      <x:c r="N40" s="76" t="str"/>
      <x:c r="O40" s="76" t="str"/>
      <x:c r="P40" s="76" t="str"/>
      <x:c r="Q40" s="76" t="str"/>
      <x:c r="R40" s="76" t="str"/>
      <x:c r="S40" s="76" t="str"/>
      <x:c r="T40" s="76" t="str"/>
    </x:row>
    <x:row r="41" s="23" customFormat="1" ht="36" customHeight="1">
      <x:c r="A41" s="49" t="b">
        <x:v>0</x:v>
      </x:c>
      <x:c r="B41" s="50" t="str">
        <x:v>35</x:v>
      </x:c>
      <x:c r="C41" s="51" t="str">
        <x:v>Fall of the Jedi</x:v>
      </x:c>
      <x:c r="D41" s="51" t="str">
        <x:v>The Clone Wars: Defenders of Peace</x:v>
      </x:c>
      <x:c r="E41" s="50" t="str">
        <x:v>Season 1, Episode 14</x:v>
      </x:c>
      <x:c r="F41" s="51" t="str">
        <x:v>Series aired October 3, 2008–May 4, 2020</x:v>
      </x:c>
      <x:c r="G41" s="51" t="str">
        <x:v>Canon</x:v>
      </x:c>
      <x:c r="H41" s="51" t="str">
        <x:v>Episode</x:v>
      </x:c>
      <x:c r="I41" s="51" t="str">
        <x:v>Disney+</x:v>
      </x:c>
      <x:c r="J41" s="58" t="e">
        <x:f>HYPERLINK("https://www.disneyplus.com/video/b258d36e-98da-419a-bcc4-58826cd79f95?cid=DTCI-Synergy-DDN-Site-Acquisition-StarWars-US-StarWars-StarWarsTheCloneWars-EN-BlogArticleEmbed-TCWChronological_StreamOnDisneyPlusCTA-NA","Watch")</x:f>
        <x:v>HYPERLINK is not implemented. linkLocation=https://www.disneyplus.com/video/b258d36e-98da-419a-bcc4-58826cd79f95?cid=DTCI-Synergy-DDN-Site-Acquisition-StarWars-US-StarWars-StarWarsTheCloneWars-EN-BlogArticleEmbed-TCWChronological_StreamOnDisneyPlusCTA-NA, friendlyName=Watch</x:v>
      </x:c>
      <x:c r="K41" s="52" t="str">
        <x:v>Season 1, Episode 14 · Episode guide</x:v>
      </x:c>
      <x:c r="L41" s="76" t="str"/>
      <x:c r="M41" s="76" t="str"/>
      <x:c r="N41" s="76" t="str"/>
      <x:c r="O41" s="76" t="str"/>
      <x:c r="P41" s="76" t="str"/>
      <x:c r="Q41" s="76" t="str"/>
      <x:c r="R41" s="76" t="str"/>
      <x:c r="S41" s="76" t="str"/>
      <x:c r="T41" s="76" t="str"/>
    </x:row>
    <x:row r="42" s="23" customFormat="1" ht="36" customHeight="1">
      <x:c r="A42" s="49" t="b">
        <x:v>0</x:v>
      </x:c>
      <x:c r="B42" s="50" t="str">
        <x:v>36</x:v>
      </x:c>
      <x:c r="C42" s="51" t="str">
        <x:v>Fall of the Jedi</x:v>
      </x:c>
      <x:c r="D42" s="51" t="str">
        <x:v>The Clone Wars: Trespass</x:v>
      </x:c>
      <x:c r="E42" s="50" t="str">
        <x:v>Season 1, Episode 15</x:v>
      </x:c>
      <x:c r="F42" s="51" t="str">
        <x:v>Series aired October 3, 2008–May 4, 2020</x:v>
      </x:c>
      <x:c r="G42" s="51" t="str">
        <x:v>Canon</x:v>
      </x:c>
      <x:c r="H42" s="51" t="str">
        <x:v>Episode</x:v>
      </x:c>
      <x:c r="I42" s="51" t="str">
        <x:v>Disney+</x:v>
      </x:c>
      <x:c r="J42" s="58" t="e">
        <x:f>HYPERLINK("https://www.disneyplus.com/video/bf62fc31-f895-4dec-9d96-6635bda89f26?cid=DTCI-Synergy-DDN-Site-Acquisition-StarWars-US-StarWars-StarWarsTheCloneWars-EN-BlogArticleEmbed-TCWChronological_StreamOnDisneyPlusCTA-NA","Watch")</x:f>
        <x:v>HYPERLINK is not implemented. linkLocation=https://www.disneyplus.com/video/bf62fc31-f895-4dec-9d96-6635bda89f26?cid=DTCI-Synergy-DDN-Site-Acquisition-StarWars-US-StarWars-StarWarsTheCloneWars-EN-BlogArticleEmbed-TCWChronological_StreamOnDisneyPlusCTA-NA, friendlyName=Watch</x:v>
      </x:c>
      <x:c r="K42" s="52" t="str">
        <x:v>Season 1, Episode 15 · Episode guide</x:v>
      </x:c>
      <x:c r="L42" s="76" t="str"/>
      <x:c r="M42" s="76" t="str"/>
      <x:c r="N42" s="76" t="str"/>
      <x:c r="O42" s="76" t="str"/>
      <x:c r="P42" s="76" t="str"/>
      <x:c r="Q42" s="76" t="str"/>
      <x:c r="R42" s="76" t="str"/>
      <x:c r="S42" s="76" t="str"/>
      <x:c r="T42" s="76" t="str"/>
    </x:row>
    <x:row r="43" s="23" customFormat="1" ht="36" customHeight="1">
      <x:c r="A43" s="49" t="b">
        <x:v>0</x:v>
      </x:c>
      <x:c r="B43" s="50" t="str">
        <x:v>37</x:v>
      </x:c>
      <x:c r="C43" s="51" t="str">
        <x:v>Fall of the Jedi</x:v>
      </x:c>
      <x:c r="D43" s="51" t="str">
        <x:v>The Clone Wars: Blue Shadow Virus</x:v>
      </x:c>
      <x:c r="E43" s="50" t="str">
        <x:v>Season 1, Episode 17</x:v>
      </x:c>
      <x:c r="F43" s="51" t="str">
        <x:v>Series aired October 3, 2008–May 4, 2020</x:v>
      </x:c>
      <x:c r="G43" s="51" t="str">
        <x:v>Canon</x:v>
      </x:c>
      <x:c r="H43" s="51" t="str">
        <x:v>Episode</x:v>
      </x:c>
      <x:c r="I43" s="51" t="str">
        <x:v>Disney+</x:v>
      </x:c>
      <x:c r="J43" s="58" t="e">
        <x:f>HYPERLINK("https://www.disneyplus.com/video/393b2b72-7e23-420d-ae09-f5332cb6b726?cid=DTCI-Synergy-DDN-Site-Acquisition-StarWars-US-StarWars-StarWarsTheCloneWars-EN-BlogArticleEmbed-TCWChronological_StreamOnDisneyPlusCTA-NA","Watch")</x:f>
        <x:v>HYPERLINK is not implemented. linkLocation=https://www.disneyplus.com/video/393b2b72-7e23-420d-ae09-f5332cb6b726?cid=DTCI-Synergy-DDN-Site-Acquisition-StarWars-US-StarWars-StarWarsTheCloneWars-EN-BlogArticleEmbed-TCWChronological_StreamOnDisneyPlusCTA-NA, friendlyName=Watch</x:v>
      </x:c>
      <x:c r="K43" s="52" t="str">
        <x:v>Season 1, Episode 17 · Episode guide</x:v>
      </x:c>
      <x:c r="L43" s="76" t="str"/>
      <x:c r="M43" s="76" t="str"/>
      <x:c r="N43" s="76" t="str"/>
      <x:c r="O43" s="76" t="str"/>
      <x:c r="P43" s="76" t="str"/>
      <x:c r="Q43" s="76" t="str"/>
      <x:c r="R43" s="76" t="str"/>
      <x:c r="S43" s="76" t="str"/>
      <x:c r="T43" s="76" t="str"/>
    </x:row>
    <x:row r="44" s="23" customFormat="1" ht="36" customHeight="1">
      <x:c r="A44" s="49" t="b">
        <x:v>0</x:v>
      </x:c>
      <x:c r="B44" s="50" t="str">
        <x:v>38</x:v>
      </x:c>
      <x:c r="C44" s="51" t="str">
        <x:v>Fall of the Jedi</x:v>
      </x:c>
      <x:c r="D44" s="51" t="str">
        <x:v>The Clone Wars: Mystery of a Thousand Moons</x:v>
      </x:c>
      <x:c r="E44" s="50" t="str">
        <x:v>Season 1, Episode 18</x:v>
      </x:c>
      <x:c r="F44" s="51" t="str">
        <x:v>Series aired October 3, 2008–May 4, 2020</x:v>
      </x:c>
      <x:c r="G44" s="51" t="str">
        <x:v>Canon</x:v>
      </x:c>
      <x:c r="H44" s="51" t="str">
        <x:v>Episode</x:v>
      </x:c>
      <x:c r="I44" s="51" t="str">
        <x:v>Disney+</x:v>
      </x:c>
      <x:c r="J44" s="58" t="e">
        <x:f>HYPERLINK("https://www.disneyplus.com/video/f6fe3f35-5e5e-440b-97d6-425ea1a1820d?cid=DTCI-Synergy-DDN-Site-Acquisition-StarWars-US-StarWars-StarWarsTheCloneWars-EN-BlogArticleEmbed-TCWChronological_StreamOnDisneyPlusCTA-NA","Watch")</x:f>
        <x:v>HYPERLINK is not implemented. linkLocation=https://www.disneyplus.com/video/f6fe3f35-5e5e-440b-97d6-425ea1a1820d?cid=DTCI-Synergy-DDN-Site-Acquisition-StarWars-US-StarWars-StarWarsTheCloneWars-EN-BlogArticleEmbed-TCWChronological_StreamOnDisneyPlusCTA-NA, friendlyName=Watch</x:v>
      </x:c>
      <x:c r="K44" s="52" t="str">
        <x:v>Season 1, Episode 18 · Episode guide</x:v>
      </x:c>
      <x:c r="L44" s="76" t="str"/>
      <x:c r="M44" s="76" t="str"/>
      <x:c r="N44" s="76" t="str"/>
      <x:c r="O44" s="76" t="str"/>
      <x:c r="P44" s="76" t="str"/>
      <x:c r="Q44" s="76" t="str"/>
      <x:c r="R44" s="76" t="str"/>
      <x:c r="S44" s="76" t="str"/>
      <x:c r="T44" s="76" t="str"/>
    </x:row>
    <x:row r="45" s="23" customFormat="1" ht="36" customHeight="1">
      <x:c r="A45" s="49" t="b">
        <x:v>0</x:v>
      </x:c>
      <x:c r="B45" s="50" t="str">
        <x:v>39</x:v>
      </x:c>
      <x:c r="C45" s="51" t="str">
        <x:v>Fall of the Jedi</x:v>
      </x:c>
      <x:c r="D45" s="51" t="str">
        <x:v>The Clone Wars: Storm over Ryloth</x:v>
      </x:c>
      <x:c r="E45" s="50" t="str">
        <x:v>Season 1, Episode 19</x:v>
      </x:c>
      <x:c r="F45" s="51" t="str">
        <x:v>Series aired October 3, 2008–May 4, 2020</x:v>
      </x:c>
      <x:c r="G45" s="51" t="str">
        <x:v>Canon</x:v>
      </x:c>
      <x:c r="H45" s="51" t="str">
        <x:v>Episode</x:v>
      </x:c>
      <x:c r="I45" s="51" t="str">
        <x:v>Disney+</x:v>
      </x:c>
      <x:c r="J45" s="58" t="e">
        <x:f>HYPERLINK("https://www.disneyplus.com/video/76710ca6-5a5f-4fbd-8bc3-2a62beba88cf?cid=DTCI-Synergy-DDN-Site-Acquisition-StarWars-US-StarWars-StarWarsTheCloneWars-EN-BlogArticleEmbed-TCWChronological_StreamOnDisneyPlusCTA-NA","Watch")</x:f>
        <x:v>HYPERLINK is not implemented. linkLocation=https://www.disneyplus.com/video/76710ca6-5a5f-4fbd-8bc3-2a62beba88cf?cid=DTCI-Synergy-DDN-Site-Acquisition-StarWars-US-StarWars-StarWarsTheCloneWars-EN-BlogArticleEmbed-TCWChronological_StreamOnDisneyPlusCTA-NA, friendlyName=Watch</x:v>
      </x:c>
      <x:c r="K45" s="52" t="str">
        <x:v>Season 1, Episode 19 · Episode guide</x:v>
      </x:c>
      <x:c r="L45" s="76" t="str"/>
      <x:c r="M45" s="76" t="str"/>
      <x:c r="N45" s="76" t="str"/>
      <x:c r="O45" s="76" t="str"/>
      <x:c r="P45" s="76" t="str"/>
      <x:c r="Q45" s="76" t="str"/>
      <x:c r="R45" s="76" t="str"/>
      <x:c r="S45" s="76" t="str"/>
      <x:c r="T45" s="76" t="str"/>
    </x:row>
    <x:row r="46" s="23" customFormat="1" ht="36" customHeight="1">
      <x:c r="A46" s="49" t="b">
        <x:v>0</x:v>
      </x:c>
      <x:c r="B46" s="50" t="str">
        <x:v>40</x:v>
      </x:c>
      <x:c r="C46" s="51" t="str">
        <x:v>Fall of the Jedi</x:v>
      </x:c>
      <x:c r="D46" s="51" t="str">
        <x:v>The Clone Wars: Innocents of Ryloth</x:v>
      </x:c>
      <x:c r="E46" s="50" t="str">
        <x:v>Season 1, Episode 20</x:v>
      </x:c>
      <x:c r="F46" s="51" t="str">
        <x:v>Series aired October 3, 2008–May 4, 2020</x:v>
      </x:c>
      <x:c r="G46" s="51" t="str">
        <x:v>Canon</x:v>
      </x:c>
      <x:c r="H46" s="51" t="str">
        <x:v>Episode</x:v>
      </x:c>
      <x:c r="I46" s="51" t="str">
        <x:v>Disney+</x:v>
      </x:c>
      <x:c r="J46" s="58" t="e">
        <x:f>HYPERLINK("https://www.disneyplus.com/video/d4f5abd5-3e71-4cef-9928-6be9527fdb89?cid=DTCI-Synergy-DDN-Site-Acquisition-StarWars-US-StarWars-StarWarsTheCloneWars-EN-BlogArticleEmbed-TCWChronological_StreamOnDisneyPlusCTA-NA","Watch")</x:f>
        <x:v>HYPERLINK is not implemented. linkLocation=https://www.disneyplus.com/video/d4f5abd5-3e71-4cef-9928-6be9527fdb89?cid=DTCI-Synergy-DDN-Site-Acquisition-StarWars-US-StarWars-StarWarsTheCloneWars-EN-BlogArticleEmbed-TCWChronological_StreamOnDisneyPlusCTA-NA, friendlyName=Watch</x:v>
      </x:c>
      <x:c r="K46" s="52" t="str">
        <x:v>Season 1, Episode 20 · Episode guide</x:v>
      </x:c>
      <x:c r="L46" s="76" t="str"/>
      <x:c r="M46" s="76" t="str"/>
      <x:c r="N46" s="76" t="str"/>
      <x:c r="O46" s="76" t="str"/>
      <x:c r="P46" s="76" t="str"/>
      <x:c r="Q46" s="76" t="str"/>
      <x:c r="R46" s="76" t="str"/>
      <x:c r="S46" s="76" t="str"/>
      <x:c r="T46" s="76" t="str"/>
    </x:row>
    <x:row r="47" s="23" customFormat="1" ht="36" customHeight="1">
      <x:c r="A47" s="49" t="b">
        <x:v>0</x:v>
      </x:c>
      <x:c r="B47" s="50" t="str">
        <x:v>41</x:v>
      </x:c>
      <x:c r="C47" s="51" t="str">
        <x:v>Fall of the Jedi</x:v>
      </x:c>
      <x:c r="D47" s="51" t="str">
        <x:v>The Clone Wars: Liberty on Ryloth</x:v>
      </x:c>
      <x:c r="E47" s="50" t="str">
        <x:v>Season 1, Episode 21</x:v>
      </x:c>
      <x:c r="F47" s="51" t="str">
        <x:v>Series aired October 3, 2008–May 4, 2020</x:v>
      </x:c>
      <x:c r="G47" s="51" t="str">
        <x:v>Canon</x:v>
      </x:c>
      <x:c r="H47" s="51" t="str">
        <x:v>Episode</x:v>
      </x:c>
      <x:c r="I47" s="51" t="str">
        <x:v>Disney+</x:v>
      </x:c>
      <x:c r="J47" s="58" t="e">
        <x:f>HYPERLINK("https://www.disneyplus.com/video/0f87705e-7773-4154-8ff8-fdee5671431d?cid=DTCI-Synergy-DDN-Site-Acquisition-StarWars-US-StarWars-StarWarsTheCloneWars-EN-BlogArticleEmbed-TCWChronological_StreamOnDisneyPlusCTA-NA","Watch")</x:f>
        <x:v>HYPERLINK is not implemented. linkLocation=https://www.disneyplus.com/video/0f87705e-7773-4154-8ff8-fdee5671431d?cid=DTCI-Synergy-DDN-Site-Acquisition-StarWars-US-StarWars-StarWarsTheCloneWars-EN-BlogArticleEmbed-TCWChronological_StreamOnDisneyPlusCTA-NA, friendlyName=Watch</x:v>
      </x:c>
      <x:c r="K47" s="52" t="str">
        <x:v>Season 1, Episode 21 · Episode guide</x:v>
      </x:c>
      <x:c r="L47" s="76" t="str"/>
      <x:c r="M47" s="76" t="str"/>
      <x:c r="N47" s="76" t="str"/>
      <x:c r="O47" s="76" t="str"/>
      <x:c r="P47" s="76" t="str"/>
      <x:c r="Q47" s="76" t="str"/>
      <x:c r="R47" s="76" t="str"/>
      <x:c r="S47" s="76" t="str"/>
      <x:c r="T47" s="76" t="str"/>
    </x:row>
    <x:row r="48" s="23" customFormat="1" ht="36" customHeight="1">
      <x:c r="A48" s="49" t="b">
        <x:v>0</x:v>
      </x:c>
      <x:c r="B48" s="50" t="str">
        <x:v>42</x:v>
      </x:c>
      <x:c r="C48" s="51" t="str">
        <x:v>Fall of the Jedi</x:v>
      </x:c>
      <x:c r="D48" s="51" t="str">
        <x:v>The Clone Wars: Holocron Heist</x:v>
      </x:c>
      <x:c r="E48" s="50" t="str">
        <x:v>Season 2, Episode 1</x:v>
      </x:c>
      <x:c r="F48" s="51" t="str">
        <x:v>Series aired October 3, 2008–May 4, 2020</x:v>
      </x:c>
      <x:c r="G48" s="51" t="str">
        <x:v>Canon</x:v>
      </x:c>
      <x:c r="H48" s="51" t="str">
        <x:v>Episode</x:v>
      </x:c>
      <x:c r="I48" s="51" t="str">
        <x:v>Disney+</x:v>
      </x:c>
      <x:c r="J48" s="58" t="e">
        <x:f>HYPERLINK("https://www.disneyplus.com/video/0eb555a3-9420-4364-aef2-7186f5e4fb4e?cid=DTCI-Synergy-DDN-Site-Acquisition-StarWars-US-StarWars-StarWarsTheCloneWars-EN-BlogArticleEmbed-TCWChronological_StreamOnDisneyPlusCTA-NA","Watch")</x:f>
        <x:v>HYPERLINK is not implemented. linkLocation=https://www.disneyplus.com/video/0eb555a3-9420-4364-aef2-7186f5e4fb4e?cid=DTCI-Synergy-DDN-Site-Acquisition-StarWars-US-StarWars-StarWarsTheCloneWars-EN-BlogArticleEmbed-TCWChronological_StreamOnDisneyPlusCTA-NA, friendlyName=Watch</x:v>
      </x:c>
      <x:c r="K48" s="52" t="str">
        <x:v>Season 2, Episode 1 · Episode guide</x:v>
      </x:c>
      <x:c r="L48" s="76" t="str"/>
      <x:c r="M48" s="76" t="str"/>
      <x:c r="N48" s="76" t="str"/>
      <x:c r="O48" s="76" t="str"/>
      <x:c r="P48" s="76" t="str"/>
      <x:c r="Q48" s="76" t="str"/>
      <x:c r="R48" s="76" t="str"/>
      <x:c r="S48" s="76" t="str"/>
      <x:c r="T48" s="76" t="str"/>
    </x:row>
    <x:row r="49" s="23" customFormat="1" ht="36" customHeight="1">
      <x:c r="A49" s="49" t="b">
        <x:v>0</x:v>
      </x:c>
      <x:c r="B49" s="50" t="str">
        <x:v>43</x:v>
      </x:c>
      <x:c r="C49" s="51" t="str">
        <x:v>Fall of the Jedi</x:v>
      </x:c>
      <x:c r="D49" s="51" t="str">
        <x:v>The Clone Wars: Cargo of Doom</x:v>
      </x:c>
      <x:c r="E49" s="50" t="str">
        <x:v>Season 2, Episode 2</x:v>
      </x:c>
      <x:c r="F49" s="51" t="str">
        <x:v>Series aired October 3, 2008–May 4, 2020</x:v>
      </x:c>
      <x:c r="G49" s="51" t="str">
        <x:v>Canon</x:v>
      </x:c>
      <x:c r="H49" s="51" t="str">
        <x:v>Episode</x:v>
      </x:c>
      <x:c r="I49" s="51" t="str">
        <x:v>Disney+</x:v>
      </x:c>
      <x:c r="J49" s="58" t="e">
        <x:f>HYPERLINK("https://www.disneyplus.com/video/865525da-5daa-4188-9bca-8abd942909fd?cid=DTCI-Synergy-DDN-Site-Acquisition-StarWars-US-StarWars-StarWarsTheCloneWars-EN-BlogArticleEmbed-TCWChronological_StreamOnDisneyPlusCTA-NA","Watch")</x:f>
        <x:v>HYPERLINK is not implemented. linkLocation=https://www.disneyplus.com/video/865525da-5daa-4188-9bca-8abd942909fd?cid=DTCI-Synergy-DDN-Site-Acquisition-StarWars-US-StarWars-StarWarsTheCloneWars-EN-BlogArticleEmbed-TCWChronological_StreamOnDisneyPlusCTA-NA, friendlyName=Watch</x:v>
      </x:c>
      <x:c r="K49" s="52" t="str">
        <x:v>Season 2, Episode 2 · Episode guide</x:v>
      </x:c>
      <x:c r="L49" s="76" t="str"/>
      <x:c r="M49" s="76" t="str"/>
      <x:c r="N49" s="76" t="str"/>
      <x:c r="O49" s="76" t="str"/>
      <x:c r="P49" s="76" t="str"/>
      <x:c r="Q49" s="76" t="str"/>
      <x:c r="R49" s="76" t="str"/>
      <x:c r="S49" s="76" t="str"/>
      <x:c r="T49" s="76" t="str"/>
    </x:row>
    <x:row r="50" s="23" customFormat="1" ht="36" customHeight="1">
      <x:c r="A50" s="49" t="b">
        <x:v>0</x:v>
      </x:c>
      <x:c r="B50" s="50" t="str">
        <x:v>44</x:v>
      </x:c>
      <x:c r="C50" s="51" t="str">
        <x:v>Fall of the Jedi</x:v>
      </x:c>
      <x:c r="D50" s="51" t="str">
        <x:v>The Clone Wars: Children of the Force</x:v>
      </x:c>
      <x:c r="E50" s="50" t="str">
        <x:v>Season 2, Episode 3</x:v>
      </x:c>
      <x:c r="F50" s="51" t="str">
        <x:v>Series aired October 3, 2008–May 4, 2020</x:v>
      </x:c>
      <x:c r="G50" s="51" t="str">
        <x:v>Canon</x:v>
      </x:c>
      <x:c r="H50" s="51" t="str">
        <x:v>Episode</x:v>
      </x:c>
      <x:c r="I50" s="51" t="str">
        <x:v>Disney+</x:v>
      </x:c>
      <x:c r="J50" s="58" t="e">
        <x:f>HYPERLINK("https://www.disneyplus.com/video/2b77cbb2-045c-456d-a551-be454175ca28?cid=DTCI-Synergy-DDN-Site-Acquisition-StarWars-US-StarWars-StarWarsTheCloneWars-EN-BlogArticleEmbed-TCWChronological_StreamOnDisneyPlusCTA-NA","Watch")</x:f>
        <x:v>HYPERLINK is not implemented. linkLocation=https://www.disneyplus.com/video/2b77cbb2-045c-456d-a551-be454175ca28?cid=DTCI-Synergy-DDN-Site-Acquisition-StarWars-US-StarWars-StarWarsTheCloneWars-EN-BlogArticleEmbed-TCWChronological_StreamOnDisneyPlusCTA-NA, friendlyName=Watch</x:v>
      </x:c>
      <x:c r="K50" s="52" t="str">
        <x:v>Season 2, Episode 3 · Episode guide</x:v>
      </x:c>
      <x:c r="L50" s="76" t="str"/>
      <x:c r="M50" s="76" t="str"/>
      <x:c r="N50" s="76" t="str"/>
      <x:c r="O50" s="76" t="str"/>
      <x:c r="P50" s="76" t="str"/>
      <x:c r="Q50" s="76" t="str"/>
      <x:c r="R50" s="76" t="str"/>
      <x:c r="S50" s="76" t="str"/>
      <x:c r="T50" s="76" t="str"/>
    </x:row>
    <x:row r="51" s="23" customFormat="1" ht="36" customHeight="1">
      <x:c r="A51" s="49" t="b">
        <x:v>0</x:v>
      </x:c>
      <x:c r="B51" s="50" t="str">
        <x:v>45</x:v>
      </x:c>
      <x:c r="C51" s="51" t="str">
        <x:v>Fall of the Jedi</x:v>
      </x:c>
      <x:c r="D51" s="51" t="str">
        <x:v>The Clone Wars: Bounty Hunters</x:v>
      </x:c>
      <x:c r="E51" s="50" t="str">
        <x:v>Season 2, Episode 17</x:v>
      </x:c>
      <x:c r="F51" s="51" t="str">
        <x:v>Series aired October 3, 2008–May 4, 2020</x:v>
      </x:c>
      <x:c r="G51" s="51" t="str">
        <x:v>Canon</x:v>
      </x:c>
      <x:c r="H51" s="51" t="str">
        <x:v>Episode</x:v>
      </x:c>
      <x:c r="I51" s="51" t="str">
        <x:v>Disney+</x:v>
      </x:c>
      <x:c r="J51" s="58" t="e">
        <x:f>HYPERLINK("https://www.disneyplus.com/video/2bfad4dd-0bf4-4c76-a7ce-7e34df37618a?cid=DTCI-Synergy-DDN-Site-Acquisition-StarWars-US-StarWars-StarWarsTheCloneWars-EN-BlogArticleEmbed-TCWChronological_StreamOnDisneyPlusCTA-NA","Watch")</x:f>
        <x:v>HYPERLINK is not implemented. linkLocation=https://www.disneyplus.com/video/2bfad4dd-0bf4-4c76-a7ce-7e34df37618a?cid=DTCI-Synergy-DDN-Site-Acquisition-StarWars-US-StarWars-StarWarsTheCloneWars-EN-BlogArticleEmbed-TCWChronological_StreamOnDisneyPlusCTA-NA, friendlyName=Watch</x:v>
      </x:c>
      <x:c r="K51" s="52" t="str">
        <x:v>Season 2, Episode 17 · Episode guide</x:v>
      </x:c>
      <x:c r="L51" s="76" t="str"/>
      <x:c r="M51" s="76" t="str"/>
      <x:c r="N51" s="76" t="str"/>
      <x:c r="O51" s="76" t="str"/>
      <x:c r="P51" s="76" t="str"/>
      <x:c r="Q51" s="76" t="str"/>
      <x:c r="R51" s="76" t="str"/>
      <x:c r="S51" s="76" t="str"/>
      <x:c r="T51" s="76" t="str"/>
    </x:row>
    <x:row r="52" s="23" customFormat="1" ht="36" customHeight="1">
      <x:c r="A52" s="49" t="b">
        <x:v>0</x:v>
      </x:c>
      <x:c r="B52" s="50" t="str">
        <x:v>46</x:v>
      </x:c>
      <x:c r="C52" s="51" t="str">
        <x:v>Fall of the Jedi</x:v>
      </x:c>
      <x:c r="D52" s="51" t="str">
        <x:v>The Clone Wars: The Zillo Beast</x:v>
      </x:c>
      <x:c r="E52" s="50" t="str">
        <x:v>Season 2, Episode 18</x:v>
      </x:c>
      <x:c r="F52" s="51" t="str">
        <x:v>Series aired October 3, 2008–May 4, 2020</x:v>
      </x:c>
      <x:c r="G52" s="51" t="str">
        <x:v>Canon</x:v>
      </x:c>
      <x:c r="H52" s="51" t="str">
        <x:v>Episode</x:v>
      </x:c>
      <x:c r="I52" s="51" t="str">
        <x:v>Disney+</x:v>
      </x:c>
      <x:c r="J52" s="58" t="e">
        <x:f>HYPERLINK("https://www.disneyplus.com/video/13d1cbe9-abf9-4691-a407-228d16cfa48d?cid=DTCI-Synergy-DDN-Site-Acquisition-StarWars-US-StarWars-StarWarsTheCloneWars-EN-BlogArticleEmbed-TCWChronological_StreamOnDisneyPlusCTA-NA","Watch")</x:f>
        <x:v>HYPERLINK is not implemented. linkLocation=https://www.disneyplus.com/video/13d1cbe9-abf9-4691-a407-228d16cfa48d?cid=DTCI-Synergy-DDN-Site-Acquisition-StarWars-US-StarWars-StarWarsTheCloneWars-EN-BlogArticleEmbed-TCWChronological_StreamOnDisneyPlusCTA-NA, friendlyName=Watch</x:v>
      </x:c>
      <x:c r="K52" s="52" t="str">
        <x:v>Season 2, Episode 18 · Episode guide</x:v>
      </x:c>
      <x:c r="L52" s="76" t="str"/>
      <x:c r="M52" s="76" t="str"/>
      <x:c r="N52" s="76" t="str"/>
      <x:c r="O52" s="76" t="str"/>
      <x:c r="P52" s="76" t="str"/>
      <x:c r="Q52" s="76" t="str"/>
      <x:c r="R52" s="76" t="str"/>
      <x:c r="S52" s="76" t="str"/>
      <x:c r="T52" s="76" t="str"/>
    </x:row>
    <x:row r="53" s="23" customFormat="1" ht="36" customHeight="1">
      <x:c r="A53" s="49" t="b">
        <x:v>0</x:v>
      </x:c>
      <x:c r="B53" s="50" t="str">
        <x:v>47</x:v>
      </x:c>
      <x:c r="C53" s="51" t="str">
        <x:v>Fall of the Jedi</x:v>
      </x:c>
      <x:c r="D53" s="51" t="str">
        <x:v>The Clone Wars: The Zillo Beast Strikes Back</x:v>
      </x:c>
      <x:c r="E53" s="50" t="str">
        <x:v>Season 2, Episode 19</x:v>
      </x:c>
      <x:c r="F53" s="51" t="str">
        <x:v>Series aired October 3, 2008–May 4, 2020</x:v>
      </x:c>
      <x:c r="G53" s="51" t="str">
        <x:v>Canon</x:v>
      </x:c>
      <x:c r="H53" s="51" t="str">
        <x:v>Episode</x:v>
      </x:c>
      <x:c r="I53" s="51" t="str">
        <x:v>Disney+</x:v>
      </x:c>
      <x:c r="J53" s="58" t="e">
        <x:f>HYPERLINK("https://www.disneyplus.com/video/6f2cd6cf-8e7a-42e6-893a-6465f2683648?cid=DTCI-Synergy-DDN-Site-Acquisition-StarWars-US-StarWars-StarWarsTheCloneWars-EN-BlogArticleEmbed-TCWChronological_StreamOnDisneyPlusCTA-NA","Watch")</x:f>
        <x:v>HYPERLINK is not implemented. linkLocation=https://www.disneyplus.com/video/6f2cd6cf-8e7a-42e6-893a-6465f2683648?cid=DTCI-Synergy-DDN-Site-Acquisition-StarWars-US-StarWars-StarWarsTheCloneWars-EN-BlogArticleEmbed-TCWChronological_StreamOnDisneyPlusCTA-NA, friendlyName=Watch</x:v>
      </x:c>
      <x:c r="K53" s="52" t="str">
        <x:v>Season 2, Episode 19 · Episode guide</x:v>
      </x:c>
      <x:c r="L53" s="76" t="str"/>
      <x:c r="M53" s="76" t="str"/>
      <x:c r="N53" s="76" t="str"/>
      <x:c r="O53" s="76" t="str"/>
      <x:c r="P53" s="76" t="str"/>
      <x:c r="Q53" s="76" t="str"/>
      <x:c r="R53" s="76" t="str"/>
      <x:c r="S53" s="76" t="str"/>
      <x:c r="T53" s="76" t="str"/>
    </x:row>
    <x:row r="54" s="23" customFormat="1" ht="36" customHeight="1">
      <x:c r="A54" s="49" t="b">
        <x:v>0</x:v>
      </x:c>
      <x:c r="B54" s="50" t="str">
        <x:v>48</x:v>
      </x:c>
      <x:c r="C54" s="51" t="str">
        <x:v>Fall of the Jedi</x:v>
      </x:c>
      <x:c r="D54" s="51" t="str">
        <x:v>The Clone Wars: Senate Spy</x:v>
      </x:c>
      <x:c r="E54" s="50" t="str">
        <x:v>Season 2, Episode 4</x:v>
      </x:c>
      <x:c r="F54" s="51" t="str">
        <x:v>Series aired October 3, 2008–May 4, 2020</x:v>
      </x:c>
      <x:c r="G54" s="51" t="str">
        <x:v>Canon</x:v>
      </x:c>
      <x:c r="H54" s="51" t="str">
        <x:v>Episode</x:v>
      </x:c>
      <x:c r="I54" s="51" t="str">
        <x:v>Disney+</x:v>
      </x:c>
      <x:c r="J54" s="58" t="e">
        <x:f>HYPERLINK("https://www.disneyplus.com/video/094ea69a-1e8f-44cd-9ebb-1551993b5129?cid=DTCI-Synergy-DDN-Site-Acquisition-StarWars-US-StarWars-StarWarsTheCloneWars-EN-BlogArticleEmbed-TCWChronological_StreamOnDisneyPlusCTA-NA","Watch")</x:f>
        <x:v>HYPERLINK is not implemented. linkLocation=https://www.disneyplus.com/video/094ea69a-1e8f-44cd-9ebb-1551993b5129?cid=DTCI-Synergy-DDN-Site-Acquisition-StarWars-US-StarWars-StarWarsTheCloneWars-EN-BlogArticleEmbed-TCWChronological_StreamOnDisneyPlusCTA-NA, friendlyName=Watch</x:v>
      </x:c>
      <x:c r="K54" s="52" t="str">
        <x:v>Season 2, Episode 4 · Episode guide</x:v>
      </x:c>
      <x:c r="L54" s="76" t="str"/>
      <x:c r="M54" s="76" t="str"/>
      <x:c r="N54" s="76" t="str"/>
      <x:c r="O54" s="76" t="str"/>
      <x:c r="P54" s="76" t="str"/>
      <x:c r="Q54" s="76" t="str"/>
      <x:c r="R54" s="76" t="str"/>
      <x:c r="S54" s="76" t="str"/>
      <x:c r="T54" s="76" t="str"/>
    </x:row>
    <x:row r="55" s="23" customFormat="1" ht="36" customHeight="1">
      <x:c r="A55" s="49" t="b">
        <x:v>0</x:v>
      </x:c>
      <x:c r="B55" s="50" t="str">
        <x:v>49</x:v>
      </x:c>
      <x:c r="C55" s="51" t="str">
        <x:v>Fall of the Jedi</x:v>
      </x:c>
      <x:c r="D55" s="51" t="str">
        <x:v>The Clone Wars: Landing at Point Rain</x:v>
      </x:c>
      <x:c r="E55" s="50" t="str">
        <x:v>Season 2, Episode 5</x:v>
      </x:c>
      <x:c r="F55" s="51" t="str">
        <x:v>Series aired October 3, 2008–May 4, 2020</x:v>
      </x:c>
      <x:c r="G55" s="51" t="str">
        <x:v>Canon</x:v>
      </x:c>
      <x:c r="H55" s="51" t="str">
        <x:v>Episode</x:v>
      </x:c>
      <x:c r="I55" s="51" t="str">
        <x:v>Disney+</x:v>
      </x:c>
      <x:c r="J55" s="58" t="e">
        <x:f>HYPERLINK("https://www.disneyplus.com/video/6ba55d34-2db4-4f82-b219-fc82500ca89a?cid=DTCI-Synergy-DDN-Site-Acquisition-StarWars-US-StarWars-StarWarsTheCloneWars-EN-BlogArticleEmbed-TCWChronological_StreamOnDisneyPlusCTA-NA","Watch")</x:f>
        <x:v>HYPERLINK is not implemented. linkLocation=https://www.disneyplus.com/video/6ba55d34-2db4-4f82-b219-fc82500ca89a?cid=DTCI-Synergy-DDN-Site-Acquisition-StarWars-US-StarWars-StarWarsTheCloneWars-EN-BlogArticleEmbed-TCWChronological_StreamOnDisneyPlusCTA-NA, friendlyName=Watch</x:v>
      </x:c>
      <x:c r="K55" s="52" t="str">
        <x:v>Season 2, Episode 5 · Episode guide</x:v>
      </x:c>
      <x:c r="L55" s="76" t="str"/>
      <x:c r="M55" s="76" t="str"/>
      <x:c r="N55" s="76" t="str"/>
      <x:c r="O55" s="76" t="str"/>
      <x:c r="P55" s="76" t="str"/>
      <x:c r="Q55" s="76" t="str"/>
      <x:c r="R55" s="76" t="str"/>
      <x:c r="S55" s="76" t="str"/>
      <x:c r="T55" s="76" t="str"/>
    </x:row>
    <x:row r="56" s="23" customFormat="1" ht="36" customHeight="1">
      <x:c r="A56" s="49" t="b">
        <x:v>0</x:v>
      </x:c>
      <x:c r="B56" s="50" t="str">
        <x:v>50</x:v>
      </x:c>
      <x:c r="C56" s="51" t="str">
        <x:v>Fall of the Jedi</x:v>
      </x:c>
      <x:c r="D56" s="51" t="str">
        <x:v>The Clone Wars: Weapons Factory</x:v>
      </x:c>
      <x:c r="E56" s="50" t="str">
        <x:v>Season 2, Episode 6</x:v>
      </x:c>
      <x:c r="F56" s="51" t="str">
        <x:v>Series aired October 3, 2008–May 4, 2020</x:v>
      </x:c>
      <x:c r="G56" s="51" t="str">
        <x:v>Canon</x:v>
      </x:c>
      <x:c r="H56" s="51" t="str">
        <x:v>Episode</x:v>
      </x:c>
      <x:c r="I56" s="51" t="str">
        <x:v>Disney+</x:v>
      </x:c>
      <x:c r="J56" s="58" t="e">
        <x:f>HYPERLINK("https://www.disneyplus.com/video/a4fc767f-a20d-4fb6-b8ce-5e9b6ec80dac?cid=DTCI-Synergy-DDN-Site-Acquisition-StarWars-US-StarWars-StarWarsTheCloneWars-EN-BlogArticleEmbed-TCWChronological_StreamOnDisneyPlusCTA-NA","Watch")</x:f>
        <x:v>HYPERLINK is not implemented. linkLocation=https://www.disneyplus.com/video/a4fc767f-a20d-4fb6-b8ce-5e9b6ec80dac?cid=DTCI-Synergy-DDN-Site-Acquisition-StarWars-US-StarWars-StarWarsTheCloneWars-EN-BlogArticleEmbed-TCWChronological_StreamOnDisneyPlusCTA-NA, friendlyName=Watch</x:v>
      </x:c>
      <x:c r="K56" s="52" t="str">
        <x:v>Season 2, Episode 6 · Episode guide</x:v>
      </x:c>
      <x:c r="L56" s="76" t="str"/>
      <x:c r="M56" s="76" t="str"/>
      <x:c r="N56" s="76" t="str"/>
      <x:c r="O56" s="76" t="str"/>
      <x:c r="P56" s="76" t="str"/>
      <x:c r="Q56" s="76" t="str"/>
      <x:c r="R56" s="76" t="str"/>
      <x:c r="S56" s="76" t="str"/>
      <x:c r="T56" s="76" t="str"/>
    </x:row>
    <x:row r="57" s="23" customFormat="1" ht="36" customHeight="1">
      <x:c r="A57" s="49" t="b">
        <x:v>0</x:v>
      </x:c>
      <x:c r="B57" s="50" t="str">
        <x:v>51</x:v>
      </x:c>
      <x:c r="C57" s="51" t="str">
        <x:v>Fall of the Jedi</x:v>
      </x:c>
      <x:c r="D57" s="51" t="str">
        <x:v>The Clone Wars: Legacy of Terror</x:v>
      </x:c>
      <x:c r="E57" s="50" t="str">
        <x:v>Season 2, Episode 7</x:v>
      </x:c>
      <x:c r="F57" s="51" t="str">
        <x:v>Series aired October 3, 2008–May 4, 2020</x:v>
      </x:c>
      <x:c r="G57" s="51" t="str">
        <x:v>Canon</x:v>
      </x:c>
      <x:c r="H57" s="51" t="str">
        <x:v>Episode</x:v>
      </x:c>
      <x:c r="I57" s="51" t="str">
        <x:v>Disney+</x:v>
      </x:c>
      <x:c r="J57" s="58" t="e">
        <x:f>HYPERLINK("https://www.disneyplus.com/video/ed8f1cb7-f3e3-4ab0-af03-888ba8b20d25?cid=DTCI-Synergy-DDN-Site-Acquisition-StarWars-US-StarWars-StarWarsTheCloneWars-EN-BlogArticleEmbed-TCWChronological_StreamOnDisneyPlusCTA-NA","Watch")</x:f>
        <x:v>HYPERLINK is not implemented. linkLocation=https://www.disneyplus.com/video/ed8f1cb7-f3e3-4ab0-af03-888ba8b20d25?cid=DTCI-Synergy-DDN-Site-Acquisition-StarWars-US-StarWars-StarWarsTheCloneWars-EN-BlogArticleEmbed-TCWChronological_StreamOnDisneyPlusCTA-NA, friendlyName=Watch</x:v>
      </x:c>
      <x:c r="K57" s="52" t="str">
        <x:v>Season 2, Episode 7 · Episode guide</x:v>
      </x:c>
      <x:c r="L57" s="76" t="str"/>
      <x:c r="M57" s="76" t="str"/>
      <x:c r="N57" s="76" t="str"/>
      <x:c r="O57" s="76" t="str"/>
      <x:c r="P57" s="76" t="str"/>
      <x:c r="Q57" s="76" t="str"/>
      <x:c r="R57" s="76" t="str"/>
      <x:c r="S57" s="76" t="str"/>
      <x:c r="T57" s="76" t="str"/>
    </x:row>
    <x:row r="58" s="23" customFormat="1" ht="36" customHeight="1">
      <x:c r="A58" s="49" t="b">
        <x:v>0</x:v>
      </x:c>
      <x:c r="B58" s="50" t="str">
        <x:v>52</x:v>
      </x:c>
      <x:c r="C58" s="51" t="str">
        <x:v>Fall of the Jedi</x:v>
      </x:c>
      <x:c r="D58" s="51" t="str">
        <x:v>The Clone Wars: Brain Invaders</x:v>
      </x:c>
      <x:c r="E58" s="50" t="str">
        <x:v>Season 2, Episode 8</x:v>
      </x:c>
      <x:c r="F58" s="51" t="str">
        <x:v>Series aired October 3, 2008–May 4, 2020</x:v>
      </x:c>
      <x:c r="G58" s="51" t="str">
        <x:v>Canon</x:v>
      </x:c>
      <x:c r="H58" s="51" t="str">
        <x:v>Episode</x:v>
      </x:c>
      <x:c r="I58" s="51" t="str">
        <x:v>Disney+</x:v>
      </x:c>
      <x:c r="J58" s="58" t="e">
        <x:f>HYPERLINK("https://www.disneyplus.com/video/521b49b5-26a5-4153-af04-3fc40e4ececd?cid=DTCI-Synergy-DDN-Site-Acquisition-StarWars-US-StarWars-StarWarsTheCloneWars-EN-BlogArticleEmbed-TCWChronological_StreamOnDisneyPlusCTA-NA","Watch")</x:f>
        <x:v>HYPERLINK is not implemented. linkLocation=https://www.disneyplus.com/video/521b49b5-26a5-4153-af04-3fc40e4ececd?cid=DTCI-Synergy-DDN-Site-Acquisition-StarWars-US-StarWars-StarWarsTheCloneWars-EN-BlogArticleEmbed-TCWChronological_StreamOnDisneyPlusCTA-NA, friendlyName=Watch</x:v>
      </x:c>
      <x:c r="K58" s="52" t="str">
        <x:v>Season 2, Episode 8 · Episode guide</x:v>
      </x:c>
      <x:c r="L58" s="76" t="str"/>
      <x:c r="M58" s="76" t="str"/>
      <x:c r="N58" s="76" t="str"/>
      <x:c r="O58" s="76" t="str"/>
      <x:c r="P58" s="76" t="str"/>
      <x:c r="Q58" s="76" t="str"/>
      <x:c r="R58" s="76" t="str"/>
      <x:c r="S58" s="76" t="str"/>
      <x:c r="T58" s="76" t="str"/>
    </x:row>
    <x:row r="59" s="23" customFormat="1" ht="36" customHeight="1">
      <x:c r="A59" s="49" t="b">
        <x:v>0</x:v>
      </x:c>
      <x:c r="B59" s="50" t="str">
        <x:v>53</x:v>
      </x:c>
      <x:c r="C59" s="51" t="str">
        <x:v>Fall of the Jedi</x:v>
      </x:c>
      <x:c r="D59" s="51" t="str">
        <x:v>The Clone Wars: Grievous Intrigue</x:v>
      </x:c>
      <x:c r="E59" s="50" t="str">
        <x:v>Season 2, Episode 9</x:v>
      </x:c>
      <x:c r="F59" s="51" t="str">
        <x:v>Series aired October 3, 2008–May 4, 2020</x:v>
      </x:c>
      <x:c r="G59" s="51" t="str">
        <x:v>Canon</x:v>
      </x:c>
      <x:c r="H59" s="51" t="str">
        <x:v>Episode</x:v>
      </x:c>
      <x:c r="I59" s="51" t="str">
        <x:v>Disney+</x:v>
      </x:c>
      <x:c r="J59" s="58" t="e">
        <x:f>HYPERLINK("https://www.disneyplus.com/video/83357ef1-f768-4f3b-8b03-2f0c2e4617e7?cid=DTCI-Synergy-DDN-Site-Acquisition-StarWars-US-StarWars-StarWarsTheCloneWars-EN-BlogArticleEmbed-TCWChronological_StreamOnDisneyPlusCTA-NA","Watch")</x:f>
        <x:v>HYPERLINK is not implemented. linkLocation=https://www.disneyplus.com/video/83357ef1-f768-4f3b-8b03-2f0c2e4617e7?cid=DTCI-Synergy-DDN-Site-Acquisition-StarWars-US-StarWars-StarWarsTheCloneWars-EN-BlogArticleEmbed-TCWChronological_StreamOnDisneyPlusCTA-NA, friendlyName=Watch</x:v>
      </x:c>
      <x:c r="K59" s="52" t="str">
        <x:v>Season 2, Episode 9 · Episode guide</x:v>
      </x:c>
      <x:c r="L59" s="76" t="str"/>
      <x:c r="M59" s="76" t="str"/>
      <x:c r="N59" s="76" t="str"/>
      <x:c r="O59" s="76" t="str"/>
      <x:c r="P59" s="76" t="str"/>
      <x:c r="Q59" s="76" t="str"/>
      <x:c r="R59" s="76" t="str"/>
      <x:c r="S59" s="76" t="str"/>
      <x:c r="T59" s="76" t="str"/>
    </x:row>
    <x:row r="60" s="23" customFormat="1" ht="36" customHeight="1">
      <x:c r="A60" s="49" t="b">
        <x:v>0</x:v>
      </x:c>
      <x:c r="B60" s="50" t="str">
        <x:v>54</x:v>
      </x:c>
      <x:c r="C60" s="51" t="str">
        <x:v>Fall of the Jedi</x:v>
      </x:c>
      <x:c r="D60" s="51" t="str">
        <x:v>The Clone Wars: The Deserter</x:v>
      </x:c>
      <x:c r="E60" s="50" t="str">
        <x:v>Season 2, Episode 10</x:v>
      </x:c>
      <x:c r="F60" s="51" t="str">
        <x:v>Series aired October 3, 2008–May 4, 2020</x:v>
      </x:c>
      <x:c r="G60" s="51" t="str">
        <x:v>Canon</x:v>
      </x:c>
      <x:c r="H60" s="51" t="str">
        <x:v>Episode</x:v>
      </x:c>
      <x:c r="I60" s="51" t="str">
        <x:v>Disney+</x:v>
      </x:c>
      <x:c r="J60" s="58" t="e">
        <x:f>HYPERLINK("https://www.disneyplus.com/video/09f9af96-40bd-4e9a-a18d-92fb9f373298?cid=DTCI-Synergy-DDN-Site-Acquisition-StarWars-US-StarWars-StarWarsTheCloneWars-EN-BlogArticleEmbed-TCWChronological_StreamOnDisneyPlusCTA-NA","Watch")</x:f>
        <x:v>HYPERLINK is not implemented. linkLocation=https://www.disneyplus.com/video/09f9af96-40bd-4e9a-a18d-92fb9f373298?cid=DTCI-Synergy-DDN-Site-Acquisition-StarWars-US-StarWars-StarWarsTheCloneWars-EN-BlogArticleEmbed-TCWChronological_StreamOnDisneyPlusCTA-NA, friendlyName=Watch</x:v>
      </x:c>
      <x:c r="K60" s="52" t="str">
        <x:v>Season 2, Episode 10 · Episode guide</x:v>
      </x:c>
      <x:c r="L60" s="76" t="str"/>
      <x:c r="M60" s="76" t="str"/>
      <x:c r="N60" s="76" t="str"/>
      <x:c r="O60" s="76" t="str"/>
      <x:c r="P60" s="76" t="str"/>
      <x:c r="Q60" s="76" t="str"/>
      <x:c r="R60" s="76" t="str"/>
      <x:c r="S60" s="76" t="str"/>
      <x:c r="T60" s="76" t="str"/>
    </x:row>
    <x:row r="61" s="23" customFormat="1" ht="36" customHeight="1">
      <x:c r="A61" s="49" t="b">
        <x:v>0</x:v>
      </x:c>
      <x:c r="B61" s="50" t="str">
        <x:v>55</x:v>
      </x:c>
      <x:c r="C61" s="51" t="str">
        <x:v>Fall of the Jedi</x:v>
      </x:c>
      <x:c r="D61" s="51" t="str">
        <x:v>The Clone Wars: Lightsaber Lost</x:v>
      </x:c>
      <x:c r="E61" s="50" t="str">
        <x:v>Season 2, Episode 11</x:v>
      </x:c>
      <x:c r="F61" s="51" t="str">
        <x:v>Series aired October 3, 2008–May 4, 2020</x:v>
      </x:c>
      <x:c r="G61" s="51" t="str">
        <x:v>Canon</x:v>
      </x:c>
      <x:c r="H61" s="51" t="str">
        <x:v>Episode</x:v>
      </x:c>
      <x:c r="I61" s="51" t="str">
        <x:v>Disney+</x:v>
      </x:c>
      <x:c r="J61" s="58" t="e">
        <x:f>HYPERLINK("https://www.disneyplus.com/video/07c0124a-5234-4c58-a2f0-79508e3b14b6?cid=DTCI-Synergy-DDN-Site-Acquisition-StarWars-US-StarWars-StarWarsTheCloneWars-EN-BlogArticleEmbed-TCWChronological_StreamOnDisneyPlusCTA-NA","Watch")</x:f>
        <x:v>HYPERLINK is not implemented. linkLocation=https://www.disneyplus.com/video/07c0124a-5234-4c58-a2f0-79508e3b14b6?cid=DTCI-Synergy-DDN-Site-Acquisition-StarWars-US-StarWars-StarWarsTheCloneWars-EN-BlogArticleEmbed-TCWChronological_StreamOnDisneyPlusCTA-NA, friendlyName=Watch</x:v>
      </x:c>
      <x:c r="K61" s="52" t="str">
        <x:v>Season 2, Episode 11 · Episode guide</x:v>
      </x:c>
      <x:c r="L61" s="76" t="str"/>
      <x:c r="M61" s="76" t="str"/>
      <x:c r="N61" s="76" t="str"/>
      <x:c r="O61" s="76" t="str"/>
      <x:c r="P61" s="76" t="str"/>
      <x:c r="Q61" s="76" t="str"/>
      <x:c r="R61" s="76" t="str"/>
      <x:c r="S61" s="76" t="str"/>
      <x:c r="T61" s="76" t="str"/>
    </x:row>
    <x:row r="62" s="23" customFormat="1" ht="36" customHeight="1">
      <x:c r="A62" s="49" t="b">
        <x:v>0</x:v>
      </x:c>
      <x:c r="B62" s="50" t="str">
        <x:v>56</x:v>
      </x:c>
      <x:c r="C62" s="51" t="str">
        <x:v>Fall of the Jedi</x:v>
      </x:c>
      <x:c r="D62" s="51" t="str">
        <x:v>The Clone Wars: The Mandalore Plot</x:v>
      </x:c>
      <x:c r="E62" s="50" t="str">
        <x:v>Season 2, Episode 12</x:v>
      </x:c>
      <x:c r="F62" s="51" t="str">
        <x:v>Series aired October 3, 2008–May 4, 2020</x:v>
      </x:c>
      <x:c r="G62" s="51" t="str">
        <x:v>Canon</x:v>
      </x:c>
      <x:c r="H62" s="51" t="str">
        <x:v>Episode</x:v>
      </x:c>
      <x:c r="I62" s="51" t="str">
        <x:v>Disney+</x:v>
      </x:c>
      <x:c r="J62" s="58" t="e">
        <x:f>HYPERLINK("https://www.disneyplus.com/video/91d2a7e2-8eb1-411d-941e-4bd8babe4e55?cid=DTCI-Synergy-DDN-Site-Acquisition-StarWars-US-StarWars-StarWarsTheCloneWars-EN-BlogArticleEmbed-TCWChronological_StreamOnDisneyPlusCTA-NA","Watch")</x:f>
        <x:v>HYPERLINK is not implemented. linkLocation=https://www.disneyplus.com/video/91d2a7e2-8eb1-411d-941e-4bd8babe4e55?cid=DTCI-Synergy-DDN-Site-Acquisition-StarWars-US-StarWars-StarWarsTheCloneWars-EN-BlogArticleEmbed-TCWChronological_StreamOnDisneyPlusCTA-NA, friendlyName=Watch</x:v>
      </x:c>
      <x:c r="K62" s="52" t="str">
        <x:v>Season 2, Episode 12 · Episode guide</x:v>
      </x:c>
      <x:c r="L62" s="76" t="str"/>
      <x:c r="M62" s="76" t="str"/>
      <x:c r="N62" s="76" t="str"/>
      <x:c r="O62" s="76" t="str"/>
      <x:c r="P62" s="76" t="str"/>
      <x:c r="Q62" s="76" t="str"/>
      <x:c r="R62" s="76" t="str"/>
      <x:c r="S62" s="76" t="str"/>
      <x:c r="T62" s="76" t="str"/>
    </x:row>
    <x:row r="63" s="23" customFormat="1" ht="36" customHeight="1">
      <x:c r="A63" s="49" t="b">
        <x:v>0</x:v>
      </x:c>
      <x:c r="B63" s="50" t="str">
        <x:v>57</x:v>
      </x:c>
      <x:c r="C63" s="51" t="str">
        <x:v>Fall of the Jedi</x:v>
      </x:c>
      <x:c r="D63" s="51" t="str">
        <x:v>The Clone Wars: Voyage of Temptation</x:v>
      </x:c>
      <x:c r="E63" s="50" t="str">
        <x:v>Season 2, Episode 13</x:v>
      </x:c>
      <x:c r="F63" s="51" t="str">
        <x:v>Series aired October 3, 2008–May 4, 2020</x:v>
      </x:c>
      <x:c r="G63" s="51" t="str">
        <x:v>Canon</x:v>
      </x:c>
      <x:c r="H63" s="51" t="str">
        <x:v>Episode</x:v>
      </x:c>
      <x:c r="I63" s="51" t="str">
        <x:v>Disney+</x:v>
      </x:c>
      <x:c r="J63" s="58" t="e">
        <x:f>HYPERLINK("https://www.disneyplus.com/video/9d2c4240-5a2e-4f2a-ab88-628a5dc68540?cid=DTCI-Synergy-DDN-Site-Acquisition-StarWars-US-StarWars-StarWarsTheCloneWars-EN-BlogArticleEmbed-TCWChronological_StreamOnDisneyPlusCTA-NA","Watch")</x:f>
        <x:v>HYPERLINK is not implemented. linkLocation=https://www.disneyplus.com/video/9d2c4240-5a2e-4f2a-ab88-628a5dc68540?cid=DTCI-Synergy-DDN-Site-Acquisition-StarWars-US-StarWars-StarWarsTheCloneWars-EN-BlogArticleEmbed-TCWChronological_StreamOnDisneyPlusCTA-NA, friendlyName=Watch</x:v>
      </x:c>
      <x:c r="K63" s="52" t="str">
        <x:v>Season 2, Episode 13 · Episode guide</x:v>
      </x:c>
      <x:c r="L63" s="76" t="str"/>
      <x:c r="M63" s="76" t="str"/>
      <x:c r="N63" s="76" t="str"/>
      <x:c r="O63" s="76" t="str"/>
      <x:c r="P63" s="76" t="str"/>
      <x:c r="Q63" s="76" t="str"/>
      <x:c r="R63" s="76" t="str"/>
      <x:c r="S63" s="76" t="str"/>
      <x:c r="T63" s="76" t="str"/>
    </x:row>
    <x:row r="64" s="23" customFormat="1" ht="36" customHeight="1">
      <x:c r="A64" s="49" t="b">
        <x:v>0</x:v>
      </x:c>
      <x:c r="B64" s="50" t="str">
        <x:v>58</x:v>
      </x:c>
      <x:c r="C64" s="51" t="str">
        <x:v>Fall of the Jedi</x:v>
      </x:c>
      <x:c r="D64" s="51" t="str">
        <x:v>The Clone Wars: Duchess of Mandalore</x:v>
      </x:c>
      <x:c r="E64" s="50" t="str">
        <x:v>Season 2, Episode 14</x:v>
      </x:c>
      <x:c r="F64" s="51" t="str">
        <x:v>Series aired October 3, 2008–May 4, 2020</x:v>
      </x:c>
      <x:c r="G64" s="51" t="str">
        <x:v>Canon</x:v>
      </x:c>
      <x:c r="H64" s="51" t="str">
        <x:v>Episode</x:v>
      </x:c>
      <x:c r="I64" s="51" t="str">
        <x:v>Disney+</x:v>
      </x:c>
      <x:c r="J64" s="58" t="e">
        <x:f>HYPERLINK("https://www.disneyplus.com/video/9aedb852-9abb-4c59-95c3-58f1bfb0cef6?cid=DTCI-Synergy-DDN-Site-Acquisition-StarWars-US-StarWars-StarWarsTheCloneWars-EN-BlogArticleEmbed-TCWChronological_StreamOnDisneyPlusCTA-NA","Watch")</x:f>
        <x:v>HYPERLINK is not implemented. linkLocation=https://www.disneyplus.com/video/9aedb852-9abb-4c59-95c3-58f1bfb0cef6?cid=DTCI-Synergy-DDN-Site-Acquisition-StarWars-US-StarWars-StarWarsTheCloneWars-EN-BlogArticleEmbed-TCWChronological_StreamOnDisneyPlusCTA-NA, friendlyName=Watch</x:v>
      </x:c>
      <x:c r="K64" s="52" t="str">
        <x:v>Season 2, Episode 14 · Episode guide</x:v>
      </x:c>
      <x:c r="L64" s="76" t="str"/>
      <x:c r="M64" s="76" t="str"/>
      <x:c r="N64" s="76" t="str"/>
      <x:c r="O64" s="76" t="str"/>
      <x:c r="P64" s="76" t="str"/>
      <x:c r="Q64" s="76" t="str"/>
      <x:c r="R64" s="76" t="str"/>
      <x:c r="S64" s="76" t="str"/>
      <x:c r="T64" s="76" t="str"/>
    </x:row>
    <x:row r="65" s="23" customFormat="1" ht="36" customHeight="1">
      <x:c r="A65" s="49" t="b">
        <x:v>0</x:v>
      </x:c>
      <x:c r="B65" s="50" t="str">
        <x:v>59</x:v>
      </x:c>
      <x:c r="C65" s="51" t="str">
        <x:v>Fall of the Jedi</x:v>
      </x:c>
      <x:c r="D65" s="51" t="str">
        <x:v>The Clone Wars: Death Trap</x:v>
      </x:c>
      <x:c r="E65" s="50" t="str">
        <x:v>Season 2, Episode 20</x:v>
      </x:c>
      <x:c r="F65" s="51" t="str">
        <x:v>Series aired October 3, 2008–May 4, 2020</x:v>
      </x:c>
      <x:c r="G65" s="51" t="str">
        <x:v>Canon</x:v>
      </x:c>
      <x:c r="H65" s="51" t="str">
        <x:v>Episode</x:v>
      </x:c>
      <x:c r="I65" s="51" t="str">
        <x:v>Disney+</x:v>
      </x:c>
      <x:c r="J65" s="58" t="e">
        <x:f>HYPERLINK("https://www.disneyplus.com/video/c60abd64-34bd-4141-ab53-3a265a929a7b?cid=DTCI-Synergy-DDN-Site-Acquisition-StarWars-US-StarWars-StarWarsTheCloneWars-EN-BlogArticleEmbed-TCWChronological_StreamOnDisneyPlusCTA-NA","Watch")</x:f>
        <x:v>HYPERLINK is not implemented. linkLocation=https://www.disneyplus.com/video/c60abd64-34bd-4141-ab53-3a265a929a7b?cid=DTCI-Synergy-DDN-Site-Acquisition-StarWars-US-StarWars-StarWarsTheCloneWars-EN-BlogArticleEmbed-TCWChronological_StreamOnDisneyPlusCTA-NA, friendlyName=Watch</x:v>
      </x:c>
      <x:c r="K65" s="52" t="str">
        <x:v>Season 2, Episode 20 · Episode guide</x:v>
      </x:c>
      <x:c r="L65" s="76" t="str"/>
      <x:c r="M65" s="76" t="str"/>
      <x:c r="N65" s="76" t="str"/>
      <x:c r="O65" s="76" t="str"/>
      <x:c r="P65" s="76" t="str"/>
      <x:c r="Q65" s="76" t="str"/>
      <x:c r="R65" s="76" t="str"/>
      <x:c r="S65" s="76" t="str"/>
      <x:c r="T65" s="76" t="str"/>
    </x:row>
    <x:row r="66" s="23" customFormat="1" ht="36" customHeight="1">
      <x:c r="A66" s="49" t="b">
        <x:v>0</x:v>
      </x:c>
      <x:c r="B66" s="50" t="str">
        <x:v>60</x:v>
      </x:c>
      <x:c r="C66" s="51" t="str">
        <x:v>Fall of the Jedi</x:v>
      </x:c>
      <x:c r="D66" s="51" t="str">
        <x:v>The Clone Wars: R2 Come Home</x:v>
      </x:c>
      <x:c r="E66" s="50" t="str">
        <x:v>Season 2, Episode 21</x:v>
      </x:c>
      <x:c r="F66" s="51" t="str">
        <x:v>Series aired October 3, 2008–May 4, 2020</x:v>
      </x:c>
      <x:c r="G66" s="51" t="str">
        <x:v>Canon</x:v>
      </x:c>
      <x:c r="H66" s="51" t="str">
        <x:v>Episode</x:v>
      </x:c>
      <x:c r="I66" s="51" t="str">
        <x:v>Disney+</x:v>
      </x:c>
      <x:c r="J66" s="58" t="e">
        <x:f>HYPERLINK("https://www.disneyplus.com/video/28034e35-c413-4219-8072-444cef55bd64?cid=DTCI-Synergy-DDN-Site-Acquisition-StarWars-US-StarWars-StarWarsTheCloneWars-EN-BlogArticleEmbed-TCWChronological_StreamOnDisneyPlusCTA-NA","Watch")</x:f>
        <x:v>HYPERLINK is not implemented. linkLocation=https://www.disneyplus.com/video/28034e35-c413-4219-8072-444cef55bd64?cid=DTCI-Synergy-DDN-Site-Acquisition-StarWars-US-StarWars-StarWarsTheCloneWars-EN-BlogArticleEmbed-TCWChronological_StreamOnDisneyPlusCTA-NA, friendlyName=Watch</x:v>
      </x:c>
      <x:c r="K66" s="52" t="str">
        <x:v>Season 2, Episode 21 · Episode guide</x:v>
      </x:c>
      <x:c r="L66" s="76" t="str"/>
      <x:c r="M66" s="76" t="str"/>
      <x:c r="N66" s="76" t="str"/>
      <x:c r="O66" s="76" t="str"/>
      <x:c r="P66" s="76" t="str"/>
      <x:c r="Q66" s="76" t="str"/>
      <x:c r="R66" s="76" t="str"/>
      <x:c r="S66" s="76" t="str"/>
      <x:c r="T66" s="76" t="str"/>
    </x:row>
    <x:row r="67" s="23" customFormat="1" ht="36" customHeight="1">
      <x:c r="A67" s="49" t="b">
        <x:v>0</x:v>
      </x:c>
      <x:c r="B67" s="50" t="str">
        <x:v>61</x:v>
      </x:c>
      <x:c r="C67" s="51" t="str">
        <x:v>Fall of the Jedi</x:v>
      </x:c>
      <x:c r="D67" s="51" t="str">
        <x:v>The Clone Wars: Lethal Trackdown</x:v>
      </x:c>
      <x:c r="E67" s="50" t="str">
        <x:v>Season 2, Episode 22</x:v>
      </x:c>
      <x:c r="F67" s="51" t="str">
        <x:v>Series aired October 3, 2008–May 4, 2020</x:v>
      </x:c>
      <x:c r="G67" s="51" t="str">
        <x:v>Canon</x:v>
      </x:c>
      <x:c r="H67" s="51" t="str">
        <x:v>Episode</x:v>
      </x:c>
      <x:c r="I67" s="51" t="str">
        <x:v>Disney+</x:v>
      </x:c>
      <x:c r="J67" s="58" t="e">
        <x:f>HYPERLINK("https://www.disneyplus.com/video/eccba821-6a8a-4007-8ea2-1995ffe5637d?cid=DTCI-Synergy-DDN-Site-Acquisition-StarWars-US-StarWars-StarWarsTheCloneWars-EN-BlogArticleEmbed-TCWChronological_StreamOnDisneyPlusCTA-NA","Watch")</x:f>
        <x:v>HYPERLINK is not implemented. linkLocation=https://www.disneyplus.com/video/eccba821-6a8a-4007-8ea2-1995ffe5637d?cid=DTCI-Synergy-DDN-Site-Acquisition-StarWars-US-StarWars-StarWarsTheCloneWars-EN-BlogArticleEmbed-TCWChronological_StreamOnDisneyPlusCTA-NA, friendlyName=Watch</x:v>
      </x:c>
      <x:c r="K67" s="52" t="str">
        <x:v>Season 2, Episode 22 · Episode guide</x:v>
      </x:c>
      <x:c r="L67" s="76" t="str"/>
      <x:c r="M67" s="76" t="str"/>
      <x:c r="N67" s="76" t="str"/>
      <x:c r="O67" s="76" t="str"/>
      <x:c r="P67" s="76" t="str"/>
      <x:c r="Q67" s="76" t="str"/>
      <x:c r="R67" s="76" t="str"/>
      <x:c r="S67" s="76" t="str"/>
      <x:c r="T67" s="76" t="str"/>
    </x:row>
    <x:row r="68" s="23" customFormat="1" ht="36" customHeight="1">
      <x:c r="A68" s="49" t="b">
        <x:v>0</x:v>
      </x:c>
      <x:c r="B68" s="50" t="str">
        <x:v>62</x:v>
      </x:c>
      <x:c r="C68" s="51" t="str">
        <x:v>Fall of the Jedi</x:v>
      </x:c>
      <x:c r="D68" s="51" t="str">
        <x:v>The Clone Wars: Corruption</x:v>
      </x:c>
      <x:c r="E68" s="50" t="str">
        <x:v>Season 3, Episode 5</x:v>
      </x:c>
      <x:c r="F68" s="51" t="str">
        <x:v>Series aired October 3, 2008–May 4, 2020</x:v>
      </x:c>
      <x:c r="G68" s="51" t="str">
        <x:v>Canon</x:v>
      </x:c>
      <x:c r="H68" s="51" t="str">
        <x:v>Episode</x:v>
      </x:c>
      <x:c r="I68" s="51" t="str">
        <x:v>Disney+</x:v>
      </x:c>
      <x:c r="J68" s="58" t="e">
        <x:f>HYPERLINK("https://www.disneyplus.com/video/3ce7a07a-460a-4e02-9fe9-e7240bff2b01?cid=DTCI-Synergy-DDN-Site-Acquisition-StarWars-US-StarWars-StarWarsTheCloneWars-EN-BlogArticleEmbed-TCWChronological_StreamOnDisneyPlusCTA-NA","Watch")</x:f>
        <x:v>HYPERLINK is not implemented. linkLocation=https://www.disneyplus.com/video/3ce7a07a-460a-4e02-9fe9-e7240bff2b01?cid=DTCI-Synergy-DDN-Site-Acquisition-StarWars-US-StarWars-StarWarsTheCloneWars-EN-BlogArticleEmbed-TCWChronological_StreamOnDisneyPlusCTA-NA, friendlyName=Watch</x:v>
      </x:c>
      <x:c r="K68" s="52" t="str">
        <x:v>Season 3, Episode 5 · Episode guide</x:v>
      </x:c>
      <x:c r="L68" s="76" t="str"/>
      <x:c r="M68" s="76" t="str"/>
      <x:c r="N68" s="76" t="str"/>
      <x:c r="O68" s="76" t="str"/>
      <x:c r="P68" s="76" t="str"/>
      <x:c r="Q68" s="76" t="str"/>
      <x:c r="R68" s="76" t="str"/>
      <x:c r="S68" s="76" t="str"/>
      <x:c r="T68" s="76" t="str"/>
    </x:row>
    <x:row r="69" s="23" customFormat="1" ht="36" customHeight="1">
      <x:c r="A69" s="49" t="b">
        <x:v>0</x:v>
      </x:c>
      <x:c r="B69" s="50" t="str">
        <x:v>63</x:v>
      </x:c>
      <x:c r="C69" s="51" t="str">
        <x:v>Fall of the Jedi</x:v>
      </x:c>
      <x:c r="D69" s="51" t="str">
        <x:v>The Clone Wars: The Academy</x:v>
      </x:c>
      <x:c r="E69" s="50" t="str">
        <x:v>Season 3, Episode 6</x:v>
      </x:c>
      <x:c r="F69" s="51" t="str">
        <x:v>Series aired October 3, 2008–May 4, 2020</x:v>
      </x:c>
      <x:c r="G69" s="51" t="str">
        <x:v>Canon</x:v>
      </x:c>
      <x:c r="H69" s="51" t="str">
        <x:v>Episode</x:v>
      </x:c>
      <x:c r="I69" s="51" t="str">
        <x:v>Disney+</x:v>
      </x:c>
      <x:c r="J69" s="58" t="e">
        <x:f>HYPERLINK("https://www.disneyplus.com/video/f464497e-a4e5-44db-922e-d44d1a70fd73?cid=DTCI-Synergy-DDN-Site-Acquisition-StarWars-US-StarWars-StarWarsTheCloneWars-EN-BlogArticleEmbed-TCWChronological_StreamOnDisneyPlusCTA-NA","Watch")</x:f>
        <x:v>HYPERLINK is not implemented. linkLocation=https://www.disneyplus.com/video/f464497e-a4e5-44db-922e-d44d1a70fd73?cid=DTCI-Synergy-DDN-Site-Acquisition-StarWars-US-StarWars-StarWarsTheCloneWars-EN-BlogArticleEmbed-TCWChronological_StreamOnDisneyPlusCTA-NA, friendlyName=Watch</x:v>
      </x:c>
      <x:c r="K69" s="52" t="str">
        <x:v>Season 3, Episode 6 · Episode guide</x:v>
      </x:c>
      <x:c r="L69" s="76" t="str"/>
      <x:c r="M69" s="76" t="str"/>
      <x:c r="N69" s="76" t="str"/>
      <x:c r="O69" s="76" t="str"/>
      <x:c r="P69" s="76" t="str"/>
      <x:c r="Q69" s="76" t="str"/>
      <x:c r="R69" s="76" t="str"/>
      <x:c r="S69" s="76" t="str"/>
      <x:c r="T69" s="76" t="str"/>
    </x:row>
    <x:row r="70" s="23" customFormat="1" ht="36" customHeight="1">
      <x:c r="A70" s="49" t="b">
        <x:v>0</x:v>
      </x:c>
      <x:c r="B70" s="50" t="str">
        <x:v>64</x:v>
      </x:c>
      <x:c r="C70" s="51" t="str">
        <x:v>Fall of the Jedi</x:v>
      </x:c>
      <x:c r="D70" s="51" t="str">
        <x:v>The Clone Wars: Assassin</x:v>
      </x:c>
      <x:c r="E70" s="50" t="str">
        <x:v>Season 3, Episode 7</x:v>
      </x:c>
      <x:c r="F70" s="51" t="str">
        <x:v>Series aired October 3, 2008–May 4, 2020</x:v>
      </x:c>
      <x:c r="G70" s="51" t="str">
        <x:v>Canon</x:v>
      </x:c>
      <x:c r="H70" s="51" t="str">
        <x:v>Episode</x:v>
      </x:c>
      <x:c r="I70" s="51" t="str">
        <x:v>Disney+</x:v>
      </x:c>
      <x:c r="J70" s="58" t="e">
        <x:f>HYPERLINK("https://www.disneyplus.com/video/652f203c-8b9a-4b3f-981a-59915aa99cfb?cid=DTCI-Synergy-DDN-Site-Acquisition-StarWars-US-StarWars-StarWarsTheCloneWars-EN-BlogArticleEmbed-TCWChronological_StreamOnDisneyPlusCTA-NA","Watch")</x:f>
        <x:v>HYPERLINK is not implemented. linkLocation=https://www.disneyplus.com/video/652f203c-8b9a-4b3f-981a-59915aa99cfb?cid=DTCI-Synergy-DDN-Site-Acquisition-StarWars-US-StarWars-StarWarsTheCloneWars-EN-BlogArticleEmbed-TCWChronological_StreamOnDisneyPlusCTA-NA, friendlyName=Watch</x:v>
      </x:c>
      <x:c r="K70" s="52" t="str">
        <x:v>Season 3, Episode 7 · Episode guide</x:v>
      </x:c>
      <x:c r="L70" s="76" t="str"/>
      <x:c r="M70" s="76" t="str"/>
      <x:c r="N70" s="76" t="str"/>
      <x:c r="O70" s="76" t="str"/>
      <x:c r="P70" s="76" t="str"/>
      <x:c r="Q70" s="76" t="str"/>
      <x:c r="R70" s="76" t="str"/>
      <x:c r="S70" s="76" t="str"/>
      <x:c r="T70" s="76" t="str"/>
    </x:row>
    <x:row r="71" s="23" customFormat="1" ht="36" customHeight="1">
      <x:c r="A71" s="49" t="b">
        <x:v>0</x:v>
      </x:c>
      <x:c r="B71" s="50" t="str">
        <x:v>65</x:v>
      </x:c>
      <x:c r="C71" s="51" t="str">
        <x:v>Fall of the Jedi</x:v>
      </x:c>
      <x:c r="D71" s="51" t="str">
        <x:v>The Clone Wars: ARC Troopers</x:v>
      </x:c>
      <x:c r="E71" s="50" t="str">
        <x:v>Season 3, Episode 2</x:v>
      </x:c>
      <x:c r="F71" s="51" t="str">
        <x:v>Series aired October 3, 2008–May 4, 2020</x:v>
      </x:c>
      <x:c r="G71" s="51" t="str">
        <x:v>Canon</x:v>
      </x:c>
      <x:c r="H71" s="51" t="str">
        <x:v>Episode</x:v>
      </x:c>
      <x:c r="I71" s="51" t="str">
        <x:v>Disney+</x:v>
      </x:c>
      <x:c r="J71" s="58" t="e">
        <x:f>HYPERLINK("https://www.disneyplus.com/video/6e2c8c2f-a7ce-49d5-ad90-88f4a97eb303?cid=DTCI-Synergy-DDN-Site-Acquisition-StarWars-US-StarWars-StarWarsTheCloneWars-EN-BlogArticleEmbed-TCWChronological_StreamOnDisneyPlusCTA-NA","Watch")</x:f>
        <x:v>HYPERLINK is not implemented. linkLocation=https://www.disneyplus.com/video/6e2c8c2f-a7ce-49d5-ad90-88f4a97eb303?cid=DTCI-Synergy-DDN-Site-Acquisition-StarWars-US-StarWars-StarWarsTheCloneWars-EN-BlogArticleEmbed-TCWChronological_StreamOnDisneyPlusCTA-NA, friendlyName=Watch</x:v>
      </x:c>
      <x:c r="K71" s="52" t="str">
        <x:v>Season 3, Episode 2 · Episode guide</x:v>
      </x:c>
      <x:c r="L71" s="76" t="str"/>
      <x:c r="M71" s="76" t="str"/>
      <x:c r="N71" s="76" t="str"/>
      <x:c r="O71" s="76" t="str"/>
      <x:c r="P71" s="76" t="str"/>
      <x:c r="Q71" s="76" t="str"/>
      <x:c r="R71" s="76" t="str"/>
      <x:c r="S71" s="76" t="str"/>
      <x:c r="T71" s="76" t="str"/>
    </x:row>
    <x:row r="72" s="23" customFormat="1" ht="36" customHeight="1">
      <x:c r="A72" s="49" t="b">
        <x:v>0</x:v>
      </x:c>
      <x:c r="B72" s="50" t="str">
        <x:v>66</x:v>
      </x:c>
      <x:c r="C72" s="51" t="str">
        <x:v>Fall of the Jedi</x:v>
      </x:c>
      <x:c r="D72" s="51" t="str">
        <x:v>The Clone Wars: Sphere of Influence</x:v>
      </x:c>
      <x:c r="E72" s="50" t="str">
        <x:v>Season 3, Episode 4</x:v>
      </x:c>
      <x:c r="F72" s="51" t="str">
        <x:v>Series aired October 3, 2008–May 4, 2020</x:v>
      </x:c>
      <x:c r="G72" s="51" t="str">
        <x:v>Canon</x:v>
      </x:c>
      <x:c r="H72" s="51" t="str">
        <x:v>Episode</x:v>
      </x:c>
      <x:c r="I72" s="51" t="str">
        <x:v>Disney+</x:v>
      </x:c>
      <x:c r="J72" s="58" t="e">
        <x:f>HYPERLINK("https://www.disneyplus.com/video/b091b508-0880-4cb6-9d2b-24c2075acd52?cid=DTCI-Synergy-DDN-Site-Acquisition-StarWars-US-StarWars-StarWarsTheCloneWars-EN-BlogArticleEmbed-TCWChronological_StreamOnDisneyPlusCTA-NA","Watch")</x:f>
        <x:v>HYPERLINK is not implemented. linkLocation=https://www.disneyplus.com/video/b091b508-0880-4cb6-9d2b-24c2075acd52?cid=DTCI-Synergy-DDN-Site-Acquisition-StarWars-US-StarWars-StarWarsTheCloneWars-EN-BlogArticleEmbed-TCWChronological_StreamOnDisneyPlusCTA-NA, friendlyName=Watch</x:v>
      </x:c>
      <x:c r="K72" s="52" t="str">
        <x:v>Season 3, Episode 4 · Episode guide</x:v>
      </x:c>
      <x:c r="L72" s="76" t="str"/>
      <x:c r="M72" s="76" t="str"/>
      <x:c r="N72" s="76" t="str"/>
      <x:c r="O72" s="76" t="str"/>
      <x:c r="P72" s="76" t="str"/>
      <x:c r="Q72" s="76" t="str"/>
      <x:c r="R72" s="76" t="str"/>
      <x:c r="S72" s="76" t="str"/>
      <x:c r="T72" s="76" t="str"/>
    </x:row>
    <x:row r="73" s="23" customFormat="1" ht="36" customHeight="1">
      <x:c r="A73" s="49" t="b">
        <x:v>0</x:v>
      </x:c>
      <x:c r="B73" s="50" t="str">
        <x:v>67</x:v>
      </x:c>
      <x:c r="C73" s="51" t="str">
        <x:v>Fall of the Jedi</x:v>
      </x:c>
      <x:c r="D73" s="51" t="str">
        <x:v>The Clone Wars: Evil Plans</x:v>
      </x:c>
      <x:c r="E73" s="50" t="str">
        <x:v>Season 3, Episode 8</x:v>
      </x:c>
      <x:c r="F73" s="51" t="str">
        <x:v>Series aired October 3, 2008–May 4, 2020</x:v>
      </x:c>
      <x:c r="G73" s="51" t="str">
        <x:v>Canon</x:v>
      </x:c>
      <x:c r="H73" s="51" t="str">
        <x:v>Episode</x:v>
      </x:c>
      <x:c r="I73" s="51" t="str">
        <x:v>Disney+</x:v>
      </x:c>
      <x:c r="J73" s="58" t="e">
        <x:f>HYPERLINK("https://www.disneyplus.com/video/c69bad71-ab68-4c2c-8da7-add1e929b6bd?cid=DTCI-Synergy-DDN-Site-Acquisition-StarWars-US-StarWars-StarWarsTheCloneWars-EN-BlogArticleEmbed-TCWChronological_StreamOnDisneyPlusCTA-NA","Watch")</x:f>
        <x:v>HYPERLINK is not implemented. linkLocation=https://www.disneyplus.com/video/c69bad71-ab68-4c2c-8da7-add1e929b6bd?cid=DTCI-Synergy-DDN-Site-Acquisition-StarWars-US-StarWars-StarWarsTheCloneWars-EN-BlogArticleEmbed-TCWChronological_StreamOnDisneyPlusCTA-NA, friendlyName=Watch</x:v>
      </x:c>
      <x:c r="K73" s="52" t="str">
        <x:v>Season 3, Episode 8 · Episode guide</x:v>
      </x:c>
      <x:c r="L73" s="76" t="str"/>
      <x:c r="M73" s="76" t="str"/>
      <x:c r="N73" s="76" t="str"/>
      <x:c r="O73" s="76" t="str"/>
      <x:c r="P73" s="76" t="str"/>
      <x:c r="Q73" s="76" t="str"/>
      <x:c r="R73" s="76" t="str"/>
      <x:c r="S73" s="76" t="str"/>
      <x:c r="T73" s="76" t="str"/>
    </x:row>
    <x:row r="74" s="23" customFormat="1" ht="36" customHeight="1">
      <x:c r="A74" s="49" t="b">
        <x:v>0</x:v>
      </x:c>
      <x:c r="B74" s="50" t="str">
        <x:v>68</x:v>
      </x:c>
      <x:c r="C74" s="51" t="str">
        <x:v>Fall of the Jedi</x:v>
      </x:c>
      <x:c r="D74" s="51" t="str">
        <x:v>The Clone Wars: Hostage Crisis</x:v>
      </x:c>
      <x:c r="E74" s="50" t="str">
        <x:v>Season 1, Episode 22</x:v>
      </x:c>
      <x:c r="F74" s="51" t="str">
        <x:v>Series aired October 3, 2008–May 4, 2020</x:v>
      </x:c>
      <x:c r="G74" s="51" t="str">
        <x:v>Canon</x:v>
      </x:c>
      <x:c r="H74" s="51" t="str">
        <x:v>Episode</x:v>
      </x:c>
      <x:c r="I74" s="51" t="str">
        <x:v>Disney+</x:v>
      </x:c>
      <x:c r="J74" s="58" t="e">
        <x:f>HYPERLINK("https://www.disneyplus.com/video/fd88476e-ab17-437e-94e3-7465b5adda40?cid=DTCI-Synergy-DDN-Site-Acquisition-StarWars-US-StarWars-StarWarsTheCloneWars-EN-BlogArticleEmbed-TCWChronological_StreamOnDisneyPlusCTA-NA","Watch")</x:f>
        <x:v>HYPERLINK is not implemented. linkLocation=https://www.disneyplus.com/video/fd88476e-ab17-437e-94e3-7465b5adda40?cid=DTCI-Synergy-DDN-Site-Acquisition-StarWars-US-StarWars-StarWarsTheCloneWars-EN-BlogArticleEmbed-TCWChronological_StreamOnDisneyPlusCTA-NA, friendlyName=Watch</x:v>
      </x:c>
      <x:c r="K74" s="52" t="str">
        <x:v>Season 1, Episode 22 · Episode guide</x:v>
      </x:c>
      <x:c r="L74" s="76" t="str"/>
      <x:c r="M74" s="76" t="str"/>
      <x:c r="N74" s="76" t="str"/>
      <x:c r="O74" s="76" t="str"/>
      <x:c r="P74" s="76" t="str"/>
      <x:c r="Q74" s="76" t="str"/>
      <x:c r="R74" s="76" t="str"/>
      <x:c r="S74" s="76" t="str"/>
      <x:c r="T74" s="76" t="str"/>
    </x:row>
    <x:row r="75" s="23" customFormat="1" ht="36" customHeight="1">
      <x:c r="A75" s="49" t="b">
        <x:v>0</x:v>
      </x:c>
      <x:c r="B75" s="50" t="str">
        <x:v>69</x:v>
      </x:c>
      <x:c r="C75" s="51" t="str">
        <x:v>Fall of the Jedi</x:v>
      </x:c>
      <x:c r="D75" s="51" t="str">
        <x:v>The Clone Wars: Hunt for Ziro</x:v>
      </x:c>
      <x:c r="E75" s="50" t="str">
        <x:v>Season 3, Episode 9</x:v>
      </x:c>
      <x:c r="F75" s="51" t="str">
        <x:v>Series aired October 3, 2008–May 4, 2020</x:v>
      </x:c>
      <x:c r="G75" s="51" t="str">
        <x:v>Canon</x:v>
      </x:c>
      <x:c r="H75" s="51" t="str">
        <x:v>Episode</x:v>
      </x:c>
      <x:c r="I75" s="51" t="str">
        <x:v>Disney+</x:v>
      </x:c>
      <x:c r="J75" s="58" t="e">
        <x:f>HYPERLINK("https://www.disneyplus.com/video/b6d7ab23-6fa5-4311-973c-0eebb8e62133?cid=DTCI-Synergy-DDN-Site-Acquisition-StarWars-US-StarWars-StarWarsTheCloneWars-EN-BlogArticleEmbed-TCWChronological_StreamOnDisneyPlusCTA-NA","Watch")</x:f>
        <x:v>HYPERLINK is not implemented. linkLocation=https://www.disneyplus.com/video/b6d7ab23-6fa5-4311-973c-0eebb8e62133?cid=DTCI-Synergy-DDN-Site-Acquisition-StarWars-US-StarWars-StarWarsTheCloneWars-EN-BlogArticleEmbed-TCWChronological_StreamOnDisneyPlusCTA-NA, friendlyName=Watch</x:v>
      </x:c>
      <x:c r="K75" s="52" t="str">
        <x:v>Season 3, Episode 9 · Episode guide</x:v>
      </x:c>
      <x:c r="L75" s="76" t="str"/>
      <x:c r="M75" s="76" t="str"/>
      <x:c r="N75" s="76" t="str"/>
      <x:c r="O75" s="76" t="str"/>
      <x:c r="P75" s="76" t="str"/>
      <x:c r="Q75" s="76" t="str"/>
      <x:c r="R75" s="76" t="str"/>
      <x:c r="S75" s="76" t="str"/>
      <x:c r="T75" s="76" t="str"/>
    </x:row>
    <x:row r="76" s="23" customFormat="1" ht="36" customHeight="1">
      <x:c r="A76" s="49" t="b">
        <x:v>0</x:v>
      </x:c>
      <x:c r="B76" s="50" t="str">
        <x:v>70</x:v>
      </x:c>
      <x:c r="C76" s="51" t="str">
        <x:v>Fall of the Jedi</x:v>
      </x:c>
      <x:c r="D76" s="51" t="str">
        <x:v>The Clone Wars: Heroes on Both Sides</x:v>
      </x:c>
      <x:c r="E76" s="50" t="str">
        <x:v>Season 3, Episode 10</x:v>
      </x:c>
      <x:c r="F76" s="51" t="str">
        <x:v>Series aired October 3, 2008–May 4, 2020</x:v>
      </x:c>
      <x:c r="G76" s="51" t="str">
        <x:v>Canon</x:v>
      </x:c>
      <x:c r="H76" s="51" t="str">
        <x:v>Episode</x:v>
      </x:c>
      <x:c r="I76" s="51" t="str">
        <x:v>Disney+</x:v>
      </x:c>
      <x:c r="J76" s="58" t="e">
        <x:f>HYPERLINK("https://www.disneyplus.com/video/1e012171-5147-461e-b42c-80ee6bed9c29?cid=DTCI-Synergy-DDN-Site-Acquisition-StarWars-US-StarWars-StarWarsTheCloneWars-EN-BlogArticleEmbed-TCWChronological_StreamOnDisneyPlusCTA-NA","Watch")</x:f>
        <x:v>HYPERLINK is not implemented. linkLocation=https://www.disneyplus.com/video/1e012171-5147-461e-b42c-80ee6bed9c29?cid=DTCI-Synergy-DDN-Site-Acquisition-StarWars-US-StarWars-StarWarsTheCloneWars-EN-BlogArticleEmbed-TCWChronological_StreamOnDisneyPlusCTA-NA, friendlyName=Watch</x:v>
      </x:c>
      <x:c r="K76" s="52" t="str">
        <x:v>Season 3, Episode 10 · Episode guide</x:v>
      </x:c>
      <x:c r="L76" s="76" t="str"/>
      <x:c r="M76" s="76" t="str"/>
      <x:c r="N76" s="76" t="str"/>
      <x:c r="O76" s="76" t="str"/>
      <x:c r="P76" s="76" t="str"/>
      <x:c r="Q76" s="76" t="str"/>
      <x:c r="R76" s="76" t="str"/>
      <x:c r="S76" s="76" t="str"/>
      <x:c r="T76" s="76" t="str"/>
    </x:row>
    <x:row r="77" s="23" customFormat="1" ht="36" customHeight="1">
      <x:c r="A77" s="49" t="b">
        <x:v>0</x:v>
      </x:c>
      <x:c r="B77" s="50" t="str">
        <x:v>71</x:v>
      </x:c>
      <x:c r="C77" s="51" t="str">
        <x:v>Fall of the Jedi</x:v>
      </x:c>
      <x:c r="D77" s="51" t="str">
        <x:v>The Clone Wars: Pursuit of Peace</x:v>
      </x:c>
      <x:c r="E77" s="50" t="str">
        <x:v>Season 3, Episode 11</x:v>
      </x:c>
      <x:c r="F77" s="51" t="str">
        <x:v>Series aired October 3, 2008–May 4, 2020</x:v>
      </x:c>
      <x:c r="G77" s="51" t="str">
        <x:v>Canon</x:v>
      </x:c>
      <x:c r="H77" s="51" t="str">
        <x:v>Episode</x:v>
      </x:c>
      <x:c r="I77" s="51" t="str">
        <x:v>Disney+</x:v>
      </x:c>
      <x:c r="J77" s="58" t="e">
        <x:f>HYPERLINK("https://www.disneyplus.com/video/ac44bc69-553d-4c58-83ab-e621966d35e4?cid=DTCI-Synergy-DDN-Site-Acquisition-StarWars-US-StarWars-StarWarsTheCloneWars-EN-BlogArticleEmbed-TCWChronological_StreamOnDisneyPlusCTA-NA","Watch")</x:f>
        <x:v>HYPERLINK is not implemented. linkLocation=https://www.disneyplus.com/video/ac44bc69-553d-4c58-83ab-e621966d35e4?cid=DTCI-Synergy-DDN-Site-Acquisition-StarWars-US-StarWars-StarWarsTheCloneWars-EN-BlogArticleEmbed-TCWChronological_StreamOnDisneyPlusCTA-NA, friendlyName=Watch</x:v>
      </x:c>
      <x:c r="K77" s="52" t="str">
        <x:v>Season 3, Episode 11 · Episode guide</x:v>
      </x:c>
      <x:c r="L77" s="76" t="str"/>
      <x:c r="M77" s="76" t="str"/>
      <x:c r="N77" s="76" t="str"/>
      <x:c r="O77" s="76" t="str"/>
      <x:c r="P77" s="76" t="str"/>
      <x:c r="Q77" s="76" t="str"/>
      <x:c r="R77" s="76" t="str"/>
      <x:c r="S77" s="76" t="str"/>
      <x:c r="T77" s="76" t="str"/>
    </x:row>
    <x:row r="78" s="23" customFormat="1" ht="36" customHeight="1">
      <x:c r="A78" s="49" t="b">
        <x:v>0</x:v>
      </x:c>
      <x:c r="B78" s="50" t="str">
        <x:v>72</x:v>
      </x:c>
      <x:c r="C78" s="51" t="str">
        <x:v>Fall of the Jedi</x:v>
      </x:c>
      <x:c r="D78" s="51" t="str">
        <x:v>The Clone Wars: Senate Murders</x:v>
      </x:c>
      <x:c r="E78" s="50" t="str">
        <x:v>Season 2, Episode 15</x:v>
      </x:c>
      <x:c r="F78" s="51" t="str">
        <x:v>Series aired October 3, 2008–May 4, 2020</x:v>
      </x:c>
      <x:c r="G78" s="51" t="str">
        <x:v>Canon</x:v>
      </x:c>
      <x:c r="H78" s="51" t="str">
        <x:v>Episode</x:v>
      </x:c>
      <x:c r="I78" s="51" t="str">
        <x:v>Disney+</x:v>
      </x:c>
      <x:c r="J78" s="58" t="e">
        <x:f>HYPERLINK("https://www.disneyplus.com/video/af719ca6-3fae-435e-a2f5-07d5a3f6499d?cid=DTCI-Synergy-DDN-Site-Acquisition-StarWars-US-StarWars-StarWarsTheCloneWars-EN-BlogArticleEmbed-TCWChronological_StreamOnDisneyPlusCTA-NA","Watch")</x:f>
        <x:v>HYPERLINK is not implemented. linkLocation=https://www.disneyplus.com/video/af719ca6-3fae-435e-a2f5-07d5a3f6499d?cid=DTCI-Synergy-DDN-Site-Acquisition-StarWars-US-StarWars-StarWarsTheCloneWars-EN-BlogArticleEmbed-TCWChronological_StreamOnDisneyPlusCTA-NA, friendlyName=Watch</x:v>
      </x:c>
      <x:c r="K78" s="52" t="str">
        <x:v>Season 2, Episode 15 · Episode guide</x:v>
      </x:c>
      <x:c r="L78" s="76" t="str"/>
      <x:c r="M78" s="76" t="str"/>
      <x:c r="N78" s="76" t="str"/>
      <x:c r="O78" s="76" t="str"/>
      <x:c r="P78" s="76" t="str"/>
      <x:c r="Q78" s="76" t="str"/>
      <x:c r="R78" s="76" t="str"/>
      <x:c r="S78" s="76" t="str"/>
      <x:c r="T78" s="76" t="str"/>
    </x:row>
    <x:row r="79" s="23" customFormat="1" ht="36" customHeight="1">
      <x:c r="A79" s="49" t="b">
        <x:v>0</x:v>
      </x:c>
      <x:c r="B79" s="50" t="str">
        <x:v>73</x:v>
      </x:c>
      <x:c r="C79" s="51" t="str">
        <x:v>Fall of the Jedi</x:v>
      </x:c>
      <x:c r="D79" s="51" t="str">
        <x:v>The Clone Wars: Nightsisters</x:v>
      </x:c>
      <x:c r="E79" s="50" t="str">
        <x:v>Season 3, Episode 12</x:v>
      </x:c>
      <x:c r="F79" s="51" t="str">
        <x:v>Series aired October 3, 2008–May 4, 2020</x:v>
      </x:c>
      <x:c r="G79" s="51" t="str">
        <x:v>Canon</x:v>
      </x:c>
      <x:c r="H79" s="51" t="str">
        <x:v>Episode</x:v>
      </x:c>
      <x:c r="I79" s="51" t="str">
        <x:v>Disney+</x:v>
      </x:c>
      <x:c r="J79" s="58" t="e">
        <x:f>HYPERLINK("https://www.disneyplus.com/video/7efbccb3-2bc5-4271-8e20-ab78c9efbccc?cid=DTCI-Synergy-DDN-Site-Acquisition-StarWars-US-StarWars-StarWarsTheCloneWars-EN-BlogArticleEmbed-TCWChronological_StreamOnDisneyPlusCTA-NA","Watch")</x:f>
        <x:v>HYPERLINK is not implemented. linkLocation=https://www.disneyplus.com/video/7efbccb3-2bc5-4271-8e20-ab78c9efbccc?cid=DTCI-Synergy-DDN-Site-Acquisition-StarWars-US-StarWars-StarWarsTheCloneWars-EN-BlogArticleEmbed-TCWChronological_StreamOnDisneyPlusCTA-NA, friendlyName=Watch</x:v>
      </x:c>
      <x:c r="K79" s="52" t="str">
        <x:v>Season 3, Episode 12 · Episode guide</x:v>
      </x:c>
      <x:c r="L79" s="76" t="str"/>
      <x:c r="M79" s="76" t="str"/>
      <x:c r="N79" s="76" t="str"/>
      <x:c r="O79" s="76" t="str"/>
      <x:c r="P79" s="76" t="str"/>
      <x:c r="Q79" s="76" t="str"/>
      <x:c r="R79" s="76" t="str"/>
      <x:c r="S79" s="76" t="str"/>
      <x:c r="T79" s="76" t="str"/>
    </x:row>
    <x:row r="80" s="23" customFormat="1" ht="36" customHeight="1">
      <x:c r="A80" s="49" t="b">
        <x:v>0</x:v>
      </x:c>
      <x:c r="B80" s="50" t="str">
        <x:v>74</x:v>
      </x:c>
      <x:c r="C80" s="51" t="str">
        <x:v>Fall of the Jedi</x:v>
      </x:c>
      <x:c r="D80" s="51" t="str">
        <x:v>The Clone Wars: Monster</x:v>
      </x:c>
      <x:c r="E80" s="50" t="str">
        <x:v>Season 3, Episode 13</x:v>
      </x:c>
      <x:c r="F80" s="51" t="str">
        <x:v>Series aired October 3, 2008–May 4, 2020</x:v>
      </x:c>
      <x:c r="G80" s="51" t="str">
        <x:v>Canon</x:v>
      </x:c>
      <x:c r="H80" s="51" t="str">
        <x:v>Episode</x:v>
      </x:c>
      <x:c r="I80" s="51" t="str">
        <x:v>Disney+</x:v>
      </x:c>
      <x:c r="J80" s="58" t="e">
        <x:f>HYPERLINK("https://www.disneyplus.com/video/60ae22d3-0e23-42ae-9931-30076c8cd519?cid=DTCI-Synergy-DDN-Site-Acquisition-StarWars-US-StarWars-StarWarsTheCloneWars-EN-BlogArticleEmbed-TCWChronological_StreamOnDisneyPlusCTA-NA","Watch")</x:f>
        <x:v>HYPERLINK is not implemented. linkLocation=https://www.disneyplus.com/video/60ae22d3-0e23-42ae-9931-30076c8cd519?cid=DTCI-Synergy-DDN-Site-Acquisition-StarWars-US-StarWars-StarWarsTheCloneWars-EN-BlogArticleEmbed-TCWChronological_StreamOnDisneyPlusCTA-NA, friendlyName=Watch</x:v>
      </x:c>
      <x:c r="K80" s="52" t="str">
        <x:v>Season 3, Episode 13 · Episode guide</x:v>
      </x:c>
      <x:c r="L80" s="76" t="str"/>
      <x:c r="M80" s="76" t="str"/>
      <x:c r="N80" s="76" t="str"/>
      <x:c r="O80" s="76" t="str"/>
      <x:c r="P80" s="76" t="str"/>
      <x:c r="Q80" s="76" t="str"/>
      <x:c r="R80" s="76" t="str"/>
      <x:c r="S80" s="76" t="str"/>
      <x:c r="T80" s="76" t="str"/>
    </x:row>
    <x:row r="81" s="23" customFormat="1" ht="36" customHeight="1">
      <x:c r="A81" s="49" t="b">
        <x:v>0</x:v>
      </x:c>
      <x:c r="B81" s="50" t="str">
        <x:v>75</x:v>
      </x:c>
      <x:c r="C81" s="51" t="str">
        <x:v>Fall of the Jedi</x:v>
      </x:c>
      <x:c r="D81" s="51" t="str">
        <x:v>The Clone Wars: Witches of the Mist</x:v>
      </x:c>
      <x:c r="E81" s="50" t="str">
        <x:v>Season 3, Episode 14</x:v>
      </x:c>
      <x:c r="F81" s="51" t="str">
        <x:v>Series aired October 3, 2008–May 4, 2020</x:v>
      </x:c>
      <x:c r="G81" s="51" t="str">
        <x:v>Canon</x:v>
      </x:c>
      <x:c r="H81" s="51" t="str">
        <x:v>Episode</x:v>
      </x:c>
      <x:c r="I81" s="51" t="str">
        <x:v>Disney+</x:v>
      </x:c>
      <x:c r="J81" s="58" t="e">
        <x:f>HYPERLINK("https://www.disneyplus.com/video/43682151-f351-4280-9a86-ca1986ac7a72?cid=DTCI-Synergy-DDN-Site-Acquisition-StarWars-US-StarWars-StarWarsTheCloneWars-EN-BlogArticleEmbed-TCWChronological_StreamOnDisneyPlusCTA-NA","Watch")</x:f>
        <x:v>HYPERLINK is not implemented. linkLocation=https://www.disneyplus.com/video/43682151-f351-4280-9a86-ca1986ac7a72?cid=DTCI-Synergy-DDN-Site-Acquisition-StarWars-US-StarWars-StarWarsTheCloneWars-EN-BlogArticleEmbed-TCWChronological_StreamOnDisneyPlusCTA-NA, friendlyName=Watch</x:v>
      </x:c>
      <x:c r="K81" s="52" t="str">
        <x:v>Season 3, Episode 14 · Episode guide</x:v>
      </x:c>
      <x:c r="L81" s="76" t="str"/>
      <x:c r="M81" s="76" t="str"/>
      <x:c r="N81" s="76" t="str"/>
      <x:c r="O81" s="76" t="str"/>
      <x:c r="P81" s="76" t="str"/>
      <x:c r="Q81" s="76" t="str"/>
      <x:c r="R81" s="76" t="str"/>
      <x:c r="S81" s="76" t="str"/>
      <x:c r="T81" s="76" t="str"/>
    </x:row>
    <x:row r="82" s="23" customFormat="1" ht="36" customHeight="1">
      <x:c r="A82" s="49" t="b">
        <x:v>0</x:v>
      </x:c>
      <x:c r="B82" s="50" t="str">
        <x:v>76</x:v>
      </x:c>
      <x:c r="C82" s="51" t="str">
        <x:v>Fall of the Jedi</x:v>
      </x:c>
      <x:c r="D82" s="51" t="str">
        <x:v>The Clone Wars: Overlords</x:v>
      </x:c>
      <x:c r="E82" s="50" t="str">
        <x:v>Season 3, Episode 15</x:v>
      </x:c>
      <x:c r="F82" s="51" t="str">
        <x:v>Series aired October 3, 2008–May 4, 2020</x:v>
      </x:c>
      <x:c r="G82" s="51" t="str">
        <x:v>Canon</x:v>
      </x:c>
      <x:c r="H82" s="51" t="str">
        <x:v>Episode</x:v>
      </x:c>
      <x:c r="I82" s="51" t="str">
        <x:v>Disney+</x:v>
      </x:c>
      <x:c r="J82" s="58" t="e">
        <x:f>HYPERLINK("https://www.disneyplus.com/video/48c78dd1-73f6-40ef-9e0d-d469ea00ada8?cid=DTCI-Synergy-DDN-Site-Acquisition-StarWars-US-StarWars-StarWarsTheCloneWars-EN-BlogArticleEmbed-TCWChronological_StreamOnDisneyPlusCTA-NA","Watch")</x:f>
        <x:v>HYPERLINK is not implemented. linkLocation=https://www.disneyplus.com/video/48c78dd1-73f6-40ef-9e0d-d469ea00ada8?cid=DTCI-Synergy-DDN-Site-Acquisition-StarWars-US-StarWars-StarWarsTheCloneWars-EN-BlogArticleEmbed-TCWChronological_StreamOnDisneyPlusCTA-NA, friendlyName=Watch</x:v>
      </x:c>
      <x:c r="K82" s="52" t="str">
        <x:v>Season 3, Episode 15 · Episode guide</x:v>
      </x:c>
      <x:c r="L82" s="76" t="str"/>
      <x:c r="M82" s="76" t="str"/>
      <x:c r="N82" s="76" t="str"/>
      <x:c r="O82" s="76" t="str"/>
      <x:c r="P82" s="76" t="str"/>
      <x:c r="Q82" s="76" t="str"/>
      <x:c r="R82" s="76" t="str"/>
      <x:c r="S82" s="76" t="str"/>
      <x:c r="T82" s="76" t="str"/>
    </x:row>
    <x:row r="83" s="23" customFormat="1" ht="36" customHeight="1">
      <x:c r="A83" s="49" t="b">
        <x:v>0</x:v>
      </x:c>
      <x:c r="B83" s="50" t="str">
        <x:v>77</x:v>
      </x:c>
      <x:c r="C83" s="51" t="str">
        <x:v>Fall of the Jedi</x:v>
      </x:c>
      <x:c r="D83" s="51" t="str">
        <x:v>The Clone Wars: Altar of Mortis</x:v>
      </x:c>
      <x:c r="E83" s="50" t="str">
        <x:v>Season 3, Episode 16</x:v>
      </x:c>
      <x:c r="F83" s="51" t="str">
        <x:v>Series aired October 3, 2008–May 4, 2020</x:v>
      </x:c>
      <x:c r="G83" s="51" t="str">
        <x:v>Canon</x:v>
      </x:c>
      <x:c r="H83" s="51" t="str">
        <x:v>Episode</x:v>
      </x:c>
      <x:c r="I83" s="51" t="str">
        <x:v>Disney+</x:v>
      </x:c>
      <x:c r="J83" s="58" t="e">
        <x:f>HYPERLINK("https://www.disneyplus.com/video/75e60bba-9b85-4531-aec2-7f3b9ed18e4c?cid=DTCI-Synergy-DDN-Site-Acquisition-StarWars-US-StarWars-StarWarsTheCloneWars-EN-BlogArticleEmbed-TCWChronological_StreamOnDisneyPlusCTA-NA","Watch")</x:f>
        <x:v>HYPERLINK is not implemented. linkLocation=https://www.disneyplus.com/video/75e60bba-9b85-4531-aec2-7f3b9ed18e4c?cid=DTCI-Synergy-DDN-Site-Acquisition-StarWars-US-StarWars-StarWarsTheCloneWars-EN-BlogArticleEmbed-TCWChronological_StreamOnDisneyPlusCTA-NA, friendlyName=Watch</x:v>
      </x:c>
      <x:c r="K83" s="52" t="str">
        <x:v>Season 3, Episode 16 · Episode guide</x:v>
      </x:c>
      <x:c r="L83" s="76" t="str"/>
      <x:c r="M83" s="76" t="str"/>
      <x:c r="N83" s="76" t="str"/>
      <x:c r="O83" s="76" t="str"/>
      <x:c r="P83" s="76" t="str"/>
      <x:c r="Q83" s="76" t="str"/>
      <x:c r="R83" s="76" t="str"/>
      <x:c r="S83" s="76" t="str"/>
      <x:c r="T83" s="76" t="str"/>
    </x:row>
    <x:row r="84" s="23" customFormat="1" ht="36" customHeight="1">
      <x:c r="A84" s="49" t="b">
        <x:v>0</x:v>
      </x:c>
      <x:c r="B84" s="50" t="str">
        <x:v>78</x:v>
      </x:c>
      <x:c r="C84" s="51" t="str">
        <x:v>Fall of the Jedi</x:v>
      </x:c>
      <x:c r="D84" s="51" t="str">
        <x:v>The Clone Wars: Ghosts of Mortis</x:v>
      </x:c>
      <x:c r="E84" s="50" t="str">
        <x:v>Season 3, Episode 17</x:v>
      </x:c>
      <x:c r="F84" s="51" t="str">
        <x:v>Series aired October 3, 2008–May 4, 2020</x:v>
      </x:c>
      <x:c r="G84" s="51" t="str">
        <x:v>Canon</x:v>
      </x:c>
      <x:c r="H84" s="51" t="str">
        <x:v>Episode</x:v>
      </x:c>
      <x:c r="I84" s="51" t="str">
        <x:v>Disney+</x:v>
      </x:c>
      <x:c r="J84" s="58" t="e">
        <x:f>HYPERLINK("https://www.disneyplus.com/video/6eccdac1-2d29-416d-88f7-779791c8bbca?cid=DTCI-Synergy-DDN-Site-Acquisition-StarWars-US-StarWars-StarWarsTheCloneWars-EN-BlogArticleEmbed-TCWChronological_StreamOnDisneyPlusCTA-NA","Watch")</x:f>
        <x:v>HYPERLINK is not implemented. linkLocation=https://www.disneyplus.com/video/6eccdac1-2d29-416d-88f7-779791c8bbca?cid=DTCI-Synergy-DDN-Site-Acquisition-StarWars-US-StarWars-StarWarsTheCloneWars-EN-BlogArticleEmbed-TCWChronological_StreamOnDisneyPlusCTA-NA, friendlyName=Watch</x:v>
      </x:c>
      <x:c r="K84" s="52" t="str">
        <x:v>Season 3, Episode 17 · Episode guide</x:v>
      </x:c>
      <x:c r="L84" s="76" t="str"/>
      <x:c r="M84" s="76" t="str"/>
      <x:c r="N84" s="76" t="str"/>
      <x:c r="O84" s="76" t="str"/>
      <x:c r="P84" s="76" t="str"/>
      <x:c r="Q84" s="76" t="str"/>
      <x:c r="R84" s="76" t="str"/>
      <x:c r="S84" s="76" t="str"/>
      <x:c r="T84" s="76" t="str"/>
    </x:row>
    <x:row r="85" s="23" customFormat="1" ht="36" customHeight="1">
      <x:c r="A85" s="49" t="b">
        <x:v>0</x:v>
      </x:c>
      <x:c r="B85" s="50" t="str">
        <x:v>79</x:v>
      </x:c>
      <x:c r="C85" s="51" t="str">
        <x:v>Fall of the Jedi</x:v>
      </x:c>
      <x:c r="D85" s="51" t="str">
        <x:v>The Clone Wars: The Citadel</x:v>
      </x:c>
      <x:c r="E85" s="50" t="str">
        <x:v>Season 3, Episode 18</x:v>
      </x:c>
      <x:c r="F85" s="51" t="str">
        <x:v>Series aired October 3, 2008–May 4, 2020</x:v>
      </x:c>
      <x:c r="G85" s="51" t="str">
        <x:v>Canon</x:v>
      </x:c>
      <x:c r="H85" s="51" t="str">
        <x:v>Episode</x:v>
      </x:c>
      <x:c r="I85" s="51" t="str">
        <x:v>Disney+</x:v>
      </x:c>
      <x:c r="J85" s="58" t="e">
        <x:f>HYPERLINK("https://www.disneyplus.com/video/5ce7d03a-c7d7-4e63-8cb1-eae92bcd1349?cid=DTCI-Synergy-DDN-Site-Acquisition-StarWars-US-StarWars-StarWarsTheCloneWars-EN-BlogArticleEmbed-TCWChronological_StreamOnDisneyPlusCTA-NA","Watch")</x:f>
        <x:v>HYPERLINK is not implemented. linkLocation=https://www.disneyplus.com/video/5ce7d03a-c7d7-4e63-8cb1-eae92bcd1349?cid=DTCI-Synergy-DDN-Site-Acquisition-StarWars-US-StarWars-StarWarsTheCloneWars-EN-BlogArticleEmbed-TCWChronological_StreamOnDisneyPlusCTA-NA, friendlyName=Watch</x:v>
      </x:c>
      <x:c r="K85" s="52" t="str">
        <x:v>Season 3, Episode 18 · Episode guide</x:v>
      </x:c>
      <x:c r="L85" s="76" t="str"/>
      <x:c r="M85" s="76" t="str"/>
      <x:c r="N85" s="76" t="str"/>
      <x:c r="O85" s="76" t="str"/>
      <x:c r="P85" s="76" t="str"/>
      <x:c r="Q85" s="76" t="str"/>
      <x:c r="R85" s="76" t="str"/>
      <x:c r="S85" s="76" t="str"/>
      <x:c r="T85" s="76" t="str"/>
    </x:row>
    <x:row r="86" s="23" customFormat="1" ht="36" customHeight="1">
      <x:c r="A86" s="49" t="b">
        <x:v>0</x:v>
      </x:c>
      <x:c r="B86" s="50" t="str">
        <x:v>80</x:v>
      </x:c>
      <x:c r="C86" s="51" t="str">
        <x:v>Fall of the Jedi</x:v>
      </x:c>
      <x:c r="D86" s="51" t="str">
        <x:v>The Clone Wars: Counter Attack</x:v>
      </x:c>
      <x:c r="E86" s="50" t="str">
        <x:v>Season 3, Episode 19</x:v>
      </x:c>
      <x:c r="F86" s="51" t="str">
        <x:v>Series aired October 3, 2008–May 4, 2020</x:v>
      </x:c>
      <x:c r="G86" s="51" t="str">
        <x:v>Canon</x:v>
      </x:c>
      <x:c r="H86" s="51" t="str">
        <x:v>Episode</x:v>
      </x:c>
      <x:c r="I86" s="51" t="str">
        <x:v>Disney+</x:v>
      </x:c>
      <x:c r="J86" s="58" t="e">
        <x:f>HYPERLINK("https://www.disneyplus.com/video/da31968a-f4f6-457b-8d4a-9938d5bdb6f0?cid=DTCI-Synergy-DDN-Site-Acquisition-StarWars-US-StarWars-StarWarsTheCloneWars-EN-BlogArticleEmbed-TCWChronological_StreamOnDisneyPlusCTA-NA","Watch")</x:f>
        <x:v>HYPERLINK is not implemented. linkLocation=https://www.disneyplus.com/video/da31968a-f4f6-457b-8d4a-9938d5bdb6f0?cid=DTCI-Synergy-DDN-Site-Acquisition-StarWars-US-StarWars-StarWarsTheCloneWars-EN-BlogArticleEmbed-TCWChronological_StreamOnDisneyPlusCTA-NA, friendlyName=Watch</x:v>
      </x:c>
      <x:c r="K86" s="52" t="str">
        <x:v>Season 3, Episode 19 · Episode guide</x:v>
      </x:c>
      <x:c r="L86" s="76" t="str"/>
      <x:c r="M86" s="76" t="str"/>
      <x:c r="N86" s="76" t="str"/>
      <x:c r="O86" s="76" t="str"/>
      <x:c r="P86" s="76" t="str"/>
      <x:c r="Q86" s="76" t="str"/>
      <x:c r="R86" s="76" t="str"/>
      <x:c r="S86" s="76" t="str"/>
      <x:c r="T86" s="76" t="str"/>
    </x:row>
    <x:row r="87" s="23" customFormat="1" ht="36" customHeight="1">
      <x:c r="A87" s="49" t="b">
        <x:v>0</x:v>
      </x:c>
      <x:c r="B87" s="50" t="str">
        <x:v>81</x:v>
      </x:c>
      <x:c r="C87" s="51" t="str">
        <x:v>Fall of the Jedi</x:v>
      </x:c>
      <x:c r="D87" s="51" t="str">
        <x:v>The Clone Wars: Citadel Rescue</x:v>
      </x:c>
      <x:c r="E87" s="50" t="str">
        <x:v>Season 3, Episode 20</x:v>
      </x:c>
      <x:c r="F87" s="51" t="str">
        <x:v>Series aired October 3, 2008–May 4, 2020</x:v>
      </x:c>
      <x:c r="G87" s="51" t="str">
        <x:v>Canon</x:v>
      </x:c>
      <x:c r="H87" s="51" t="str">
        <x:v>Episode</x:v>
      </x:c>
      <x:c r="I87" s="51" t="str">
        <x:v>Disney+</x:v>
      </x:c>
      <x:c r="J87" s="58" t="e">
        <x:f>HYPERLINK("https://www.disneyplus.com/video/8799713b-3cd0-48e7-b32d-aef303971020?cid=DTCI-Synergy-DDN-Site-Acquisition-StarWars-US-StarWars-StarWarsTheCloneWars-EN-BlogArticleEmbed-TCWChronological_StreamOnDisneyPlusCTA-NA","Watch")</x:f>
        <x:v>HYPERLINK is not implemented. linkLocation=https://www.disneyplus.com/video/8799713b-3cd0-48e7-b32d-aef303971020?cid=DTCI-Synergy-DDN-Site-Acquisition-StarWars-US-StarWars-StarWarsTheCloneWars-EN-BlogArticleEmbed-TCWChronological_StreamOnDisneyPlusCTA-NA, friendlyName=Watch</x:v>
      </x:c>
      <x:c r="K87" s="52" t="str">
        <x:v>Season 3, Episode 20 · Episode guide</x:v>
      </x:c>
      <x:c r="L87" s="76" t="str"/>
      <x:c r="M87" s="76" t="str"/>
      <x:c r="N87" s="76" t="str"/>
      <x:c r="O87" s="76" t="str"/>
      <x:c r="P87" s="76" t="str"/>
      <x:c r="Q87" s="76" t="str"/>
      <x:c r="R87" s="76" t="str"/>
      <x:c r="S87" s="76" t="str"/>
      <x:c r="T87" s="76" t="str"/>
    </x:row>
    <x:row r="88" s="23" customFormat="1" ht="36" customHeight="1">
      <x:c r="A88" s="49" t="b">
        <x:v>0</x:v>
      </x:c>
      <x:c r="B88" s="50" t="str">
        <x:v>82</x:v>
      </x:c>
      <x:c r="C88" s="51" t="str">
        <x:v>Fall of the Jedi</x:v>
      </x:c>
      <x:c r="D88" s="51" t="str">
        <x:v>The Clone Wars: Padawan Lost</x:v>
      </x:c>
      <x:c r="E88" s="50" t="str">
        <x:v>Season 3, Episode 21</x:v>
      </x:c>
      <x:c r="F88" s="51" t="str">
        <x:v>Series aired October 3, 2008–May 4, 2020</x:v>
      </x:c>
      <x:c r="G88" s="51" t="str">
        <x:v>Canon</x:v>
      </x:c>
      <x:c r="H88" s="51" t="str">
        <x:v>Episode</x:v>
      </x:c>
      <x:c r="I88" s="51" t="str">
        <x:v>Disney+</x:v>
      </x:c>
      <x:c r="J88" s="58" t="e">
        <x:f>HYPERLINK("https://www.disneyplus.com/video/e9010f4d-8e53-4100-9e56-37526a34d8cb?cid=DTCI-Synergy-DDN-Site-Acquisition-StarWars-US-StarWars-StarWarsTheCloneWars-EN-BlogArticleEmbed-TCWChronological_StreamOnDisneyPlusCTA-NA","Watch")</x:f>
        <x:v>HYPERLINK is not implemented. linkLocation=https://www.disneyplus.com/video/e9010f4d-8e53-4100-9e56-37526a34d8cb?cid=DTCI-Synergy-DDN-Site-Acquisition-StarWars-US-StarWars-StarWarsTheCloneWars-EN-BlogArticleEmbed-TCWChronological_StreamOnDisneyPlusCTA-NA, friendlyName=Watch</x:v>
      </x:c>
      <x:c r="K88" s="52" t="str">
        <x:v>Season 3, Episode 21 · Episode guide</x:v>
      </x:c>
      <x:c r="L88" s="76" t="str"/>
      <x:c r="M88" s="76" t="str"/>
      <x:c r="N88" s="76" t="str"/>
      <x:c r="O88" s="76" t="str"/>
      <x:c r="P88" s="76" t="str"/>
      <x:c r="Q88" s="76" t="str"/>
      <x:c r="R88" s="76" t="str"/>
      <x:c r="S88" s="76" t="str"/>
      <x:c r="T88" s="76" t="str"/>
    </x:row>
    <x:row r="89" s="23" customFormat="1" ht="36" customHeight="1">
      <x:c r="A89" s="49" t="b">
        <x:v>0</x:v>
      </x:c>
      <x:c r="B89" s="50" t="str">
        <x:v>83</x:v>
      </x:c>
      <x:c r="C89" s="51" t="str">
        <x:v>Fall of the Jedi</x:v>
      </x:c>
      <x:c r="D89" s="51" t="str">
        <x:v>The Clone Wars: Wookiee Hunt</x:v>
      </x:c>
      <x:c r="E89" s="50" t="str">
        <x:v>Season 3, Episode 22</x:v>
      </x:c>
      <x:c r="F89" s="51" t="str">
        <x:v>Series aired October 3, 2008–May 4, 2020</x:v>
      </x:c>
      <x:c r="G89" s="51" t="str">
        <x:v>Canon</x:v>
      </x:c>
      <x:c r="H89" s="51" t="str">
        <x:v>Episode</x:v>
      </x:c>
      <x:c r="I89" s="51" t="str">
        <x:v>Disney+</x:v>
      </x:c>
      <x:c r="J89" s="58" t="e">
        <x:f>HYPERLINK("https://www.disneyplus.com/video/d332b464-3b44-4ace-af1b-bcabcf5f9155?cid=DTCI-Synergy-DDN-Site-Acquisition-StarWars-US-StarWars-StarWarsTheCloneWars-EN-BlogArticleEmbed-TCWChronological_StreamOnDisneyPlusCTA-NA","Watch")</x:f>
        <x:v>HYPERLINK is not implemented. linkLocation=https://www.disneyplus.com/video/d332b464-3b44-4ace-af1b-bcabcf5f9155?cid=DTCI-Synergy-DDN-Site-Acquisition-StarWars-US-StarWars-StarWarsTheCloneWars-EN-BlogArticleEmbed-TCWChronological_StreamOnDisneyPlusCTA-NA, friendlyName=Watch</x:v>
      </x:c>
      <x:c r="K89" s="52" t="str">
        <x:v>Season 3, Episode 22 · Episode guide</x:v>
      </x:c>
      <x:c r="L89" s="76" t="str"/>
      <x:c r="M89" s="76" t="str"/>
      <x:c r="N89" s="76" t="str"/>
      <x:c r="O89" s="76" t="str"/>
      <x:c r="P89" s="76" t="str"/>
      <x:c r="Q89" s="76" t="str"/>
      <x:c r="R89" s="76" t="str"/>
      <x:c r="S89" s="76" t="str"/>
      <x:c r="T89" s="76" t="str"/>
    </x:row>
    <x:row r="90" s="23" customFormat="1" ht="36" customHeight="1">
      <x:c r="A90" s="49" t="b">
        <x:v>0</x:v>
      </x:c>
      <x:c r="B90" s="50" t="str">
        <x:v>84</x:v>
      </x:c>
      <x:c r="C90" s="51" t="str">
        <x:v>Fall of the Jedi</x:v>
      </x:c>
      <x:c r="D90" s="51" t="str">
        <x:v>The Clone Wars: Water War</x:v>
      </x:c>
      <x:c r="E90" s="50" t="str">
        <x:v>Season 4, Episode 1</x:v>
      </x:c>
      <x:c r="F90" s="51" t="str">
        <x:v>Series aired October 3, 2008–May 4, 2020</x:v>
      </x:c>
      <x:c r="G90" s="51" t="str">
        <x:v>Canon</x:v>
      </x:c>
      <x:c r="H90" s="51" t="str">
        <x:v>Episode</x:v>
      </x:c>
      <x:c r="I90" s="51" t="str">
        <x:v>Disney+</x:v>
      </x:c>
      <x:c r="J90" s="58" t="e">
        <x:f>HYPERLINK("https://www.disneyplus.com/video/0118dfcf-cb59-44eb-bb93-15888e9cb8a6?cid=DTCI-Synergy-DDN-Site-Acquisition-StarWars-US-StarWars-StarWarsTheCloneWars-EN-BlogArticleEmbed-TCWChronological_StreamOnDisneyPlusCTA-NA","Watch")</x:f>
        <x:v>HYPERLINK is not implemented. linkLocation=https://www.disneyplus.com/video/0118dfcf-cb59-44eb-bb93-15888e9cb8a6?cid=DTCI-Synergy-DDN-Site-Acquisition-StarWars-US-StarWars-StarWarsTheCloneWars-EN-BlogArticleEmbed-TCWChronological_StreamOnDisneyPlusCTA-NA, friendlyName=Watch</x:v>
      </x:c>
      <x:c r="K90" s="52" t="str">
        <x:v>Season 4, Episode 1 · Episode guide</x:v>
      </x:c>
      <x:c r="L90" s="76" t="str"/>
      <x:c r="M90" s="76" t="str"/>
      <x:c r="N90" s="76" t="str"/>
      <x:c r="O90" s="76" t="str"/>
      <x:c r="P90" s="76" t="str"/>
      <x:c r="Q90" s="76" t="str"/>
      <x:c r="R90" s="76" t="str"/>
      <x:c r="S90" s="76" t="str"/>
      <x:c r="T90" s="76" t="str"/>
    </x:row>
    <x:row r="91" s="23" customFormat="1" ht="36" customHeight="1">
      <x:c r="A91" s="49" t="b">
        <x:v>0</x:v>
      </x:c>
      <x:c r="B91" s="50" t="str">
        <x:v>85</x:v>
      </x:c>
      <x:c r="C91" s="51" t="str">
        <x:v>Fall of the Jedi</x:v>
      </x:c>
      <x:c r="D91" s="51" t="str">
        <x:v>The Clone Wars: Gungan Attack</x:v>
      </x:c>
      <x:c r="E91" s="50" t="str">
        <x:v>Season 4, Episode 2</x:v>
      </x:c>
      <x:c r="F91" s="51" t="str">
        <x:v>Series aired October 3, 2008–May 4, 2020</x:v>
      </x:c>
      <x:c r="G91" s="51" t="str">
        <x:v>Canon</x:v>
      </x:c>
      <x:c r="H91" s="51" t="str">
        <x:v>Episode</x:v>
      </x:c>
      <x:c r="I91" s="51" t="str">
        <x:v>Disney+</x:v>
      </x:c>
      <x:c r="J91" s="58" t="e">
        <x:f>HYPERLINK("https://www.disneyplus.com/video/661736f6-035f-4d8f-98b7-d1a75d3359db?cid=DTCI-Synergy-DDN-Site-Acquisition-StarWars-US-StarWars-StarWarsTheCloneWars-EN-BlogArticleEmbed-TCWChronological_StreamOnDisneyPlusCTA-NA","Watch")</x:f>
        <x:v>HYPERLINK is not implemented. linkLocation=https://www.disneyplus.com/video/661736f6-035f-4d8f-98b7-d1a75d3359db?cid=DTCI-Synergy-DDN-Site-Acquisition-StarWars-US-StarWars-StarWarsTheCloneWars-EN-BlogArticleEmbed-TCWChronological_StreamOnDisneyPlusCTA-NA, friendlyName=Watch</x:v>
      </x:c>
      <x:c r="K91" s="52" t="str">
        <x:v>Season 4, Episode 2 · Episode guide</x:v>
      </x:c>
      <x:c r="L91" s="76" t="str"/>
      <x:c r="M91" s="76" t="str"/>
      <x:c r="N91" s="76" t="str"/>
      <x:c r="O91" s="76" t="str"/>
      <x:c r="P91" s="76" t="str"/>
      <x:c r="Q91" s="76" t="str"/>
      <x:c r="R91" s="76" t="str"/>
      <x:c r="S91" s="76" t="str"/>
      <x:c r="T91" s="76" t="str"/>
    </x:row>
    <x:row r="92" s="23" customFormat="1" ht="36" customHeight="1">
      <x:c r="A92" s="49" t="b">
        <x:v>0</x:v>
      </x:c>
      <x:c r="B92" s="50" t="str">
        <x:v>86</x:v>
      </x:c>
      <x:c r="C92" s="51" t="str">
        <x:v>Fall of the Jedi</x:v>
      </x:c>
      <x:c r="D92" s="51" t="str">
        <x:v>The Clone Wars: Prisoners</x:v>
      </x:c>
      <x:c r="E92" s="50" t="str">
        <x:v>Season 4, Episode 3</x:v>
      </x:c>
      <x:c r="F92" s="51" t="str">
        <x:v>Series aired October 3, 2008–May 4, 2020</x:v>
      </x:c>
      <x:c r="G92" s="51" t="str">
        <x:v>Canon</x:v>
      </x:c>
      <x:c r="H92" s="51" t="str">
        <x:v>Episode</x:v>
      </x:c>
      <x:c r="I92" s="51" t="str">
        <x:v>Disney+</x:v>
      </x:c>
      <x:c r="J92" s="58" t="e">
        <x:f>HYPERLINK("https://www.disneyplus.com/video/a78235e0-c137-410c-abd8-69601e432648?cid=DTCI-Synergy-DDN-Site-Acquisition-StarWars-US-StarWars-StarWarsTheCloneWars-EN-BlogArticleEmbed-TCWChronological_StreamOnDisneyPlusCTA-NA","Watch")</x:f>
        <x:v>HYPERLINK is not implemented. linkLocation=https://www.disneyplus.com/video/a78235e0-c137-410c-abd8-69601e432648?cid=DTCI-Synergy-DDN-Site-Acquisition-StarWars-US-StarWars-StarWarsTheCloneWars-EN-BlogArticleEmbed-TCWChronological_StreamOnDisneyPlusCTA-NA, friendlyName=Watch</x:v>
      </x:c>
      <x:c r="K92" s="52" t="str">
        <x:v>Season 4, Episode 3 · Episode guide</x:v>
      </x:c>
      <x:c r="L92" s="76" t="str"/>
      <x:c r="M92" s="76" t="str"/>
      <x:c r="N92" s="76" t="str"/>
      <x:c r="O92" s="76" t="str"/>
      <x:c r="P92" s="76" t="str"/>
      <x:c r="Q92" s="76" t="str"/>
      <x:c r="R92" s="76" t="str"/>
      <x:c r="S92" s="76" t="str"/>
      <x:c r="T92" s="76" t="str"/>
    </x:row>
    <x:row r="93" s="23" customFormat="1" ht="36" customHeight="1">
      <x:c r="A93" s="49" t="b">
        <x:v>0</x:v>
      </x:c>
      <x:c r="B93" s="50" t="str">
        <x:v>87</x:v>
      </x:c>
      <x:c r="C93" s="51" t="str">
        <x:v>Fall of the Jedi</x:v>
      </x:c>
      <x:c r="D93" s="51" t="str">
        <x:v>The Clone Wars: Shadow Warrior</x:v>
      </x:c>
      <x:c r="E93" s="50" t="str">
        <x:v>Season 4, Episode 4</x:v>
      </x:c>
      <x:c r="F93" s="51" t="str">
        <x:v>Series aired October 3, 2008–May 4, 2020</x:v>
      </x:c>
      <x:c r="G93" s="51" t="str">
        <x:v>Canon</x:v>
      </x:c>
      <x:c r="H93" s="51" t="str">
        <x:v>Episode</x:v>
      </x:c>
      <x:c r="I93" s="51" t="str">
        <x:v>Disney+</x:v>
      </x:c>
      <x:c r="J93" s="58" t="e">
        <x:f>HYPERLINK("https://www.disneyplus.com/video/794938c4-0700-4b1f-a6c3-20aff7ca1b39?cid=DTCI-Synergy-DDN-Site-Acquisition-StarWars-US-StarWars-StarWarsTheCloneWars-EN-BlogArticleEmbed-TCWChronological_StreamOnDisneyPlusCTA-NA","Watch")</x:f>
        <x:v>HYPERLINK is not implemented. linkLocation=https://www.disneyplus.com/video/794938c4-0700-4b1f-a6c3-20aff7ca1b39?cid=DTCI-Synergy-DDN-Site-Acquisition-StarWars-US-StarWars-StarWarsTheCloneWars-EN-BlogArticleEmbed-TCWChronological_StreamOnDisneyPlusCTA-NA, friendlyName=Watch</x:v>
      </x:c>
      <x:c r="K93" s="52" t="str">
        <x:v>Season 4, Episode 4 · Episode guide</x:v>
      </x:c>
      <x:c r="L93" s="76" t="str"/>
      <x:c r="M93" s="76" t="str"/>
      <x:c r="N93" s="76" t="str"/>
      <x:c r="O93" s="76" t="str"/>
      <x:c r="P93" s="76" t="str"/>
      <x:c r="Q93" s="76" t="str"/>
      <x:c r="R93" s="76" t="str"/>
      <x:c r="S93" s="76" t="str"/>
      <x:c r="T93" s="76" t="str"/>
    </x:row>
    <x:row r="94" s="23" customFormat="1" ht="36" customHeight="1">
      <x:c r="A94" s="49" t="b">
        <x:v>0</x:v>
      </x:c>
      <x:c r="B94" s="50" t="str">
        <x:v>88</x:v>
      </x:c>
      <x:c r="C94" s="51" t="str">
        <x:v>Fall of the Jedi</x:v>
      </x:c>
      <x:c r="D94" s="51" t="str">
        <x:v>The Clone Wars: Mercy Mission</x:v>
      </x:c>
      <x:c r="E94" s="50" t="str">
        <x:v>Season 4, Episode 5</x:v>
      </x:c>
      <x:c r="F94" s="51" t="str">
        <x:v>Series aired October 3, 2008–May 4, 2020</x:v>
      </x:c>
      <x:c r="G94" s="51" t="str">
        <x:v>Canon</x:v>
      </x:c>
      <x:c r="H94" s="51" t="str">
        <x:v>Episode</x:v>
      </x:c>
      <x:c r="I94" s="51" t="str">
        <x:v>Disney+</x:v>
      </x:c>
      <x:c r="J94" s="58" t="e">
        <x:f>HYPERLINK("https://www.disneyplus.com/video/1d717a67-fdce-4404-aed6-3cca361e0946?cid=DTCI-Synergy-DDN-Site-Acquisition-StarWars-US-StarWars-StarWarsTheCloneWars-EN-BlogArticleEmbed-TCWChronological_StreamOnDisneyPlusCTA-NA","Watch")</x:f>
        <x:v>HYPERLINK is not implemented. linkLocation=https://www.disneyplus.com/video/1d717a67-fdce-4404-aed6-3cca361e0946?cid=DTCI-Synergy-DDN-Site-Acquisition-StarWars-US-StarWars-StarWarsTheCloneWars-EN-BlogArticleEmbed-TCWChronological_StreamOnDisneyPlusCTA-NA, friendlyName=Watch</x:v>
      </x:c>
      <x:c r="K94" s="52" t="str">
        <x:v>Season 4, Episode 5 · Episode guide</x:v>
      </x:c>
      <x:c r="L94" s="76" t="str"/>
      <x:c r="M94" s="76" t="str"/>
      <x:c r="N94" s="76" t="str"/>
      <x:c r="O94" s="76" t="str"/>
      <x:c r="P94" s="76" t="str"/>
      <x:c r="Q94" s="76" t="str"/>
      <x:c r="R94" s="76" t="str"/>
      <x:c r="S94" s="76" t="str"/>
      <x:c r="T94" s="76" t="str"/>
    </x:row>
    <x:row r="95" s="23" customFormat="1" ht="36" customHeight="1">
      <x:c r="A95" s="49" t="b">
        <x:v>0</x:v>
      </x:c>
      <x:c r="B95" s="50" t="str">
        <x:v>89</x:v>
      </x:c>
      <x:c r="C95" s="51" t="str">
        <x:v>Fall of the Jedi</x:v>
      </x:c>
      <x:c r="D95" s="51" t="str">
        <x:v>The Clone Wars: Nomad Droids</x:v>
      </x:c>
      <x:c r="E95" s="50" t="str">
        <x:v>Season 4, Episode 6</x:v>
      </x:c>
      <x:c r="F95" s="51" t="str">
        <x:v>Series aired October 3, 2008–May 4, 2020</x:v>
      </x:c>
      <x:c r="G95" s="51" t="str">
        <x:v>Canon</x:v>
      </x:c>
      <x:c r="H95" s="51" t="str">
        <x:v>Episode</x:v>
      </x:c>
      <x:c r="I95" s="51" t="str">
        <x:v>Disney+</x:v>
      </x:c>
      <x:c r="J95" s="58" t="e">
        <x:f>HYPERLINK("https://www.disneyplus.com/video/70b7d424-fd27-4388-b934-b4bfad3f898d?cid=DTCI-Synergy-DDN-Site-Acquisition-StarWars-US-StarWars-StarWarsTheCloneWars-EN-BlogArticleEmbed-TCWChronological_StreamOnDisneyPlusCTA-NA","Watch")</x:f>
        <x:v>HYPERLINK is not implemented. linkLocation=https://www.disneyplus.com/video/70b7d424-fd27-4388-b934-b4bfad3f898d?cid=DTCI-Synergy-DDN-Site-Acquisition-StarWars-US-StarWars-StarWarsTheCloneWars-EN-BlogArticleEmbed-TCWChronological_StreamOnDisneyPlusCTA-NA, friendlyName=Watch</x:v>
      </x:c>
      <x:c r="K95" s="52" t="str">
        <x:v>Season 4, Episode 6 · Episode guide</x:v>
      </x:c>
      <x:c r="L95" s="76" t="str"/>
      <x:c r="M95" s="76" t="str"/>
      <x:c r="N95" s="76" t="str"/>
      <x:c r="O95" s="76" t="str"/>
      <x:c r="P95" s="76" t="str"/>
      <x:c r="Q95" s="76" t="str"/>
      <x:c r="R95" s="76" t="str"/>
      <x:c r="S95" s="76" t="str"/>
      <x:c r="T95" s="76" t="str"/>
    </x:row>
    <x:row r="96" s="23" customFormat="1" ht="36" customHeight="1">
      <x:c r="A96" s="49" t="b">
        <x:v>0</x:v>
      </x:c>
      <x:c r="B96" s="50" t="str">
        <x:v>90</x:v>
      </x:c>
      <x:c r="C96" s="51" t="str">
        <x:v>Fall of the Jedi</x:v>
      </x:c>
      <x:c r="D96" s="51" t="str">
        <x:v>The Clone Wars: Darkness on Umbara</x:v>
      </x:c>
      <x:c r="E96" s="50" t="str">
        <x:v>Season 4, Episode 7</x:v>
      </x:c>
      <x:c r="F96" s="51" t="str">
        <x:v>Series aired October 3, 2008–May 4, 2020</x:v>
      </x:c>
      <x:c r="G96" s="51" t="str">
        <x:v>Canon</x:v>
      </x:c>
      <x:c r="H96" s="51" t="str">
        <x:v>Episode</x:v>
      </x:c>
      <x:c r="I96" s="51" t="str">
        <x:v>Disney+</x:v>
      </x:c>
      <x:c r="J96" s="58" t="e">
        <x:f>HYPERLINK("https://www.disneyplus.com/video/f9bfac62-4bb9-443b-905c-db5d978df3f2?cid=DTCI-Synergy-DDN-Site-Acquisition-StarWars-US-StarWars-StarWarsTheCloneWars-EN-BlogArticleEmbed-TCWChronological_StreamOnDisneyPlusCTA-NA","Watch")</x:f>
        <x:v>HYPERLINK is not implemented. linkLocation=https://www.disneyplus.com/video/f9bfac62-4bb9-443b-905c-db5d978df3f2?cid=DTCI-Synergy-DDN-Site-Acquisition-StarWars-US-StarWars-StarWarsTheCloneWars-EN-BlogArticleEmbed-TCWChronological_StreamOnDisneyPlusCTA-NA, friendlyName=Watch</x:v>
      </x:c>
      <x:c r="K96" s="52" t="str">
        <x:v>Season 4, Episode 7 · Episode guide</x:v>
      </x:c>
      <x:c r="L96" s="76" t="str"/>
      <x:c r="M96" s="76" t="str"/>
      <x:c r="N96" s="76" t="str"/>
      <x:c r="O96" s="76" t="str"/>
      <x:c r="P96" s="76" t="str"/>
      <x:c r="Q96" s="76" t="str"/>
      <x:c r="R96" s="76" t="str"/>
      <x:c r="S96" s="76" t="str"/>
      <x:c r="T96" s="76" t="str"/>
    </x:row>
    <x:row r="97" s="23" customFormat="1" ht="36" customHeight="1">
      <x:c r="A97" s="49" t="b">
        <x:v>0</x:v>
      </x:c>
      <x:c r="B97" s="50" t="str">
        <x:v>91</x:v>
      </x:c>
      <x:c r="C97" s="51" t="str">
        <x:v>Fall of the Jedi</x:v>
      </x:c>
      <x:c r="D97" s="51" t="str">
        <x:v>The Clone Wars: The General</x:v>
      </x:c>
      <x:c r="E97" s="50" t="str">
        <x:v>Season 4, Episode 8</x:v>
      </x:c>
      <x:c r="F97" s="51" t="str">
        <x:v>Series aired October 3, 2008–May 4, 2020</x:v>
      </x:c>
      <x:c r="G97" s="51" t="str">
        <x:v>Canon</x:v>
      </x:c>
      <x:c r="H97" s="51" t="str">
        <x:v>Episode</x:v>
      </x:c>
      <x:c r="I97" s="51" t="str">
        <x:v>Disney+</x:v>
      </x:c>
      <x:c r="J97" s="58" t="e">
        <x:f>HYPERLINK("https://www.disneyplus.com/video/61e6b80b-ae44-431d-ae37-3ff46db6fdf6?cid=DTCI-Synergy-DDN-Site-Acquisition-StarWars-US-StarWars-StarWarsTheCloneWars-EN-BlogArticleEmbed-TCWChronological_StreamOnDisneyPlusCTA-NA","Watch")</x:f>
        <x:v>HYPERLINK is not implemented. linkLocation=https://www.disneyplus.com/video/61e6b80b-ae44-431d-ae37-3ff46db6fdf6?cid=DTCI-Synergy-DDN-Site-Acquisition-StarWars-US-StarWars-StarWarsTheCloneWars-EN-BlogArticleEmbed-TCWChronological_StreamOnDisneyPlusCTA-NA, friendlyName=Watch</x:v>
      </x:c>
      <x:c r="K97" s="52" t="str">
        <x:v>Season 4, Episode 8 · Episode guide</x:v>
      </x:c>
      <x:c r="L97" s="76" t="str"/>
      <x:c r="M97" s="76" t="str"/>
      <x:c r="N97" s="76" t="str"/>
      <x:c r="O97" s="76" t="str"/>
      <x:c r="P97" s="76" t="str"/>
      <x:c r="Q97" s="76" t="str"/>
      <x:c r="R97" s="76" t="str"/>
      <x:c r="S97" s="76" t="str"/>
      <x:c r="T97" s="76" t="str"/>
    </x:row>
    <x:row r="98" s="23" customFormat="1" ht="36" customHeight="1">
      <x:c r="A98" s="49" t="b">
        <x:v>0</x:v>
      </x:c>
      <x:c r="B98" s="50" t="str">
        <x:v>92</x:v>
      </x:c>
      <x:c r="C98" s="51" t="str">
        <x:v>Fall of the Jedi</x:v>
      </x:c>
      <x:c r="D98" s="51" t="str">
        <x:v>The Clone Wars: Plan of Dissent</x:v>
      </x:c>
      <x:c r="E98" s="50" t="str">
        <x:v>Season 4, Episode 9</x:v>
      </x:c>
      <x:c r="F98" s="51" t="str">
        <x:v>Series aired October 3, 2008–May 4, 2020</x:v>
      </x:c>
      <x:c r="G98" s="51" t="str">
        <x:v>Canon</x:v>
      </x:c>
      <x:c r="H98" s="51" t="str">
        <x:v>Episode</x:v>
      </x:c>
      <x:c r="I98" s="51" t="str">
        <x:v>Disney+</x:v>
      </x:c>
      <x:c r="J98" s="58" t="e">
        <x:f>HYPERLINK("https://www.disneyplus.com/video/5dfa03d3-ec0c-462e-96b9-9995bb5b7e1d?cid=DTCI-Synergy-DDN-Site-Acquisition-StarWars-US-StarWars-StarWarsTheCloneWars-EN-BlogArticleEmbed-TCWChronological_StreamOnDisneyPlusCTA-NA","Watch")</x:f>
        <x:v>HYPERLINK is not implemented. linkLocation=https://www.disneyplus.com/video/5dfa03d3-ec0c-462e-96b9-9995bb5b7e1d?cid=DTCI-Synergy-DDN-Site-Acquisition-StarWars-US-StarWars-StarWarsTheCloneWars-EN-BlogArticleEmbed-TCWChronological_StreamOnDisneyPlusCTA-NA, friendlyName=Watch</x:v>
      </x:c>
      <x:c r="K98" s="52" t="str">
        <x:v>Season 4, Episode 9 · Episode guide</x:v>
      </x:c>
      <x:c r="L98" s="76" t="str"/>
      <x:c r="M98" s="76" t="str"/>
      <x:c r="N98" s="76" t="str"/>
      <x:c r="O98" s="76" t="str"/>
      <x:c r="P98" s="76" t="str"/>
      <x:c r="Q98" s="76" t="str"/>
      <x:c r="R98" s="76" t="str"/>
      <x:c r="S98" s="76" t="str"/>
      <x:c r="T98" s="76" t="str"/>
    </x:row>
    <x:row r="99" s="23" customFormat="1" ht="36" customHeight="1">
      <x:c r="A99" s="49" t="b">
        <x:v>0</x:v>
      </x:c>
      <x:c r="B99" s="50" t="str">
        <x:v>93</x:v>
      </x:c>
      <x:c r="C99" s="51" t="str">
        <x:v>Fall of the Jedi</x:v>
      </x:c>
      <x:c r="D99" s="51" t="str">
        <x:v>The Clone Wars: Carnage of Krell</x:v>
      </x:c>
      <x:c r="E99" s="50" t="str">
        <x:v>Season 4, Episode 10</x:v>
      </x:c>
      <x:c r="F99" s="51" t="str">
        <x:v>Series aired October 3, 2008–May 4, 2020</x:v>
      </x:c>
      <x:c r="G99" s="51" t="str">
        <x:v>Canon</x:v>
      </x:c>
      <x:c r="H99" s="51" t="str">
        <x:v>Episode</x:v>
      </x:c>
      <x:c r="I99" s="51" t="str">
        <x:v>Disney+</x:v>
      </x:c>
      <x:c r="J99" s="58" t="e">
        <x:f>HYPERLINK("https://www.disneyplus.com/video/3ea87b6f-c298-4847-a69d-05d6ec748f59?cid=DTCI-Synergy-DDN-Site-Acquisition-StarWars-US-StarWars-StarWarsTheCloneWars-EN-BlogArticleEmbed-TCWChronological_StreamOnDisneyPlusCTA-NA","Watch")</x:f>
        <x:v>HYPERLINK is not implemented. linkLocation=https://www.disneyplus.com/video/3ea87b6f-c298-4847-a69d-05d6ec748f59?cid=DTCI-Synergy-DDN-Site-Acquisition-StarWars-US-StarWars-StarWarsTheCloneWars-EN-BlogArticleEmbed-TCWChronological_StreamOnDisneyPlusCTA-NA, friendlyName=Watch</x:v>
      </x:c>
      <x:c r="K99" s="52" t="str">
        <x:v>Season 4, Episode 10 · Episode guide</x:v>
      </x:c>
      <x:c r="L99" s="76" t="str"/>
      <x:c r="M99" s="76" t="str"/>
      <x:c r="N99" s="76" t="str"/>
      <x:c r="O99" s="76" t="str"/>
      <x:c r="P99" s="76" t="str"/>
      <x:c r="Q99" s="76" t="str"/>
      <x:c r="R99" s="76" t="str"/>
      <x:c r="S99" s="76" t="str"/>
      <x:c r="T99" s="76" t="str"/>
    </x:row>
    <x:row r="100" s="23" customFormat="1" ht="36" customHeight="1">
      <x:c r="A100" s="49" t="b">
        <x:v>0</x:v>
      </x:c>
      <x:c r="B100" s="50" t="str">
        <x:v>94</x:v>
      </x:c>
      <x:c r="C100" s="51" t="str">
        <x:v>Fall of the Jedi</x:v>
      </x:c>
      <x:c r="D100" s="51" t="str">
        <x:v>The Clone Wars: Kidnapped</x:v>
      </x:c>
      <x:c r="E100" s="50" t="str">
        <x:v>Season 4, Episode 11</x:v>
      </x:c>
      <x:c r="F100" s="51" t="str">
        <x:v>Series aired October 3, 2008–May 4, 2020</x:v>
      </x:c>
      <x:c r="G100" s="51" t="str">
        <x:v>Canon</x:v>
      </x:c>
      <x:c r="H100" s="51" t="str">
        <x:v>Episode</x:v>
      </x:c>
      <x:c r="I100" s="51" t="str">
        <x:v>Disney+</x:v>
      </x:c>
      <x:c r="J100" s="58" t="e">
        <x:f>HYPERLINK("https://www.disneyplus.com/video/02bd06fc-230f-4667-b9da-23fb11d66b70?cid=DTCI-Synergy-DDN-Site-Acquisition-StarWars-US-StarWars-StarWarsTheCloneWars-EN-BlogArticleEmbed-TCWChronological_StreamOnDisneyPlusCTA-NA","Watch")</x:f>
        <x:v>HYPERLINK is not implemented. linkLocation=https://www.disneyplus.com/video/02bd06fc-230f-4667-b9da-23fb11d66b70?cid=DTCI-Synergy-DDN-Site-Acquisition-StarWars-US-StarWars-StarWarsTheCloneWars-EN-BlogArticleEmbed-TCWChronological_StreamOnDisneyPlusCTA-NA, friendlyName=Watch</x:v>
      </x:c>
      <x:c r="K100" s="52" t="str">
        <x:v>Season 4, Episode 11 · Episode guide</x:v>
      </x:c>
      <x:c r="L100" s="76" t="str"/>
      <x:c r="M100" s="76" t="str"/>
      <x:c r="N100" s="76" t="str"/>
      <x:c r="O100" s="76" t="str"/>
      <x:c r="P100" s="76" t="str"/>
      <x:c r="Q100" s="76" t="str"/>
      <x:c r="R100" s="76" t="str"/>
      <x:c r="S100" s="76" t="str"/>
      <x:c r="T100" s="76" t="str"/>
    </x:row>
    <x:row r="101" s="23" customFormat="1" ht="36" customHeight="1">
      <x:c r="A101" s="49" t="b">
        <x:v>0</x:v>
      </x:c>
      <x:c r="B101" s="50" t="str">
        <x:v>95</x:v>
      </x:c>
      <x:c r="C101" s="51" t="str">
        <x:v>Fall of the Jedi</x:v>
      </x:c>
      <x:c r="D101" s="51" t="str">
        <x:v>The Clone Wars: Slaves of the Republic</x:v>
      </x:c>
      <x:c r="E101" s="50" t="str">
        <x:v>Season 4, Episode 12</x:v>
      </x:c>
      <x:c r="F101" s="51" t="str">
        <x:v>Series aired October 3, 2008–May 4, 2020</x:v>
      </x:c>
      <x:c r="G101" s="51" t="str">
        <x:v>Canon</x:v>
      </x:c>
      <x:c r="H101" s="51" t="str">
        <x:v>Episode</x:v>
      </x:c>
      <x:c r="I101" s="51" t="str">
        <x:v>Disney+</x:v>
      </x:c>
      <x:c r="J101" s="58" t="e">
        <x:f>HYPERLINK("https://www.disneyplus.com/video/22ffd322-9702-403f-93d3-47dc7780e062?cid=DTCI-Synergy-DDN-Site-Acquisition-StarWars-US-StarWars-StarWarsTheCloneWars-EN-BlogArticleEmbed-TCWChronological_StreamOnDisneyPlusCTA-NA","Watch")</x:f>
        <x:v>HYPERLINK is not implemented. linkLocation=https://www.disneyplus.com/video/22ffd322-9702-403f-93d3-47dc7780e062?cid=DTCI-Synergy-DDN-Site-Acquisition-StarWars-US-StarWars-StarWarsTheCloneWars-EN-BlogArticleEmbed-TCWChronological_StreamOnDisneyPlusCTA-NA, friendlyName=Watch</x:v>
      </x:c>
      <x:c r="K101" s="52" t="str">
        <x:v>Season 4, Episode 12 · Episode guide</x:v>
      </x:c>
      <x:c r="L101" s="76" t="str"/>
      <x:c r="M101" s="76" t="str"/>
      <x:c r="N101" s="76" t="str"/>
      <x:c r="O101" s="76" t="str"/>
      <x:c r="P101" s="76" t="str"/>
      <x:c r="Q101" s="76" t="str"/>
      <x:c r="R101" s="76" t="str"/>
      <x:c r="S101" s="76" t="str"/>
      <x:c r="T101" s="76" t="str"/>
    </x:row>
    <x:row r="102" s="23" customFormat="1" ht="36" customHeight="1">
      <x:c r="A102" s="49" t="b">
        <x:v>0</x:v>
      </x:c>
      <x:c r="B102" s="50" t="str">
        <x:v>96</x:v>
      </x:c>
      <x:c r="C102" s="51" t="str">
        <x:v>Fall of the Jedi</x:v>
      </x:c>
      <x:c r="D102" s="51" t="str">
        <x:v>The Clone Wars: Escape from Kadavo</x:v>
      </x:c>
      <x:c r="E102" s="50" t="str">
        <x:v>Season 4, Episode 13</x:v>
      </x:c>
      <x:c r="F102" s="51" t="str">
        <x:v>Series aired October 3, 2008–May 4, 2020</x:v>
      </x:c>
      <x:c r="G102" s="51" t="str">
        <x:v>Canon</x:v>
      </x:c>
      <x:c r="H102" s="51" t="str">
        <x:v>Episode</x:v>
      </x:c>
      <x:c r="I102" s="51" t="str">
        <x:v>Disney+</x:v>
      </x:c>
      <x:c r="J102" s="58" t="e">
        <x:f>HYPERLINK("https://www.disneyplus.com/video/b2e1fd41-8496-4860-9ef8-80bed1b92754?cid=DTCI-Synergy-DDN-Site-Acquisition-StarWars-US-StarWars-StarWarsTheCloneWars-EN-BlogArticleEmbed-TCWChronological_StreamOnDisneyPlusCTA-NA","Watch")</x:f>
        <x:v>HYPERLINK is not implemented. linkLocation=https://www.disneyplus.com/video/b2e1fd41-8496-4860-9ef8-80bed1b92754?cid=DTCI-Synergy-DDN-Site-Acquisition-StarWars-US-StarWars-StarWarsTheCloneWars-EN-BlogArticleEmbed-TCWChronological_StreamOnDisneyPlusCTA-NA, friendlyName=Watch</x:v>
      </x:c>
      <x:c r="K102" s="52" t="str">
        <x:v>Season 4, Episode 13 · Episode guide</x:v>
      </x:c>
      <x:c r="L102" s="76" t="str"/>
      <x:c r="M102" s="76" t="str"/>
      <x:c r="N102" s="76" t="str"/>
      <x:c r="O102" s="76" t="str"/>
      <x:c r="P102" s="76" t="str"/>
      <x:c r="Q102" s="76" t="str"/>
      <x:c r="R102" s="76" t="str"/>
      <x:c r="S102" s="76" t="str"/>
      <x:c r="T102" s="76" t="str"/>
    </x:row>
    <x:row r="103" s="23" customFormat="1" ht="36" customHeight="1">
      <x:c r="A103" s="49" t="b">
        <x:v>0</x:v>
      </x:c>
      <x:c r="B103" s="50" t="str">
        <x:v>97</x:v>
      </x:c>
      <x:c r="C103" s="51" t="str">
        <x:v>Fall of the Jedi</x:v>
      </x:c>
      <x:c r="D103" s="51" t="str">
        <x:v>The Clone Wars: A Friend in Need</x:v>
      </x:c>
      <x:c r="E103" s="50" t="str">
        <x:v>Season 4, Episode 14</x:v>
      </x:c>
      <x:c r="F103" s="51" t="str">
        <x:v>Series aired October 3, 2008–May 4, 2020</x:v>
      </x:c>
      <x:c r="G103" s="51" t="str">
        <x:v>Canon</x:v>
      </x:c>
      <x:c r="H103" s="51" t="str">
        <x:v>Episode</x:v>
      </x:c>
      <x:c r="I103" s="51" t="str">
        <x:v>Disney+</x:v>
      </x:c>
      <x:c r="J103" s="58" t="e">
        <x:f>HYPERLINK("https://www.disneyplus.com/video/916bff39-2aae-47db-b43a-e22f4179d093?cid=DTCI-Synergy-DDN-Site-Acquisition-StarWars-US-StarWars-StarWarsTheCloneWars-EN-BlogArticleEmbed-TCWChronological_StreamOnDisneyPlusCTA-NA","Watch")</x:f>
        <x:v>HYPERLINK is not implemented. linkLocation=https://www.disneyplus.com/video/916bff39-2aae-47db-b43a-e22f4179d093?cid=DTCI-Synergy-DDN-Site-Acquisition-StarWars-US-StarWars-StarWarsTheCloneWars-EN-BlogArticleEmbed-TCWChronological_StreamOnDisneyPlusCTA-NA, friendlyName=Watch</x:v>
      </x:c>
      <x:c r="K103" s="52" t="str">
        <x:v>Season 4, Episode 14 · Episode guide</x:v>
      </x:c>
      <x:c r="L103" s="76" t="str"/>
      <x:c r="M103" s="76" t="str"/>
      <x:c r="N103" s="76" t="str"/>
      <x:c r="O103" s="76" t="str"/>
      <x:c r="P103" s="76" t="str"/>
      <x:c r="Q103" s="76" t="str"/>
      <x:c r="R103" s="76" t="str"/>
      <x:c r="S103" s="76" t="str"/>
      <x:c r="T103" s="76" t="str"/>
    </x:row>
    <x:row r="104" s="23" customFormat="1" ht="36" customHeight="1">
      <x:c r="A104" s="49" t="b">
        <x:v>0</x:v>
      </x:c>
      <x:c r="B104" s="50" t="str">
        <x:v>98</x:v>
      </x:c>
      <x:c r="C104" s="51" t="str">
        <x:v>Fall of the Jedi</x:v>
      </x:c>
      <x:c r="D104" s="51" t="str">
        <x:v>The Clone Wars: Deception</x:v>
      </x:c>
      <x:c r="E104" s="50" t="str">
        <x:v>Season 4, Episode 15</x:v>
      </x:c>
      <x:c r="F104" s="51" t="str">
        <x:v>Series aired October 3, 2008–May 4, 2020</x:v>
      </x:c>
      <x:c r="G104" s="51" t="str">
        <x:v>Canon</x:v>
      </x:c>
      <x:c r="H104" s="51" t="str">
        <x:v>Episode</x:v>
      </x:c>
      <x:c r="I104" s="51" t="str">
        <x:v>Disney+</x:v>
      </x:c>
      <x:c r="J104" s="58" t="e">
        <x:f>HYPERLINK("https://www.disneyplus.com/video/c639cb21-5137-4090-a440-8f84a171d235?cid=DTCI-Synergy-DDN-Site-Acquisition-StarWars-US-StarWars-StarWarsTheCloneWars-EN-BlogArticleEmbed-TCWChronological_StreamOnDisneyPlusCTA-NA","Watch")</x:f>
        <x:v>HYPERLINK is not implemented. linkLocation=https://www.disneyplus.com/video/c639cb21-5137-4090-a440-8f84a171d235?cid=DTCI-Synergy-DDN-Site-Acquisition-StarWars-US-StarWars-StarWarsTheCloneWars-EN-BlogArticleEmbed-TCWChronological_StreamOnDisneyPlusCTA-NA, friendlyName=Watch</x:v>
      </x:c>
      <x:c r="K104" s="52" t="str">
        <x:v>Season 4, Episode 15 · Episode guide</x:v>
      </x:c>
      <x:c r="L104" s="76" t="str"/>
      <x:c r="M104" s="76" t="str"/>
      <x:c r="N104" s="76" t="str"/>
      <x:c r="O104" s="76" t="str"/>
      <x:c r="P104" s="76" t="str"/>
      <x:c r="Q104" s="76" t="str"/>
      <x:c r="R104" s="76" t="str"/>
      <x:c r="S104" s="76" t="str"/>
      <x:c r="T104" s="76" t="str"/>
    </x:row>
    <x:row r="105" s="23" customFormat="1" ht="36" customHeight="1">
      <x:c r="A105" s="49" t="b">
        <x:v>0</x:v>
      </x:c>
      <x:c r="B105" s="50" t="str">
        <x:v>99</x:v>
      </x:c>
      <x:c r="C105" s="51" t="str">
        <x:v>Fall of the Jedi</x:v>
      </x:c>
      <x:c r="D105" s="51" t="str">
        <x:v>The Clone Wars: Friends and Enemies</x:v>
      </x:c>
      <x:c r="E105" s="50" t="str">
        <x:v>Season 4, Episode 16</x:v>
      </x:c>
      <x:c r="F105" s="51" t="str">
        <x:v>Series aired October 3, 2008–May 4, 2020</x:v>
      </x:c>
      <x:c r="G105" s="51" t="str">
        <x:v>Canon</x:v>
      </x:c>
      <x:c r="H105" s="51" t="str">
        <x:v>Episode</x:v>
      </x:c>
      <x:c r="I105" s="51" t="str">
        <x:v>Disney+</x:v>
      </x:c>
      <x:c r="J105" s="58" t="e">
        <x:f>HYPERLINK("https://www.disneyplus.com/video/8fa14ce6-7c73-48b9-b271-16dffeb62fec?cid=DTCI-Synergy-DDN-Site-Acquisition-StarWars-US-StarWars-StarWarsTheCloneWars-EN-BlogArticleEmbed-TCWChronological_StreamOnDisneyPlusCTA-NA","Watch")</x:f>
        <x:v>HYPERLINK is not implemented. linkLocation=https://www.disneyplus.com/video/8fa14ce6-7c73-48b9-b271-16dffeb62fec?cid=DTCI-Synergy-DDN-Site-Acquisition-StarWars-US-StarWars-StarWarsTheCloneWars-EN-BlogArticleEmbed-TCWChronological_StreamOnDisneyPlusCTA-NA, friendlyName=Watch</x:v>
      </x:c>
      <x:c r="K105" s="52" t="str">
        <x:v>Season 4, Episode 16 · Episode guide</x:v>
      </x:c>
      <x:c r="L105" s="76" t="str"/>
      <x:c r="M105" s="76" t="str"/>
      <x:c r="N105" s="76" t="str"/>
      <x:c r="O105" s="76" t="str"/>
      <x:c r="P105" s="76" t="str"/>
      <x:c r="Q105" s="76" t="str"/>
      <x:c r="R105" s="76" t="str"/>
      <x:c r="S105" s="76" t="str"/>
      <x:c r="T105" s="76" t="str"/>
    </x:row>
    <x:row r="106" s="23" customFormat="1" ht="36" customHeight="1">
      <x:c r="A106" s="49" t="b">
        <x:v>0</x:v>
      </x:c>
      <x:c r="B106" s="50" t="str">
        <x:v>100</x:v>
      </x:c>
      <x:c r="C106" s="51" t="str">
        <x:v>Fall of the Jedi</x:v>
      </x:c>
      <x:c r="D106" s="51" t="str">
        <x:v>The Clone Wars: The Box</x:v>
      </x:c>
      <x:c r="E106" s="50" t="str">
        <x:v>Season 4, Episode 17</x:v>
      </x:c>
      <x:c r="F106" s="51" t="str">
        <x:v>Series aired October 3, 2008–May 4, 2020</x:v>
      </x:c>
      <x:c r="G106" s="51" t="str">
        <x:v>Canon</x:v>
      </x:c>
      <x:c r="H106" s="51" t="str">
        <x:v>Episode</x:v>
      </x:c>
      <x:c r="I106" s="51" t="str">
        <x:v>Disney+</x:v>
      </x:c>
      <x:c r="J106" s="58" t="e">
        <x:f>HYPERLINK("https://www.disneyplus.com/video/f95cb9de-abf7-4d7f-8a65-d9a731a60f47?cid=DTCI-Synergy-DDN-Site-Acquisition-StarWars-US-StarWars-StarWarsTheCloneWars-EN-BlogArticleEmbed-TCWChronological_StreamOnDisneyPlusCTA-NA","Watch")</x:f>
        <x:v>HYPERLINK is not implemented. linkLocation=https://www.disneyplus.com/video/f95cb9de-abf7-4d7f-8a65-d9a731a60f47?cid=DTCI-Synergy-DDN-Site-Acquisition-StarWars-US-StarWars-StarWarsTheCloneWars-EN-BlogArticleEmbed-TCWChronological_StreamOnDisneyPlusCTA-NA, friendlyName=Watch</x:v>
      </x:c>
      <x:c r="K106" s="52" t="str">
        <x:v>Season 4, Episode 17 · Episode guide</x:v>
      </x:c>
      <x:c r="L106" s="76" t="str"/>
      <x:c r="M106" s="76" t="str"/>
      <x:c r="N106" s="76" t="str"/>
      <x:c r="O106" s="76" t="str"/>
      <x:c r="P106" s="76" t="str"/>
      <x:c r="Q106" s="76" t="str"/>
      <x:c r="R106" s="76" t="str"/>
      <x:c r="S106" s="76" t="str"/>
      <x:c r="T106" s="76" t="str"/>
    </x:row>
    <x:row r="107" s="23" customFormat="1" ht="36" customHeight="1">
      <x:c r="A107" s="49" t="b">
        <x:v>0</x:v>
      </x:c>
      <x:c r="B107" s="50" t="str">
        <x:v>101</x:v>
      </x:c>
      <x:c r="C107" s="51" t="str">
        <x:v>Fall of the Jedi</x:v>
      </x:c>
      <x:c r="D107" s="51" t="str">
        <x:v>The Clone Wars: Crisis on Naboo</x:v>
      </x:c>
      <x:c r="E107" s="50" t="str">
        <x:v>Season 4, Episode 18</x:v>
      </x:c>
      <x:c r="F107" s="51" t="str">
        <x:v>Series aired October 3, 2008–May 4, 2020</x:v>
      </x:c>
      <x:c r="G107" s="51" t="str">
        <x:v>Canon</x:v>
      </x:c>
      <x:c r="H107" s="51" t="str">
        <x:v>Episode</x:v>
      </x:c>
      <x:c r="I107" s="51" t="str">
        <x:v>Disney+</x:v>
      </x:c>
      <x:c r="J107" s="58" t="e">
        <x:f>HYPERLINK("https://www.disneyplus.com/video/ca31a17c-8cb2-4b69-acf5-4f1e399abf5d?cid=DTCI-Synergy-DDN-Site-Acquisition-StarWars-US-StarWars-StarWarsTheCloneWars-EN-BlogArticleEmbed-TCWChronological_StreamOnDisneyPlusCTA-NA","Watch")</x:f>
        <x:v>HYPERLINK is not implemented. linkLocation=https://www.disneyplus.com/video/ca31a17c-8cb2-4b69-acf5-4f1e399abf5d?cid=DTCI-Synergy-DDN-Site-Acquisition-StarWars-US-StarWars-StarWarsTheCloneWars-EN-BlogArticleEmbed-TCWChronological_StreamOnDisneyPlusCTA-NA, friendlyName=Watch</x:v>
      </x:c>
      <x:c r="K107" s="52" t="str">
        <x:v>Season 4, Episode 18 · Episode guide</x:v>
      </x:c>
      <x:c r="L107" s="76" t="str"/>
      <x:c r="M107" s="76" t="str"/>
      <x:c r="N107" s="76" t="str"/>
      <x:c r="O107" s="76" t="str"/>
      <x:c r="P107" s="76" t="str"/>
      <x:c r="Q107" s="76" t="str"/>
      <x:c r="R107" s="76" t="str"/>
      <x:c r="S107" s="76" t="str"/>
      <x:c r="T107" s="76" t="str"/>
    </x:row>
    <x:row r="108" s="23" customFormat="1" ht="36" customHeight="1">
      <x:c r="A108" s="49" t="b">
        <x:v>0</x:v>
      </x:c>
      <x:c r="B108" s="50" t="str">
        <x:v>102</x:v>
      </x:c>
      <x:c r="C108" s="51" t="str">
        <x:v>Fall of the Jedi</x:v>
      </x:c>
      <x:c r="D108" s="51" t="str">
        <x:v>The Clone Wars: Massacre</x:v>
      </x:c>
      <x:c r="E108" s="50" t="str">
        <x:v>Season 4, Episode 19</x:v>
      </x:c>
      <x:c r="F108" s="51" t="str">
        <x:v>Series aired October 3, 2008–May 4, 2020</x:v>
      </x:c>
      <x:c r="G108" s="51" t="str">
        <x:v>Canon</x:v>
      </x:c>
      <x:c r="H108" s="51" t="str">
        <x:v>Episode</x:v>
      </x:c>
      <x:c r="I108" s="51" t="str">
        <x:v>Disney+</x:v>
      </x:c>
      <x:c r="J108" s="58" t="e">
        <x:f>HYPERLINK("https://www.disneyplus.com/video/2467b031-3144-40b8-a3c2-55160986820d?cid=DTCI-Synergy-DDN-Site-Acquisition-StarWars-US-StarWars-StarWarsTheCloneWars-EN-BlogArticleEmbed-TCWChronological_StreamOnDisneyPlusCTA-NA","Watch")</x:f>
        <x:v>HYPERLINK is not implemented. linkLocation=https://www.disneyplus.com/video/2467b031-3144-40b8-a3c2-55160986820d?cid=DTCI-Synergy-DDN-Site-Acquisition-StarWars-US-StarWars-StarWarsTheCloneWars-EN-BlogArticleEmbed-TCWChronological_StreamOnDisneyPlusCTA-NA, friendlyName=Watch</x:v>
      </x:c>
      <x:c r="K108" s="52" t="str">
        <x:v>Season 4, Episode 19 · Episode guide</x:v>
      </x:c>
      <x:c r="L108" s="76" t="str"/>
      <x:c r="M108" s="76" t="str"/>
      <x:c r="N108" s="76" t="str"/>
      <x:c r="O108" s="76" t="str"/>
      <x:c r="P108" s="76" t="str"/>
      <x:c r="Q108" s="76" t="str"/>
      <x:c r="R108" s="76" t="str"/>
      <x:c r="S108" s="76" t="str"/>
      <x:c r="T108" s="76" t="str"/>
    </x:row>
    <x:row r="109" s="23" customFormat="1" ht="36" customHeight="1">
      <x:c r="A109" s="49" t="b">
        <x:v>0</x:v>
      </x:c>
      <x:c r="B109" s="50" t="str">
        <x:v>103</x:v>
      </x:c>
      <x:c r="C109" s="51" t="str">
        <x:v>Fall of the Jedi</x:v>
      </x:c>
      <x:c r="D109" s="51" t="str">
        <x:v>The Clone Wars: Bounty</x:v>
      </x:c>
      <x:c r="E109" s="50" t="str">
        <x:v>Season 4, Episode 20</x:v>
      </x:c>
      <x:c r="F109" s="51" t="str">
        <x:v>Series aired October 3, 2008–May 4, 2020</x:v>
      </x:c>
      <x:c r="G109" s="51" t="str">
        <x:v>Canon</x:v>
      </x:c>
      <x:c r="H109" s="51" t="str">
        <x:v>Episode</x:v>
      </x:c>
      <x:c r="I109" s="51" t="str">
        <x:v>Disney+</x:v>
      </x:c>
      <x:c r="J109" s="58" t="e">
        <x:f>HYPERLINK("https://www.disneyplus.com/video/f7e92583-e67e-4ade-8da8-f64a2b38534a?cid=DTCI-Synergy-DDN-Site-Acquisition-StarWars-US-StarWars-StarWarsTheCloneWars-EN-BlogArticleEmbed-TCWChronological_StreamOnDisneyPlusCTA-NA","Watch")</x:f>
        <x:v>HYPERLINK is not implemented. linkLocation=https://www.disneyplus.com/video/f7e92583-e67e-4ade-8da8-f64a2b38534a?cid=DTCI-Synergy-DDN-Site-Acquisition-StarWars-US-StarWars-StarWarsTheCloneWars-EN-BlogArticleEmbed-TCWChronological_StreamOnDisneyPlusCTA-NA, friendlyName=Watch</x:v>
      </x:c>
      <x:c r="K109" s="52" t="str">
        <x:v>Season 4, Episode 20 · Episode guide</x:v>
      </x:c>
      <x:c r="L109" s="76" t="str"/>
      <x:c r="M109" s="76" t="str"/>
      <x:c r="N109" s="76" t="str"/>
      <x:c r="O109" s="76" t="str"/>
      <x:c r="P109" s="76" t="str"/>
      <x:c r="Q109" s="76" t="str"/>
      <x:c r="R109" s="76" t="str"/>
      <x:c r="S109" s="76" t="str"/>
      <x:c r="T109" s="76" t="str"/>
    </x:row>
    <x:row r="110" s="23" customFormat="1" ht="36" customHeight="1">
      <x:c r="A110" s="49" t="b">
        <x:v>0</x:v>
      </x:c>
      <x:c r="B110" s="50" t="str">
        <x:v>104</x:v>
      </x:c>
      <x:c r="C110" s="51" t="str">
        <x:v>Fall of the Jedi</x:v>
      </x:c>
      <x:c r="D110" s="51" t="str">
        <x:v>The Clone Wars: Brothers</x:v>
      </x:c>
      <x:c r="E110" s="50" t="str">
        <x:v>Season 4, Episode 21</x:v>
      </x:c>
      <x:c r="F110" s="51" t="str">
        <x:v>Series aired October 3, 2008–May 4, 2020</x:v>
      </x:c>
      <x:c r="G110" s="51" t="str">
        <x:v>Canon</x:v>
      </x:c>
      <x:c r="H110" s="51" t="str">
        <x:v>Episode</x:v>
      </x:c>
      <x:c r="I110" s="51" t="str">
        <x:v>Disney+</x:v>
      </x:c>
      <x:c r="J110" s="58" t="e">
        <x:f>HYPERLINK("https://www.disneyplus.com/video/ea059b38-a21c-4ff2-8e64-6c3bda2d6afc?cid=DTCI-Synergy-DDN-Site-Acquisition-StarWars-US-StarWars-StarWarsTheCloneWars-EN-BlogArticleEmbed-TCWChronological_StreamOnDisneyPlusCTA-NA","Watch")</x:f>
        <x:v>HYPERLINK is not implemented. linkLocation=https://www.disneyplus.com/video/ea059b38-a21c-4ff2-8e64-6c3bda2d6afc?cid=DTCI-Synergy-DDN-Site-Acquisition-StarWars-US-StarWars-StarWarsTheCloneWars-EN-BlogArticleEmbed-TCWChronological_StreamOnDisneyPlusCTA-NA, friendlyName=Watch</x:v>
      </x:c>
      <x:c r="K110" s="52" t="str">
        <x:v>Season 4, Episode 21 · Episode guide</x:v>
      </x:c>
      <x:c r="L110" s="76" t="str"/>
      <x:c r="M110" s="76" t="str"/>
      <x:c r="N110" s="76" t="str"/>
      <x:c r="O110" s="76" t="str"/>
      <x:c r="P110" s="76" t="str"/>
      <x:c r="Q110" s="76" t="str"/>
      <x:c r="R110" s="76" t="str"/>
      <x:c r="S110" s="76" t="str"/>
      <x:c r="T110" s="76" t="str"/>
    </x:row>
    <x:row r="111" s="23" customFormat="1" ht="36" customHeight="1">
      <x:c r="A111" s="49" t="b">
        <x:v>0</x:v>
      </x:c>
      <x:c r="B111" s="50" t="str">
        <x:v>105</x:v>
      </x:c>
      <x:c r="C111" s="51" t="str">
        <x:v>Fall of the Jedi</x:v>
      </x:c>
      <x:c r="D111" s="51" t="str">
        <x:v>The Clone Wars: Revenge</x:v>
      </x:c>
      <x:c r="E111" s="50" t="str">
        <x:v>Season 4, Episode 22</x:v>
      </x:c>
      <x:c r="F111" s="51" t="str">
        <x:v>Series aired October 3, 2008–May 4, 2020</x:v>
      </x:c>
      <x:c r="G111" s="51" t="str">
        <x:v>Canon</x:v>
      </x:c>
      <x:c r="H111" s="51" t="str">
        <x:v>Episode</x:v>
      </x:c>
      <x:c r="I111" s="51" t="str">
        <x:v>Disney+</x:v>
      </x:c>
      <x:c r="J111" s="58" t="e">
        <x:f>HYPERLINK("https://www.disneyplus.com/video/6a302c32-b9bb-4d73-b69d-7698df40ae54?cid=DTCI-Synergy-DDN-Site-Acquisition-StarWars-US-StarWars-StarWarsTheCloneWars-EN-BlogArticleEmbed-TCWChronological_StreamOnDisneyPlusCTA-NA","Watch")</x:f>
        <x:v>HYPERLINK is not implemented. linkLocation=https://www.disneyplus.com/video/6a302c32-b9bb-4d73-b69d-7698df40ae54?cid=DTCI-Synergy-DDN-Site-Acquisition-StarWars-US-StarWars-StarWarsTheCloneWars-EN-BlogArticleEmbed-TCWChronological_StreamOnDisneyPlusCTA-NA, friendlyName=Watch</x:v>
      </x:c>
      <x:c r="K111" s="52" t="str">
        <x:v>Season 4, Episode 22 · Episode guide</x:v>
      </x:c>
      <x:c r="L111" s="76" t="str"/>
      <x:c r="M111" s="76" t="str"/>
      <x:c r="N111" s="76" t="str"/>
      <x:c r="O111" s="76" t="str"/>
      <x:c r="P111" s="76" t="str"/>
      <x:c r="Q111" s="76" t="str"/>
      <x:c r="R111" s="76" t="str"/>
      <x:c r="S111" s="76" t="str"/>
      <x:c r="T111" s="76" t="str"/>
    </x:row>
    <x:row r="112" s="23" customFormat="1" ht="36" customHeight="1">
      <x:c r="A112" s="49" t="b">
        <x:v>0</x:v>
      </x:c>
      <x:c r="B112" s="50" t="str">
        <x:v>106</x:v>
      </x:c>
      <x:c r="C112" s="51" t="str">
        <x:v>Fall of the Jedi</x:v>
      </x:c>
      <x:c r="D112" s="51" t="str">
        <x:v>The Clone Wars: A War on Two Fronts</x:v>
      </x:c>
      <x:c r="E112" s="50" t="str">
        <x:v>Season 5, Episode 2</x:v>
      </x:c>
      <x:c r="F112" s="51" t="str">
        <x:v>Series aired October 3, 2008–May 4, 2020</x:v>
      </x:c>
      <x:c r="G112" s="51" t="str">
        <x:v>Canon</x:v>
      </x:c>
      <x:c r="H112" s="51" t="str">
        <x:v>Episode</x:v>
      </x:c>
      <x:c r="I112" s="51" t="str">
        <x:v>Disney+</x:v>
      </x:c>
      <x:c r="J112" s="58" t="e">
        <x:f>HYPERLINK("https://www.disneyplus.com/video/ede2e807-00f4-4c49-b634-16d7826ef47a?cid=DTCI-Synergy-DDN-Site-Acquisition-StarWars-US-StarWars-StarWarsTheCloneWars-EN-BlogArticleEmbed-TCWChronological_StreamOnDisneyPlusCTA-NA","Watch")</x:f>
        <x:v>HYPERLINK is not implemented. linkLocation=https://www.disneyplus.com/video/ede2e807-00f4-4c49-b634-16d7826ef47a?cid=DTCI-Synergy-DDN-Site-Acquisition-StarWars-US-StarWars-StarWarsTheCloneWars-EN-BlogArticleEmbed-TCWChronological_StreamOnDisneyPlusCTA-NA, friendlyName=Watch</x:v>
      </x:c>
      <x:c r="K112" s="52" t="str">
        <x:v>Season 5, Episode 2 · Episode guide</x:v>
      </x:c>
      <x:c r="L112" s="76" t="str"/>
      <x:c r="M112" s="76" t="str"/>
      <x:c r="N112" s="76" t="str"/>
      <x:c r="O112" s="76" t="str"/>
      <x:c r="P112" s="76" t="str"/>
      <x:c r="Q112" s="76" t="str"/>
      <x:c r="R112" s="76" t="str"/>
      <x:c r="S112" s="76" t="str"/>
      <x:c r="T112" s="76" t="str"/>
    </x:row>
    <x:row r="113" s="23" customFormat="1" ht="36" customHeight="1">
      <x:c r="A113" s="49" t="b">
        <x:v>0</x:v>
      </x:c>
      <x:c r="B113" s="50" t="str">
        <x:v>107</x:v>
      </x:c>
      <x:c r="C113" s="51" t="str">
        <x:v>Fall of the Jedi</x:v>
      </x:c>
      <x:c r="D113" s="51" t="str">
        <x:v>The Clone Wars: Front Runners</x:v>
      </x:c>
      <x:c r="E113" s="50" t="str">
        <x:v>Season 5, Episode 3</x:v>
      </x:c>
      <x:c r="F113" s="51" t="str">
        <x:v>Series aired October 3, 2008–May 4, 2020</x:v>
      </x:c>
      <x:c r="G113" s="51" t="str">
        <x:v>Canon</x:v>
      </x:c>
      <x:c r="H113" s="51" t="str">
        <x:v>Episode</x:v>
      </x:c>
      <x:c r="I113" s="51" t="str">
        <x:v>Disney+</x:v>
      </x:c>
      <x:c r="J113" s="58" t="e">
        <x:f>HYPERLINK("https://www.disneyplus.com/video/e834cd28-5335-43c7-a5f1-9814431f414c?cid=DTCI-Synergy-DDN-Site-Acquisition-StarWars-US-StarWars-StarWarsTheCloneWars-EN-BlogArticleEmbed-TCWChronological_StreamOnDisneyPlusCTA-NA","Watch")</x:f>
        <x:v>HYPERLINK is not implemented. linkLocation=https://www.disneyplus.com/video/e834cd28-5335-43c7-a5f1-9814431f414c?cid=DTCI-Synergy-DDN-Site-Acquisition-StarWars-US-StarWars-StarWarsTheCloneWars-EN-BlogArticleEmbed-TCWChronological_StreamOnDisneyPlusCTA-NA, friendlyName=Watch</x:v>
      </x:c>
      <x:c r="K113" s="52" t="str">
        <x:v>Season 5, Episode 3 · Episode guide</x:v>
      </x:c>
      <x:c r="L113" s="76" t="str"/>
      <x:c r="M113" s="76" t="str"/>
      <x:c r="N113" s="76" t="str"/>
      <x:c r="O113" s="76" t="str"/>
      <x:c r="P113" s="76" t="str"/>
      <x:c r="Q113" s="76" t="str"/>
      <x:c r="R113" s="76" t="str"/>
      <x:c r="S113" s="76" t="str"/>
      <x:c r="T113" s="76" t="str"/>
    </x:row>
    <x:row r="114" s="23" customFormat="1" ht="36" customHeight="1">
      <x:c r="A114" s="49" t="b">
        <x:v>0</x:v>
      </x:c>
      <x:c r="B114" s="50" t="str">
        <x:v>108</x:v>
      </x:c>
      <x:c r="C114" s="51" t="str">
        <x:v>Fall of the Jedi</x:v>
      </x:c>
      <x:c r="D114" s="51" t="str">
        <x:v>The Clone Wars: The Soft War</x:v>
      </x:c>
      <x:c r="E114" s="50" t="str">
        <x:v>Season 5, Episode 4</x:v>
      </x:c>
      <x:c r="F114" s="51" t="str">
        <x:v>Series aired October 3, 2008–May 4, 2020</x:v>
      </x:c>
      <x:c r="G114" s="51" t="str">
        <x:v>Canon</x:v>
      </x:c>
      <x:c r="H114" s="51" t="str">
        <x:v>Episode</x:v>
      </x:c>
      <x:c r="I114" s="51" t="str">
        <x:v>Disney+</x:v>
      </x:c>
      <x:c r="J114" s="58" t="e">
        <x:f>HYPERLINK("https://www.disneyplus.com/video/bda5b155-0414-458c-9c65-457697ae8fb5?cid=DTCI-Synergy-DDN-Site-Acquisition-StarWars-US-StarWars-StarWarsTheCloneWars-EN-BlogArticleEmbed-TCWChronological_StreamOnDisneyPlusCTA-NA","Watch")</x:f>
        <x:v>HYPERLINK is not implemented. linkLocation=https://www.disneyplus.com/video/bda5b155-0414-458c-9c65-457697ae8fb5?cid=DTCI-Synergy-DDN-Site-Acquisition-StarWars-US-StarWars-StarWarsTheCloneWars-EN-BlogArticleEmbed-TCWChronological_StreamOnDisneyPlusCTA-NA, friendlyName=Watch</x:v>
      </x:c>
      <x:c r="K114" s="52" t="str">
        <x:v>Season 5, Episode 4 · Episode guide</x:v>
      </x:c>
      <x:c r="L114" s="76" t="str"/>
      <x:c r="M114" s="76" t="str"/>
      <x:c r="N114" s="76" t="str"/>
      <x:c r="O114" s="76" t="str"/>
      <x:c r="P114" s="76" t="str"/>
      <x:c r="Q114" s="76" t="str"/>
      <x:c r="R114" s="76" t="str"/>
      <x:c r="S114" s="76" t="str"/>
      <x:c r="T114" s="76" t="str"/>
    </x:row>
    <x:row r="115" s="23" customFormat="1" ht="36" customHeight="1">
      <x:c r="A115" s="49" t="b">
        <x:v>0</x:v>
      </x:c>
      <x:c r="B115" s="50" t="str">
        <x:v>109</x:v>
      </x:c>
      <x:c r="C115" s="51" t="str">
        <x:v>Fall of the Jedi</x:v>
      </x:c>
      <x:c r="D115" s="51" t="str">
        <x:v>The Clone Wars: Tipping Points</x:v>
      </x:c>
      <x:c r="E115" s="50" t="str">
        <x:v>Season 5, Episode 5</x:v>
      </x:c>
      <x:c r="F115" s="51" t="str">
        <x:v>Series aired October 3, 2008–May 4, 2020</x:v>
      </x:c>
      <x:c r="G115" s="51" t="str">
        <x:v>Canon</x:v>
      </x:c>
      <x:c r="H115" s="51" t="str">
        <x:v>Episode</x:v>
      </x:c>
      <x:c r="I115" s="51" t="str">
        <x:v>Disney+</x:v>
      </x:c>
      <x:c r="J115" s="58" t="e">
        <x:f>HYPERLINK("https://www.disneyplus.com/video/682b3543-c8ae-4f19-99f9-411bb43a0467?cid=DTCI-Synergy-DDN-Site-Acquisition-StarWars-US-StarWars-StarWarsTheCloneWars-EN-BlogArticleEmbed-TCWChronological_StreamOnDisneyPlusCTA-NA","Watch")</x:f>
        <x:v>HYPERLINK is not implemented. linkLocation=https://www.disneyplus.com/video/682b3543-c8ae-4f19-99f9-411bb43a0467?cid=DTCI-Synergy-DDN-Site-Acquisition-StarWars-US-StarWars-StarWarsTheCloneWars-EN-BlogArticleEmbed-TCWChronological_StreamOnDisneyPlusCTA-NA, friendlyName=Watch</x:v>
      </x:c>
      <x:c r="K115" s="52" t="str">
        <x:v>Season 5, Episode 5 · Episode guide</x:v>
      </x:c>
      <x:c r="L115" s="76" t="str"/>
      <x:c r="M115" s="76" t="str"/>
      <x:c r="N115" s="76" t="str"/>
      <x:c r="O115" s="76" t="str"/>
      <x:c r="P115" s="76" t="str"/>
      <x:c r="Q115" s="76" t="str"/>
      <x:c r="R115" s="76" t="str"/>
      <x:c r="S115" s="76" t="str"/>
      <x:c r="T115" s="76" t="str"/>
    </x:row>
    <x:row r="116" s="23" customFormat="1" ht="36" customHeight="1">
      <x:c r="A116" s="49" t="b">
        <x:v>0</x:v>
      </x:c>
      <x:c r="B116" s="50" t="str">
        <x:v>110</x:v>
      </x:c>
      <x:c r="C116" s="51" t="str">
        <x:v>Fall of the Jedi</x:v>
      </x:c>
      <x:c r="D116" s="51" t="str">
        <x:v>The Clone Wars: The Gathering</x:v>
      </x:c>
      <x:c r="E116" s="50" t="str">
        <x:v>Season 5, Episode 6</x:v>
      </x:c>
      <x:c r="F116" s="51" t="str">
        <x:v>Series aired October 3, 2008–May 4, 2020</x:v>
      </x:c>
      <x:c r="G116" s="51" t="str">
        <x:v>Canon</x:v>
      </x:c>
      <x:c r="H116" s="51" t="str">
        <x:v>Episode</x:v>
      </x:c>
      <x:c r="I116" s="51" t="str">
        <x:v>Disney+</x:v>
      </x:c>
      <x:c r="J116" s="58" t="e">
        <x:f>HYPERLINK("https://www.disneyplus.com/video/dce32899-0e62-479d-b33a-37ca69ad9565?cid=DTCI-Synergy-DDN-Site-Acquisition-StarWars-US-StarWars-StarWarsTheCloneWars-EN-BlogArticleEmbed-TCWChronological_StreamOnDisneyPlusCTA-NA","Watch")</x:f>
        <x:v>HYPERLINK is not implemented. linkLocation=https://www.disneyplus.com/video/dce32899-0e62-479d-b33a-37ca69ad9565?cid=DTCI-Synergy-DDN-Site-Acquisition-StarWars-US-StarWars-StarWarsTheCloneWars-EN-BlogArticleEmbed-TCWChronological_StreamOnDisneyPlusCTA-NA, friendlyName=Watch</x:v>
      </x:c>
      <x:c r="K116" s="52" t="str">
        <x:v>Season 5, Episode 6 · Episode guide</x:v>
      </x:c>
      <x:c r="L116" s="76" t="str"/>
      <x:c r="M116" s="76" t="str"/>
      <x:c r="N116" s="76" t="str"/>
      <x:c r="O116" s="76" t="str"/>
      <x:c r="P116" s="76" t="str"/>
      <x:c r="Q116" s="76" t="str"/>
      <x:c r="R116" s="76" t="str"/>
      <x:c r="S116" s="76" t="str"/>
      <x:c r="T116" s="76" t="str"/>
    </x:row>
    <x:row r="117" s="23" customFormat="1" ht="36" customHeight="1">
      <x:c r="A117" s="49" t="b">
        <x:v>0</x:v>
      </x:c>
      <x:c r="B117" s="50" t="str">
        <x:v>111</x:v>
      </x:c>
      <x:c r="C117" s="51" t="str">
        <x:v>Fall of the Jedi</x:v>
      </x:c>
      <x:c r="D117" s="51" t="str">
        <x:v>The Clone Wars: A Test of Strength</x:v>
      </x:c>
      <x:c r="E117" s="50" t="str">
        <x:v>Season 5, Episode 7</x:v>
      </x:c>
      <x:c r="F117" s="51" t="str">
        <x:v>Series aired October 3, 2008–May 4, 2020</x:v>
      </x:c>
      <x:c r="G117" s="51" t="str">
        <x:v>Canon</x:v>
      </x:c>
      <x:c r="H117" s="51" t="str">
        <x:v>Episode</x:v>
      </x:c>
      <x:c r="I117" s="51" t="str">
        <x:v>Disney+</x:v>
      </x:c>
      <x:c r="J117" s="58" t="e">
        <x:f>HYPERLINK("https://www.disneyplus.com/video/da339c6c-de91-40f2-a091-09cb11a80f17?cid=DTCI-Synergy-DDN-Site-Acquisition-StarWars-US-StarWars-StarWarsTheCloneWars-EN-BlogArticleEmbed-TCWChronological_StreamOnDisneyPlusCTA-NA","Watch")</x:f>
        <x:v>HYPERLINK is not implemented. linkLocation=https://www.disneyplus.com/video/da339c6c-de91-40f2-a091-09cb11a80f17?cid=DTCI-Synergy-DDN-Site-Acquisition-StarWars-US-StarWars-StarWarsTheCloneWars-EN-BlogArticleEmbed-TCWChronological_StreamOnDisneyPlusCTA-NA, friendlyName=Watch</x:v>
      </x:c>
      <x:c r="K117" s="52" t="str">
        <x:v>Season 5, Episode 7 · Episode guide</x:v>
      </x:c>
      <x:c r="L117" s="76" t="str"/>
      <x:c r="M117" s="76" t="str"/>
      <x:c r="N117" s="76" t="str"/>
      <x:c r="O117" s="76" t="str"/>
      <x:c r="P117" s="76" t="str"/>
      <x:c r="Q117" s="76" t="str"/>
      <x:c r="R117" s="76" t="str"/>
      <x:c r="S117" s="76" t="str"/>
      <x:c r="T117" s="76" t="str"/>
    </x:row>
    <x:row r="118" s="23" customFormat="1" ht="36" customHeight="1">
      <x:c r="A118" s="49" t="b">
        <x:v>0</x:v>
      </x:c>
      <x:c r="B118" s="50" t="str">
        <x:v>112</x:v>
      </x:c>
      <x:c r="C118" s="51" t="str">
        <x:v>Fall of the Jedi</x:v>
      </x:c>
      <x:c r="D118" s="51" t="str">
        <x:v>The Clone Wars: Bound for Rescue</x:v>
      </x:c>
      <x:c r="E118" s="50" t="str">
        <x:v>Season 5, Episode 8</x:v>
      </x:c>
      <x:c r="F118" s="51" t="str">
        <x:v>Series aired October 3, 2008–May 4, 2020</x:v>
      </x:c>
      <x:c r="G118" s="51" t="str">
        <x:v>Canon</x:v>
      </x:c>
      <x:c r="H118" s="51" t="str">
        <x:v>Episode</x:v>
      </x:c>
      <x:c r="I118" s="51" t="str">
        <x:v>Disney+</x:v>
      </x:c>
      <x:c r="J118" s="58" t="e">
        <x:f>HYPERLINK("https://www.disneyplus.com/video/8cc2c6fb-ec6b-406e-a334-bb44f2fed008?cid=DTCI-Synergy-DDN-Site-Acquisition-StarWars-US-StarWars-StarWarsTheCloneWars-EN-BlogArticleEmbed-TCWChronological_StreamOnDisneyPlusCTA-NA","Watch")</x:f>
        <x:v>HYPERLINK is not implemented. linkLocation=https://www.disneyplus.com/video/8cc2c6fb-ec6b-406e-a334-bb44f2fed008?cid=DTCI-Synergy-DDN-Site-Acquisition-StarWars-US-StarWars-StarWarsTheCloneWars-EN-BlogArticleEmbed-TCWChronological_StreamOnDisneyPlusCTA-NA, friendlyName=Watch</x:v>
      </x:c>
      <x:c r="K118" s="52" t="str">
        <x:v>Season 5, Episode 8 · Episode guide</x:v>
      </x:c>
      <x:c r="L118" s="76" t="str"/>
      <x:c r="M118" s="76" t="str"/>
      <x:c r="N118" s="76" t="str"/>
      <x:c r="O118" s="76" t="str"/>
      <x:c r="P118" s="76" t="str"/>
      <x:c r="Q118" s="76" t="str"/>
      <x:c r="R118" s="76" t="str"/>
      <x:c r="S118" s="76" t="str"/>
      <x:c r="T118" s="76" t="str"/>
    </x:row>
    <x:row r="119" s="23" customFormat="1" ht="36" customHeight="1">
      <x:c r="A119" s="49" t="b">
        <x:v>0</x:v>
      </x:c>
      <x:c r="B119" s="50" t="str">
        <x:v>113</x:v>
      </x:c>
      <x:c r="C119" s="51" t="str">
        <x:v>Fall of the Jedi</x:v>
      </x:c>
      <x:c r="D119" s="51" t="str">
        <x:v>The Clone Wars: A Necessary Bond</x:v>
      </x:c>
      <x:c r="E119" s="50" t="str">
        <x:v>Season 5, Episode 9</x:v>
      </x:c>
      <x:c r="F119" s="51" t="str">
        <x:v>Series aired October 3, 2008–May 4, 2020</x:v>
      </x:c>
      <x:c r="G119" s="51" t="str">
        <x:v>Canon</x:v>
      </x:c>
      <x:c r="H119" s="51" t="str">
        <x:v>Episode</x:v>
      </x:c>
      <x:c r="I119" s="51" t="str">
        <x:v>Disney+</x:v>
      </x:c>
      <x:c r="J119" s="58" t="e">
        <x:f>HYPERLINK("https://www.disneyplus.com/video/06eb2462-5d0c-42a9-a1b4-acc9ccfd109e?cid=DTCI-Synergy-DDN-Site-Acquisition-StarWars-US-StarWars-StarWarsTheCloneWars-EN-BlogArticleEmbed-TCWChronological_StreamOnDisneyPlusCTA-NA","Watch")</x:f>
        <x:v>HYPERLINK is not implemented. linkLocation=https://www.disneyplus.com/video/06eb2462-5d0c-42a9-a1b4-acc9ccfd109e?cid=DTCI-Synergy-DDN-Site-Acquisition-StarWars-US-StarWars-StarWarsTheCloneWars-EN-BlogArticleEmbed-TCWChronological_StreamOnDisneyPlusCTA-NA, friendlyName=Watch</x:v>
      </x:c>
      <x:c r="K119" s="52" t="str">
        <x:v>Season 5, Episode 9 · Episode guide</x:v>
      </x:c>
      <x:c r="L119" s="76" t="str"/>
      <x:c r="M119" s="76" t="str"/>
      <x:c r="N119" s="76" t="str"/>
      <x:c r="O119" s="76" t="str"/>
      <x:c r="P119" s="76" t="str"/>
      <x:c r="Q119" s="76" t="str"/>
      <x:c r="R119" s="76" t="str"/>
      <x:c r="S119" s="76" t="str"/>
      <x:c r="T119" s="76" t="str"/>
    </x:row>
    <x:row r="120" s="23" customFormat="1" ht="36" customHeight="1">
      <x:c r="A120" s="49" t="b">
        <x:v>0</x:v>
      </x:c>
      <x:c r="B120" s="50" t="str">
        <x:v>114</x:v>
      </x:c>
      <x:c r="C120" s="51" t="str">
        <x:v>Fall of the Jedi</x:v>
      </x:c>
      <x:c r="D120" s="51" t="str">
        <x:v>The Clone Wars: Secret Weapons</x:v>
      </x:c>
      <x:c r="E120" s="50" t="str">
        <x:v>Season 5, Episode 10</x:v>
      </x:c>
      <x:c r="F120" s="51" t="str">
        <x:v>Series aired October 3, 2008–May 4, 2020</x:v>
      </x:c>
      <x:c r="G120" s="51" t="str">
        <x:v>Canon</x:v>
      </x:c>
      <x:c r="H120" s="51" t="str">
        <x:v>Episode</x:v>
      </x:c>
      <x:c r="I120" s="51" t="str">
        <x:v>Disney+</x:v>
      </x:c>
      <x:c r="J120" s="58" t="e">
        <x:f>HYPERLINK("https://www.disneyplus.com/video/29f4f86d-1c16-47b5-9f2c-9df1e58fc01f?cid=DTCI-Synergy-DDN-Site-Acquisition-StarWars-US-StarWars-StarWarsTheCloneWars-EN-BlogArticleEmbed-TCWChronological_StreamOnDisneyPlusCTA-NA","Watch")</x:f>
        <x:v>HYPERLINK is not implemented. linkLocation=https://www.disneyplus.com/video/29f4f86d-1c16-47b5-9f2c-9df1e58fc01f?cid=DTCI-Synergy-DDN-Site-Acquisition-StarWars-US-StarWars-StarWarsTheCloneWars-EN-BlogArticleEmbed-TCWChronological_StreamOnDisneyPlusCTA-NA, friendlyName=Watch</x:v>
      </x:c>
      <x:c r="K120" s="52" t="str">
        <x:v>Season 5, Episode 10 · Episode guide</x:v>
      </x:c>
      <x:c r="L120" s="76" t="str"/>
      <x:c r="M120" s="76" t="str"/>
      <x:c r="N120" s="76" t="str"/>
      <x:c r="O120" s="76" t="str"/>
      <x:c r="P120" s="76" t="str"/>
      <x:c r="Q120" s="76" t="str"/>
      <x:c r="R120" s="76" t="str"/>
      <x:c r="S120" s="76" t="str"/>
      <x:c r="T120" s="76" t="str"/>
    </x:row>
    <x:row r="121" s="23" customFormat="1" ht="36" customHeight="1">
      <x:c r="A121" s="49" t="b">
        <x:v>0</x:v>
      </x:c>
      <x:c r="B121" s="50" t="str">
        <x:v>115</x:v>
      </x:c>
      <x:c r="C121" s="51" t="str">
        <x:v>Fall of the Jedi</x:v>
      </x:c>
      <x:c r="D121" s="51" t="str">
        <x:v>The Clone Wars: A Sunny Day in the Void</x:v>
      </x:c>
      <x:c r="E121" s="50" t="str">
        <x:v>Season 5, Episode 11</x:v>
      </x:c>
      <x:c r="F121" s="51" t="str">
        <x:v>Series aired October 3, 2008–May 4, 2020</x:v>
      </x:c>
      <x:c r="G121" s="51" t="str">
        <x:v>Canon</x:v>
      </x:c>
      <x:c r="H121" s="51" t="str">
        <x:v>Episode</x:v>
      </x:c>
      <x:c r="I121" s="51" t="str">
        <x:v>Disney+</x:v>
      </x:c>
      <x:c r="J121" s="58" t="e">
        <x:f>HYPERLINK("https://www.disneyplus.com/video/9c96ac8c-2f1e-463e-8361-218fb2796aff?cid=DTCI-Synergy-DDN-Site-Acquisition-StarWars-US-StarWars-StarWarsTheCloneWars-EN-BlogArticleEmbed-TCWChronological_StreamOnDisneyPlusCTA-NA","Watch")</x:f>
        <x:v>HYPERLINK is not implemented. linkLocation=https://www.disneyplus.com/video/9c96ac8c-2f1e-463e-8361-218fb2796aff?cid=DTCI-Synergy-DDN-Site-Acquisition-StarWars-US-StarWars-StarWarsTheCloneWars-EN-BlogArticleEmbed-TCWChronological_StreamOnDisneyPlusCTA-NA, friendlyName=Watch</x:v>
      </x:c>
      <x:c r="K121" s="52" t="str">
        <x:v>Season 5, Episode 11 · Episode guide</x:v>
      </x:c>
      <x:c r="L121" s="76" t="str"/>
      <x:c r="M121" s="76" t="str"/>
      <x:c r="N121" s="76" t="str"/>
      <x:c r="O121" s="76" t="str"/>
      <x:c r="P121" s="76" t="str"/>
      <x:c r="Q121" s="76" t="str"/>
      <x:c r="R121" s="76" t="str"/>
      <x:c r="S121" s="76" t="str"/>
      <x:c r="T121" s="76" t="str"/>
    </x:row>
    <x:row r="122" s="23" customFormat="1" ht="36" customHeight="1">
      <x:c r="A122" s="49" t="b">
        <x:v>0</x:v>
      </x:c>
      <x:c r="B122" s="50" t="str">
        <x:v>116</x:v>
      </x:c>
      <x:c r="C122" s="51" t="str">
        <x:v>Fall of the Jedi</x:v>
      </x:c>
      <x:c r="D122" s="51" t="str">
        <x:v>The Clone Wars: Missing in Action</x:v>
      </x:c>
      <x:c r="E122" s="50" t="str">
        <x:v>Season 5, Episode 12</x:v>
      </x:c>
      <x:c r="F122" s="51" t="str">
        <x:v>Series aired October 3, 2008–May 4, 2020</x:v>
      </x:c>
      <x:c r="G122" s="51" t="str">
        <x:v>Canon</x:v>
      </x:c>
      <x:c r="H122" s="51" t="str">
        <x:v>Episode</x:v>
      </x:c>
      <x:c r="I122" s="51" t="str">
        <x:v>Disney+</x:v>
      </x:c>
      <x:c r="J122" s="58" t="e">
        <x:f>HYPERLINK("https://www.disneyplus.com/video/3f8328ff-925d-4554-808c-5dc2c03c5df7?cid=DTCI-Synergy-DDN-Site-Acquisition-StarWars-US-StarWars-StarWarsTheCloneWars-EN-BlogArticleEmbed-TCWChronological_StreamOnDisneyPlusCTA-NA","Watch")</x:f>
        <x:v>HYPERLINK is not implemented. linkLocation=https://www.disneyplus.com/video/3f8328ff-925d-4554-808c-5dc2c03c5df7?cid=DTCI-Synergy-DDN-Site-Acquisition-StarWars-US-StarWars-StarWarsTheCloneWars-EN-BlogArticleEmbed-TCWChronological_StreamOnDisneyPlusCTA-NA, friendlyName=Watch</x:v>
      </x:c>
      <x:c r="K122" s="52" t="str">
        <x:v>Season 5, Episode 12 · Episode guide</x:v>
      </x:c>
      <x:c r="L122" s="76" t="str"/>
      <x:c r="M122" s="76" t="str"/>
      <x:c r="N122" s="76" t="str"/>
      <x:c r="O122" s="76" t="str"/>
      <x:c r="P122" s="76" t="str"/>
      <x:c r="Q122" s="76" t="str"/>
      <x:c r="R122" s="76" t="str"/>
      <x:c r="S122" s="76" t="str"/>
      <x:c r="T122" s="76" t="str"/>
    </x:row>
    <x:row r="123" s="23" customFormat="1" ht="36" customHeight="1">
      <x:c r="A123" s="49" t="b">
        <x:v>0</x:v>
      </x:c>
      <x:c r="B123" s="50" t="str">
        <x:v>117</x:v>
      </x:c>
      <x:c r="C123" s="51" t="str">
        <x:v>Fall of the Jedi</x:v>
      </x:c>
      <x:c r="D123" s="51" t="str">
        <x:v>The Clone Wars: Point of No Return</x:v>
      </x:c>
      <x:c r="E123" s="50" t="str">
        <x:v>Season 5, Episode 13</x:v>
      </x:c>
      <x:c r="F123" s="51" t="str">
        <x:v>Series aired October 3, 2008–May 4, 2020</x:v>
      </x:c>
      <x:c r="G123" s="51" t="str">
        <x:v>Canon</x:v>
      </x:c>
      <x:c r="H123" s="51" t="str">
        <x:v>Episode</x:v>
      </x:c>
      <x:c r="I123" s="51" t="str">
        <x:v>Disney+</x:v>
      </x:c>
      <x:c r="J123" s="58" t="e">
        <x:f>HYPERLINK("https://www.disneyplus.com/video/7fd11383-337a-43ef-a633-94f357cc511a?cid=DTCI-Synergy-DDN-Site-Acquisition-StarWars-US-StarWars-StarWarsTheCloneWars-EN-BlogArticleEmbed-TCWChronological_StreamOnDisneyPlusCTA-NA","Watch")</x:f>
        <x:v>HYPERLINK is not implemented. linkLocation=https://www.disneyplus.com/video/7fd11383-337a-43ef-a633-94f357cc511a?cid=DTCI-Synergy-DDN-Site-Acquisition-StarWars-US-StarWars-StarWarsTheCloneWars-EN-BlogArticleEmbed-TCWChronological_StreamOnDisneyPlusCTA-NA, friendlyName=Watch</x:v>
      </x:c>
      <x:c r="K123" s="52" t="str">
        <x:v>Season 5, Episode 13 · Episode guide</x:v>
      </x:c>
      <x:c r="L123" s="76" t="str"/>
      <x:c r="M123" s="76" t="str"/>
      <x:c r="N123" s="76" t="str"/>
      <x:c r="O123" s="76" t="str"/>
      <x:c r="P123" s="76" t="str"/>
      <x:c r="Q123" s="76" t="str"/>
      <x:c r="R123" s="76" t="str"/>
      <x:c r="S123" s="76" t="str"/>
      <x:c r="T123" s="76" t="str"/>
    </x:row>
    <x:row r="124" s="23" customFormat="1" ht="36" customHeight="1">
      <x:c r="A124" s="49" t="b">
        <x:v>0</x:v>
      </x:c>
      <x:c r="B124" s="50" t="str">
        <x:v>118</x:v>
      </x:c>
      <x:c r="C124" s="51" t="str">
        <x:v>Fall of the Jedi</x:v>
      </x:c>
      <x:c r="D124" s="51" t="str">
        <x:v>The Clone Wars: Revival</x:v>
      </x:c>
      <x:c r="E124" s="50" t="str">
        <x:v>Season 5, Episode 1</x:v>
      </x:c>
      <x:c r="F124" s="51" t="str">
        <x:v>Series aired October 3, 2008–May 4, 2020</x:v>
      </x:c>
      <x:c r="G124" s="51" t="str">
        <x:v>Canon</x:v>
      </x:c>
      <x:c r="H124" s="51" t="str">
        <x:v>Episode</x:v>
      </x:c>
      <x:c r="I124" s="51" t="str">
        <x:v>Disney+</x:v>
      </x:c>
      <x:c r="J124" s="58" t="e">
        <x:f>HYPERLINK("https://www.disneyplus.com/video/46bf27c0-bc74-404a-98de-56bbe187d941?cid=DTCI-Synergy-DDN-Site-Acquisition-StarWars-US-StarWars-StarWarsTheCloneWars-EN-BlogArticleEmbed-TCWChronological_StreamOnDisneyPlusCTA-NA","Watch")</x:f>
        <x:v>HYPERLINK is not implemented. linkLocation=https://www.disneyplus.com/video/46bf27c0-bc74-404a-98de-56bbe187d941?cid=DTCI-Synergy-DDN-Site-Acquisition-StarWars-US-StarWars-StarWarsTheCloneWars-EN-BlogArticleEmbed-TCWChronological_StreamOnDisneyPlusCTA-NA, friendlyName=Watch</x:v>
      </x:c>
      <x:c r="K124" s="52" t="str">
        <x:v>Season 5, Episode 1 · Episode guide</x:v>
      </x:c>
      <x:c r="L124" s="76" t="str"/>
      <x:c r="M124" s="76" t="str"/>
      <x:c r="N124" s="76" t="str"/>
      <x:c r="O124" s="76" t="str"/>
      <x:c r="P124" s="76" t="str"/>
      <x:c r="Q124" s="76" t="str"/>
      <x:c r="R124" s="76" t="str"/>
      <x:c r="S124" s="76" t="str"/>
      <x:c r="T124" s="76" t="str"/>
    </x:row>
    <x:row r="125" s="23" customFormat="1" ht="36" customHeight="1">
      <x:c r="A125" s="49" t="b">
        <x:v>0</x:v>
      </x:c>
      <x:c r="B125" s="50" t="str">
        <x:v>119</x:v>
      </x:c>
      <x:c r="C125" s="51" t="str">
        <x:v>Fall of the Jedi</x:v>
      </x:c>
      <x:c r="D125" s="51" t="str">
        <x:v>The Clone Wars: Eminence</x:v>
      </x:c>
      <x:c r="E125" s="50" t="str">
        <x:v>Season 5, Episode 14</x:v>
      </x:c>
      <x:c r="F125" s="51" t="str">
        <x:v>Series aired October 3, 2008–May 4, 2020</x:v>
      </x:c>
      <x:c r="G125" s="51" t="str">
        <x:v>Canon</x:v>
      </x:c>
      <x:c r="H125" s="51" t="str">
        <x:v>Episode</x:v>
      </x:c>
      <x:c r="I125" s="51" t="str">
        <x:v>Disney+</x:v>
      </x:c>
      <x:c r="J125" s="58" t="e">
        <x:f>HYPERLINK("https://www.disneyplus.com/video/bce6b831-36ff-4ef7-9c85-7ae8030cdbcb?cid=DTCI-Synergy-DDN-Site-Acquisition-StarWars-US-StarWars-StarWarsTheCloneWars-EN-BlogArticleEmbed-TCWChronological_StreamOnDisneyPlusCTA-NA","Watch")</x:f>
        <x:v>HYPERLINK is not implemented. linkLocation=https://www.disneyplus.com/video/bce6b831-36ff-4ef7-9c85-7ae8030cdbcb?cid=DTCI-Synergy-DDN-Site-Acquisition-StarWars-US-StarWars-StarWarsTheCloneWars-EN-BlogArticleEmbed-TCWChronological_StreamOnDisneyPlusCTA-NA, friendlyName=Watch</x:v>
      </x:c>
      <x:c r="K125" s="52" t="str">
        <x:v>Season 5, Episode 14 · Episode guide</x:v>
      </x:c>
      <x:c r="L125" s="76" t="str"/>
      <x:c r="M125" s="76" t="str"/>
      <x:c r="N125" s="76" t="str"/>
      <x:c r="O125" s="76" t="str"/>
      <x:c r="P125" s="76" t="str"/>
      <x:c r="Q125" s="76" t="str"/>
      <x:c r="R125" s="76" t="str"/>
      <x:c r="S125" s="76" t="str"/>
      <x:c r="T125" s="76" t="str"/>
    </x:row>
    <x:row r="126" s="23" customFormat="1" ht="36" customHeight="1">
      <x:c r="A126" s="49" t="b">
        <x:v>0</x:v>
      </x:c>
      <x:c r="B126" s="50" t="str">
        <x:v>120</x:v>
      </x:c>
      <x:c r="C126" s="51" t="str">
        <x:v>Fall of the Jedi</x:v>
      </x:c>
      <x:c r="D126" s="51" t="str">
        <x:v>The Clone Wars: Shades of Reason</x:v>
      </x:c>
      <x:c r="E126" s="50" t="str">
        <x:v>Season 5, Episode 15</x:v>
      </x:c>
      <x:c r="F126" s="51" t="str">
        <x:v>Series aired October 3, 2008–May 4, 2020</x:v>
      </x:c>
      <x:c r="G126" s="51" t="str">
        <x:v>Canon</x:v>
      </x:c>
      <x:c r="H126" s="51" t="str">
        <x:v>Episode</x:v>
      </x:c>
      <x:c r="I126" s="51" t="str">
        <x:v>Disney+</x:v>
      </x:c>
      <x:c r="J126" s="58" t="e">
        <x:f>HYPERLINK("https://www.disneyplus.com/video/9fce5334-6a7b-4308-9d90-e50e579b5cbb?cid=DTCI-Synergy-DDN-Site-Acquisition-StarWars-US-StarWars-StarWarsTheCloneWars-EN-BlogArticleEmbed-TCWChronological_StreamOnDisneyPlusCTA-NA","Watch")</x:f>
        <x:v>HYPERLINK is not implemented. linkLocation=https://www.disneyplus.com/video/9fce5334-6a7b-4308-9d90-e50e579b5cbb?cid=DTCI-Synergy-DDN-Site-Acquisition-StarWars-US-StarWars-StarWarsTheCloneWars-EN-BlogArticleEmbed-TCWChronological_StreamOnDisneyPlusCTA-NA, friendlyName=Watch</x:v>
      </x:c>
      <x:c r="K126" s="52" t="str">
        <x:v>Season 5, Episode 15 · Episode guide</x:v>
      </x:c>
      <x:c r="L126" s="76" t="str"/>
      <x:c r="M126" s="76" t="str"/>
      <x:c r="N126" s="76" t="str"/>
      <x:c r="O126" s="76" t="str"/>
      <x:c r="P126" s="76" t="str"/>
      <x:c r="Q126" s="76" t="str"/>
      <x:c r="R126" s="76" t="str"/>
      <x:c r="S126" s="76" t="str"/>
      <x:c r="T126" s="76" t="str"/>
    </x:row>
    <x:row r="127" s="23" customFormat="1" ht="36" customHeight="1">
      <x:c r="A127" s="49" t="b">
        <x:v>0</x:v>
      </x:c>
      <x:c r="B127" s="50" t="str">
        <x:v>121</x:v>
      </x:c>
      <x:c r="C127" s="51" t="str">
        <x:v>Fall of the Jedi</x:v>
      </x:c>
      <x:c r="D127" s="51" t="str">
        <x:v>The Clone Wars: The Lawless</x:v>
      </x:c>
      <x:c r="E127" s="50" t="str">
        <x:v>Season 5, Episode 16</x:v>
      </x:c>
      <x:c r="F127" s="51" t="str">
        <x:v>Series aired October 3, 2008–May 4, 2020</x:v>
      </x:c>
      <x:c r="G127" s="51" t="str">
        <x:v>Canon</x:v>
      </x:c>
      <x:c r="H127" s="51" t="str">
        <x:v>Episode</x:v>
      </x:c>
      <x:c r="I127" s="51" t="str">
        <x:v>Disney+</x:v>
      </x:c>
      <x:c r="J127" s="58" t="e">
        <x:f>HYPERLINK("https://www.disneyplus.com/video/13bc0d23-46f6-4650-952c-57a19aac17bd?cid=DTCI-Synergy-DDN-Site-Acquisition-StarWars-US-StarWars-StarWarsTheCloneWars-EN-BlogArticleEmbed-TCWChronological_StreamOnDisneyPlusCTA-NA","Watch")</x:f>
        <x:v>HYPERLINK is not implemented. linkLocation=https://www.disneyplus.com/video/13bc0d23-46f6-4650-952c-57a19aac17bd?cid=DTCI-Synergy-DDN-Site-Acquisition-StarWars-US-StarWars-StarWarsTheCloneWars-EN-BlogArticleEmbed-TCWChronological_StreamOnDisneyPlusCTA-NA, friendlyName=Watch</x:v>
      </x:c>
      <x:c r="K127" s="52" t="str">
        <x:v>Season 5, Episode 16 · Episode guide</x:v>
      </x:c>
      <x:c r="L127" s="76" t="str"/>
      <x:c r="M127" s="76" t="str"/>
      <x:c r="N127" s="76" t="str"/>
      <x:c r="O127" s="76" t="str"/>
      <x:c r="P127" s="76" t="str"/>
      <x:c r="Q127" s="76" t="str"/>
      <x:c r="R127" s="76" t="str"/>
      <x:c r="S127" s="76" t="str"/>
      <x:c r="T127" s="76" t="str"/>
    </x:row>
    <x:row r="128" s="23" customFormat="1" ht="36" customHeight="1">
      <x:c r="A128" s="49" t="b">
        <x:v>0</x:v>
      </x:c>
      <x:c r="B128" s="50" t="str">
        <x:v>122</x:v>
      </x:c>
      <x:c r="C128" s="51" t="str">
        <x:v>Fall of the Jedi</x:v>
      </x:c>
      <x:c r="D128" s="51" t="str">
        <x:v>The Clone Wars: Sabotage</x:v>
      </x:c>
      <x:c r="E128" s="50" t="str">
        <x:v>Season 5, Episode 17</x:v>
      </x:c>
      <x:c r="F128" s="51" t="str">
        <x:v>Series aired October 3, 2008–May 4, 2020</x:v>
      </x:c>
      <x:c r="G128" s="51" t="str">
        <x:v>Canon</x:v>
      </x:c>
      <x:c r="H128" s="51" t="str">
        <x:v>Episode</x:v>
      </x:c>
      <x:c r="I128" s="51" t="str">
        <x:v>Disney+</x:v>
      </x:c>
      <x:c r="J128" s="58" t="e">
        <x:f>HYPERLINK("https://www.disneyplus.com/video/17176f47-85e5-4687-ae84-a3d7f6984415?cid=DTCI-Synergy-DDN-Site-Acquisition-StarWars-US-StarWars-StarWarsTheCloneWars-EN-BlogArticleEmbed-TCWChronological_StreamOnDisneyPlusCTA-NA","Watch")</x:f>
        <x:v>HYPERLINK is not implemented. linkLocation=https://www.disneyplus.com/video/17176f47-85e5-4687-ae84-a3d7f6984415?cid=DTCI-Synergy-DDN-Site-Acquisition-StarWars-US-StarWars-StarWarsTheCloneWars-EN-BlogArticleEmbed-TCWChronological_StreamOnDisneyPlusCTA-NA, friendlyName=Watch</x:v>
      </x:c>
      <x:c r="K128" s="52" t="str">
        <x:v>Season 5, Episode 17 · Episode guide</x:v>
      </x:c>
      <x:c r="L128" s="76" t="str"/>
      <x:c r="M128" s="76" t="str"/>
      <x:c r="N128" s="76" t="str"/>
      <x:c r="O128" s="76" t="str"/>
      <x:c r="P128" s="76" t="str"/>
      <x:c r="Q128" s="76" t="str"/>
      <x:c r="R128" s="76" t="str"/>
      <x:c r="S128" s="76" t="str"/>
      <x:c r="T128" s="76" t="str"/>
    </x:row>
    <x:row r="129" s="23" customFormat="1" ht="36" customHeight="1">
      <x:c r="A129" s="49" t="b">
        <x:v>0</x:v>
      </x:c>
      <x:c r="B129" s="50" t="str">
        <x:v>123</x:v>
      </x:c>
      <x:c r="C129" s="51" t="str">
        <x:v>Fall of the Jedi</x:v>
      </x:c>
      <x:c r="D129" s="51" t="str">
        <x:v>The Clone Wars: The Jedi Who Knew Too Much</x:v>
      </x:c>
      <x:c r="E129" s="50" t="str">
        <x:v>Season 5, Episode 18</x:v>
      </x:c>
      <x:c r="F129" s="51" t="str">
        <x:v>Series aired October 3, 2008–May 4, 2020</x:v>
      </x:c>
      <x:c r="G129" s="51" t="str">
        <x:v>Canon</x:v>
      </x:c>
      <x:c r="H129" s="51" t="str">
        <x:v>Episode</x:v>
      </x:c>
      <x:c r="I129" s="51" t="str">
        <x:v>Disney+</x:v>
      </x:c>
      <x:c r="J129" s="58" t="e">
        <x:f>HYPERLINK("https://www.disneyplus.com/video/a799d6f3-a50e-4be0-b8f2-8102f11c1bb7?cid=DTCI-Synergy-DDN-Site-Acquisition-StarWars-US-StarWars-StarWarsTheCloneWars-EN-BlogArticleEmbed-TCWChronological_StreamOnDisneyPlusCTA-NA","Watch")</x:f>
        <x:v>HYPERLINK is not implemented. linkLocation=https://www.disneyplus.com/video/a799d6f3-a50e-4be0-b8f2-8102f11c1bb7?cid=DTCI-Synergy-DDN-Site-Acquisition-StarWars-US-StarWars-StarWarsTheCloneWars-EN-BlogArticleEmbed-TCWChronological_StreamOnDisneyPlusCTA-NA, friendlyName=Watch</x:v>
      </x:c>
      <x:c r="K129" s="52" t="str">
        <x:v>Season 5, Episode 18 · Episode guide</x:v>
      </x:c>
      <x:c r="L129" s="76" t="str"/>
      <x:c r="M129" s="76" t="str"/>
      <x:c r="N129" s="76" t="str"/>
      <x:c r="O129" s="76" t="str"/>
      <x:c r="P129" s="76" t="str"/>
      <x:c r="Q129" s="76" t="str"/>
      <x:c r="R129" s="76" t="str"/>
      <x:c r="S129" s="76" t="str"/>
      <x:c r="T129" s="76" t="str"/>
    </x:row>
    <x:row r="130" s="23" customFormat="1" ht="36" customHeight="1">
      <x:c r="A130" s="49" t="b">
        <x:v>0</x:v>
      </x:c>
      <x:c r="B130" s="50" t="str">
        <x:v>124</x:v>
      </x:c>
      <x:c r="C130" s="51" t="str">
        <x:v>Fall of the Jedi</x:v>
      </x:c>
      <x:c r="D130" s="51" t="str">
        <x:v>The Clone Wars: To Catch a Jedi</x:v>
      </x:c>
      <x:c r="E130" s="50" t="str">
        <x:v>Season 5, Episode 19</x:v>
      </x:c>
      <x:c r="F130" s="51" t="str">
        <x:v>Series aired October 3, 2008–May 4, 2020</x:v>
      </x:c>
      <x:c r="G130" s="51" t="str">
        <x:v>Canon</x:v>
      </x:c>
      <x:c r="H130" s="51" t="str">
        <x:v>Episode</x:v>
      </x:c>
      <x:c r="I130" s="51" t="str">
        <x:v>Disney+</x:v>
      </x:c>
      <x:c r="J130" s="58" t="e">
        <x:f>HYPERLINK("https://www.disneyplus.com/video/d504b77e-8c64-44a4-b051-ca5e9300d4a9?cid=DTCI-Synergy-DDN-Site-Acquisition-StarWars-US-StarWars-StarWarsTheCloneWars-EN-BlogArticleEmbed-TCWChronological_StreamOnDisneyPlusCTA-NA","Watch")</x:f>
        <x:v>HYPERLINK is not implemented. linkLocation=https://www.disneyplus.com/video/d504b77e-8c64-44a4-b051-ca5e9300d4a9?cid=DTCI-Synergy-DDN-Site-Acquisition-StarWars-US-StarWars-StarWarsTheCloneWars-EN-BlogArticleEmbed-TCWChronological_StreamOnDisneyPlusCTA-NA, friendlyName=Watch</x:v>
      </x:c>
      <x:c r="K130" s="52" t="str">
        <x:v>Season 5, Episode 19 · Episode guide</x:v>
      </x:c>
      <x:c r="L130" s="76" t="str"/>
      <x:c r="M130" s="76" t="str"/>
      <x:c r="N130" s="76" t="str"/>
      <x:c r="O130" s="76" t="str"/>
      <x:c r="P130" s="76" t="str"/>
      <x:c r="Q130" s="76" t="str"/>
      <x:c r="R130" s="76" t="str"/>
      <x:c r="S130" s="76" t="str"/>
      <x:c r="T130" s="76" t="str"/>
    </x:row>
    <x:row r="131" s="23" customFormat="1" ht="36" customHeight="1">
      <x:c r="A131" s="49" t="b">
        <x:v>0</x:v>
      </x:c>
      <x:c r="B131" s="50" t="str">
        <x:v>125</x:v>
      </x:c>
      <x:c r="C131" s="51" t="str">
        <x:v>Fall of the Jedi</x:v>
      </x:c>
      <x:c r="D131" s="51" t="str">
        <x:v>The Clone Wars: The Wrong Jedi</x:v>
      </x:c>
      <x:c r="E131" s="50" t="str">
        <x:v>Season 5, Episode 20</x:v>
      </x:c>
      <x:c r="F131" s="51" t="str">
        <x:v>Series aired October 3, 2008–May 4, 2020</x:v>
      </x:c>
      <x:c r="G131" s="51" t="str">
        <x:v>Canon</x:v>
      </x:c>
      <x:c r="H131" s="51" t="str">
        <x:v>Episode</x:v>
      </x:c>
      <x:c r="I131" s="51" t="str">
        <x:v>Disney+</x:v>
      </x:c>
      <x:c r="J131" s="58" t="e">
        <x:f>HYPERLINK("https://www.disneyplus.com/video/c09fcde1-1b4d-40da-af52-5d8fa0611a53?cid=DTCI-Synergy-DDN-Site-Acquisition-StarWars-US-StarWars-StarWarsTheCloneWars-EN-BlogArticleEmbed-TCWChronological_StreamOnDisneyPlusCTA-NA","Watch")</x:f>
        <x:v>HYPERLINK is not implemented. linkLocation=https://www.disneyplus.com/video/c09fcde1-1b4d-40da-af52-5d8fa0611a53?cid=DTCI-Synergy-DDN-Site-Acquisition-StarWars-US-StarWars-StarWarsTheCloneWars-EN-BlogArticleEmbed-TCWChronological_StreamOnDisneyPlusCTA-NA, friendlyName=Watch</x:v>
      </x:c>
      <x:c r="K131" s="52" t="str">
        <x:v>Season 5, Episode 20 · Episode guide</x:v>
      </x:c>
      <x:c r="L131" s="76" t="str"/>
      <x:c r="M131" s="76" t="str"/>
      <x:c r="N131" s="76" t="str"/>
      <x:c r="O131" s="76" t="str"/>
      <x:c r="P131" s="76" t="str"/>
      <x:c r="Q131" s="76" t="str"/>
      <x:c r="R131" s="76" t="str"/>
      <x:c r="S131" s="76" t="str"/>
      <x:c r="T131" s="76" t="str"/>
    </x:row>
    <x:row r="132" s="23" customFormat="1" ht="36" customHeight="1">
      <x:c r="A132" s="49" t="b">
        <x:v>0</x:v>
      </x:c>
      <x:c r="B132" s="50" t="str">
        <x:v>126</x:v>
      </x:c>
      <x:c r="C132" s="51" t="str">
        <x:v>Fall of the Jedi</x:v>
      </x:c>
      <x:c r="D132" s="51" t="str">
        <x:v>The Clone Wars: The Unknown</x:v>
      </x:c>
      <x:c r="E132" s="50" t="str">
        <x:v>Season 6, Episode 1</x:v>
      </x:c>
      <x:c r="F132" s="51" t="str">
        <x:v>Series aired October 3, 2008–May 4, 2020</x:v>
      </x:c>
      <x:c r="G132" s="51" t="str">
        <x:v>Canon</x:v>
      </x:c>
      <x:c r="H132" s="51" t="str">
        <x:v>Episode</x:v>
      </x:c>
      <x:c r="I132" s="51" t="str">
        <x:v>Disney+</x:v>
      </x:c>
      <x:c r="J132" s="58" t="e">
        <x:f>HYPERLINK("https://www.disneyplus.com/video/ec135b2d-d990-4564-99d4-2e3a2ee866bd?cid=DTCI-Synergy-DDN-Site-Acquisition-StarWars-US-StarWars-StarWarsTheCloneWars-EN-BlogArticleEmbed-TCWChronological_StreamOnDisneyPlusCTA-NA","Watch")</x:f>
        <x:v>HYPERLINK is not implemented. linkLocation=https://www.disneyplus.com/video/ec135b2d-d990-4564-99d4-2e3a2ee866bd?cid=DTCI-Synergy-DDN-Site-Acquisition-StarWars-US-StarWars-StarWarsTheCloneWars-EN-BlogArticleEmbed-TCWChronological_StreamOnDisneyPlusCTA-NA, friendlyName=Watch</x:v>
      </x:c>
      <x:c r="K132" s="52" t="str">
        <x:v>Season 6, Episode 1 · Episode guide</x:v>
      </x:c>
      <x:c r="L132" s="76" t="str"/>
      <x:c r="M132" s="76" t="str"/>
      <x:c r="N132" s="76" t="str"/>
      <x:c r="O132" s="76" t="str"/>
      <x:c r="P132" s="76" t="str"/>
      <x:c r="Q132" s="76" t="str"/>
      <x:c r="R132" s="76" t="str"/>
      <x:c r="S132" s="76" t="str"/>
      <x:c r="T132" s="76" t="str"/>
    </x:row>
    <x:row r="133" s="23" customFormat="1" ht="36" customHeight="1">
      <x:c r="A133" s="49" t="b">
        <x:v>0</x:v>
      </x:c>
      <x:c r="B133" s="50" t="str">
        <x:v>127</x:v>
      </x:c>
      <x:c r="C133" s="51" t="str">
        <x:v>Fall of the Jedi</x:v>
      </x:c>
      <x:c r="D133" s="51" t="str">
        <x:v>The Clone Wars: Conspiracy</x:v>
      </x:c>
      <x:c r="E133" s="50" t="str">
        <x:v>Season 6, Episode 2</x:v>
      </x:c>
      <x:c r="F133" s="51" t="str">
        <x:v>Series aired October 3, 2008–May 4, 2020</x:v>
      </x:c>
      <x:c r="G133" s="51" t="str">
        <x:v>Canon</x:v>
      </x:c>
      <x:c r="H133" s="51" t="str">
        <x:v>Episode</x:v>
      </x:c>
      <x:c r="I133" s="51" t="str">
        <x:v>Disney+</x:v>
      </x:c>
      <x:c r="J133" s="58" t="e">
        <x:f>HYPERLINK("https://www.disneyplus.com/video/d4e8fd92-4d92-494d-8d49-d5b148bdcbb5?cid=DTCI-Synergy-DDN-Site-Acquisition-StarWars-US-StarWars-StarWarsTheCloneWars-EN-BlogArticleEmbed-TCWChronological_StreamOnDisneyPlusCTA-NA","Watch")</x:f>
        <x:v>HYPERLINK is not implemented. linkLocation=https://www.disneyplus.com/video/d4e8fd92-4d92-494d-8d49-d5b148bdcbb5?cid=DTCI-Synergy-DDN-Site-Acquisition-StarWars-US-StarWars-StarWarsTheCloneWars-EN-BlogArticleEmbed-TCWChronological_StreamOnDisneyPlusCTA-NA, friendlyName=Watch</x:v>
      </x:c>
      <x:c r="K133" s="52" t="str">
        <x:v>Season 6, Episode 2 · Episode guide</x:v>
      </x:c>
      <x:c r="L133" s="76" t="str"/>
      <x:c r="M133" s="76" t="str"/>
      <x:c r="N133" s="76" t="str"/>
      <x:c r="O133" s="76" t="str"/>
      <x:c r="P133" s="76" t="str"/>
      <x:c r="Q133" s="76" t="str"/>
      <x:c r="R133" s="76" t="str"/>
      <x:c r="S133" s="76" t="str"/>
      <x:c r="T133" s="76" t="str"/>
    </x:row>
    <x:row r="134" s="23" customFormat="1" ht="36" customHeight="1">
      <x:c r="A134" s="49" t="b">
        <x:v>0</x:v>
      </x:c>
      <x:c r="B134" s="50" t="str">
        <x:v>128</x:v>
      </x:c>
      <x:c r="C134" s="51" t="str">
        <x:v>Fall of the Jedi</x:v>
      </x:c>
      <x:c r="D134" s="51" t="str">
        <x:v>The Clone Wars: Fugitive</x:v>
      </x:c>
      <x:c r="E134" s="50" t="str">
        <x:v>Season 6, Episode 3</x:v>
      </x:c>
      <x:c r="F134" s="51" t="str">
        <x:v>Series aired October 3, 2008–May 4, 2020</x:v>
      </x:c>
      <x:c r="G134" s="51" t="str">
        <x:v>Canon</x:v>
      </x:c>
      <x:c r="H134" s="51" t="str">
        <x:v>Episode</x:v>
      </x:c>
      <x:c r="I134" s="51" t="str">
        <x:v>Disney+</x:v>
      </x:c>
      <x:c r="J134" s="58" t="e">
        <x:f>HYPERLINK("https://www.disneyplus.com/video/e3d63b2f-8e40-4064-9fe8-1f32299f17d3?cid=DTCI-Synergy-DDN-Site-Acquisition-StarWars-US-StarWars-StarWarsTheCloneWars-EN-BlogArticleEmbed-TCWChronological_StreamOnDisneyPlusCTA-NA","Watch")</x:f>
        <x:v>HYPERLINK is not implemented. linkLocation=https://www.disneyplus.com/video/e3d63b2f-8e40-4064-9fe8-1f32299f17d3?cid=DTCI-Synergy-DDN-Site-Acquisition-StarWars-US-StarWars-StarWarsTheCloneWars-EN-BlogArticleEmbed-TCWChronological_StreamOnDisneyPlusCTA-NA, friendlyName=Watch</x:v>
      </x:c>
      <x:c r="K134" s="52" t="str">
        <x:v>Season 6, Episode 3 · Episode guide</x:v>
      </x:c>
      <x:c r="L134" s="76" t="str"/>
      <x:c r="M134" s="76" t="str"/>
      <x:c r="N134" s="76" t="str"/>
      <x:c r="O134" s="76" t="str"/>
      <x:c r="P134" s="76" t="str"/>
      <x:c r="Q134" s="76" t="str"/>
      <x:c r="R134" s="76" t="str"/>
      <x:c r="S134" s="76" t="str"/>
      <x:c r="T134" s="76" t="str"/>
    </x:row>
    <x:row r="135" s="23" customFormat="1" ht="36" customHeight="1">
      <x:c r="A135" s="49" t="b">
        <x:v>0</x:v>
      </x:c>
      <x:c r="B135" s="50" t="str">
        <x:v>129</x:v>
      </x:c>
      <x:c r="C135" s="51" t="str">
        <x:v>Fall of the Jedi</x:v>
      </x:c>
      <x:c r="D135" s="51" t="str">
        <x:v>The Clone Wars: Orders</x:v>
      </x:c>
      <x:c r="E135" s="50" t="str">
        <x:v>Season 6, Episode 4</x:v>
      </x:c>
      <x:c r="F135" s="51" t="str">
        <x:v>Series aired October 3, 2008–May 4, 2020</x:v>
      </x:c>
      <x:c r="G135" s="51" t="str">
        <x:v>Canon</x:v>
      </x:c>
      <x:c r="H135" s="51" t="str">
        <x:v>Episode</x:v>
      </x:c>
      <x:c r="I135" s="51" t="str">
        <x:v>Disney+</x:v>
      </x:c>
      <x:c r="J135" s="58" t="e">
        <x:f>HYPERLINK("https://www.disneyplus.com/video/46c3decc-a11c-4d2e-a792-069ebe535003?cid=DTCI-Synergy-DDN-Site-Acquisition-StarWars-US-StarWars-StarWarsTheCloneWars-EN-BlogArticleEmbed-TCWChronological_StreamOnDisneyPlusCTA-NA","Watch")</x:f>
        <x:v>HYPERLINK is not implemented. linkLocation=https://www.disneyplus.com/video/46c3decc-a11c-4d2e-a792-069ebe535003?cid=DTCI-Synergy-DDN-Site-Acquisition-StarWars-US-StarWars-StarWarsTheCloneWars-EN-BlogArticleEmbed-TCWChronological_StreamOnDisneyPlusCTA-NA, friendlyName=Watch</x:v>
      </x:c>
      <x:c r="K135" s="52" t="str">
        <x:v>Season 6, Episode 4 · Episode guide</x:v>
      </x:c>
      <x:c r="L135" s="76" t="str"/>
      <x:c r="M135" s="76" t="str"/>
      <x:c r="N135" s="76" t="str"/>
      <x:c r="O135" s="76" t="str"/>
      <x:c r="P135" s="76" t="str"/>
      <x:c r="Q135" s="76" t="str"/>
      <x:c r="R135" s="76" t="str"/>
      <x:c r="S135" s="76" t="str"/>
      <x:c r="T135" s="76" t="str"/>
    </x:row>
    <x:row r="136" s="23" customFormat="1" ht="36" customHeight="1">
      <x:c r="A136" s="49" t="b">
        <x:v>0</x:v>
      </x:c>
      <x:c r="B136" s="50" t="str">
        <x:v>130</x:v>
      </x:c>
      <x:c r="C136" s="51" t="str">
        <x:v>Fall of the Jedi</x:v>
      </x:c>
      <x:c r="D136" s="51" t="str">
        <x:v>The Clone Wars: An Old Friend</x:v>
      </x:c>
      <x:c r="E136" s="50" t="str">
        <x:v>Season 6, Episode 5</x:v>
      </x:c>
      <x:c r="F136" s="51" t="str">
        <x:v>Series aired October 3, 2008–May 4, 2020</x:v>
      </x:c>
      <x:c r="G136" s="51" t="str">
        <x:v>Canon</x:v>
      </x:c>
      <x:c r="H136" s="51" t="str">
        <x:v>Episode</x:v>
      </x:c>
      <x:c r="I136" s="51" t="str">
        <x:v>Disney+</x:v>
      </x:c>
      <x:c r="J136" s="58" t="e">
        <x:f>HYPERLINK("https://www.disneyplus.com/video/64438a1c-f629-4085-b461-33fac7ea99ba?cid=DTCI-Synergy-DDN-Site-Acquisition-StarWars-US-StarWars-StarWarsTheCloneWars-EN-BlogArticleEmbed-TCWChronological_StreamOnDisneyPlusCTA-NA","Watch")</x:f>
        <x:v>HYPERLINK is not implemented. linkLocation=https://www.disneyplus.com/video/64438a1c-f629-4085-b461-33fac7ea99ba?cid=DTCI-Synergy-DDN-Site-Acquisition-StarWars-US-StarWars-StarWarsTheCloneWars-EN-BlogArticleEmbed-TCWChronological_StreamOnDisneyPlusCTA-NA, friendlyName=Watch</x:v>
      </x:c>
      <x:c r="K136" s="52" t="str">
        <x:v>Season 6, Episode 5 · Episode guide</x:v>
      </x:c>
      <x:c r="L136" s="76" t="str"/>
      <x:c r="M136" s="76" t="str"/>
      <x:c r="N136" s="76" t="str"/>
      <x:c r="O136" s="76" t="str"/>
      <x:c r="P136" s="76" t="str"/>
      <x:c r="Q136" s="76" t="str"/>
      <x:c r="R136" s="76" t="str"/>
      <x:c r="S136" s="76" t="str"/>
      <x:c r="T136" s="76" t="str"/>
    </x:row>
    <x:row r="137" s="23" customFormat="1" ht="36" customHeight="1">
      <x:c r="A137" s="49" t="b">
        <x:v>0</x:v>
      </x:c>
      <x:c r="B137" s="50" t="str">
        <x:v>131</x:v>
      </x:c>
      <x:c r="C137" s="51" t="str">
        <x:v>Fall of the Jedi</x:v>
      </x:c>
      <x:c r="D137" s="51" t="str">
        <x:v>The Clone Wars: The Rise of Clovis</x:v>
      </x:c>
      <x:c r="E137" s="50" t="str">
        <x:v>Season 6, Episode 6</x:v>
      </x:c>
      <x:c r="F137" s="51" t="str">
        <x:v>Series aired October 3, 2008–May 4, 2020</x:v>
      </x:c>
      <x:c r="G137" s="51" t="str">
        <x:v>Canon</x:v>
      </x:c>
      <x:c r="H137" s="51" t="str">
        <x:v>Episode</x:v>
      </x:c>
      <x:c r="I137" s="51" t="str">
        <x:v>Disney+</x:v>
      </x:c>
      <x:c r="J137" s="58" t="e">
        <x:f>HYPERLINK("https://www.disneyplus.com/video/cad54530-94eb-4b92-b380-b0a807d195c5?cid=DTCI-Synergy-DDN-Site-Acquisition-StarWars-US-StarWars-StarWarsTheCloneWars-EN-BlogArticleEmbed-TCWChronological_StreamOnDisneyPlusCTA-NA","Watch")</x:f>
        <x:v>HYPERLINK is not implemented. linkLocation=https://www.disneyplus.com/video/cad54530-94eb-4b92-b380-b0a807d195c5?cid=DTCI-Synergy-DDN-Site-Acquisition-StarWars-US-StarWars-StarWarsTheCloneWars-EN-BlogArticleEmbed-TCWChronological_StreamOnDisneyPlusCTA-NA, friendlyName=Watch</x:v>
      </x:c>
      <x:c r="K137" s="52" t="str">
        <x:v>Season 6, Episode 6 · Episode guide</x:v>
      </x:c>
      <x:c r="L137" s="76" t="str"/>
      <x:c r="M137" s="76" t="str"/>
      <x:c r="N137" s="76" t="str"/>
      <x:c r="O137" s="76" t="str"/>
      <x:c r="P137" s="76" t="str"/>
      <x:c r="Q137" s="76" t="str"/>
      <x:c r="R137" s="76" t="str"/>
      <x:c r="S137" s="76" t="str"/>
      <x:c r="T137" s="76" t="str"/>
    </x:row>
    <x:row r="138" s="23" customFormat="1" ht="36" customHeight="1">
      <x:c r="A138" s="49" t="b">
        <x:v>0</x:v>
      </x:c>
      <x:c r="B138" s="50" t="str">
        <x:v>132</x:v>
      </x:c>
      <x:c r="C138" s="51" t="str">
        <x:v>Fall of the Jedi</x:v>
      </x:c>
      <x:c r="D138" s="51" t="str">
        <x:v>The Clone Wars: Crisis at the Heart</x:v>
      </x:c>
      <x:c r="E138" s="50" t="str">
        <x:v>Season 6, Episode 7</x:v>
      </x:c>
      <x:c r="F138" s="51" t="str">
        <x:v>Series aired October 3, 2008–May 4, 2020</x:v>
      </x:c>
      <x:c r="G138" s="51" t="str">
        <x:v>Canon</x:v>
      </x:c>
      <x:c r="H138" s="51" t="str">
        <x:v>Episode</x:v>
      </x:c>
      <x:c r="I138" s="51" t="str">
        <x:v>Disney+</x:v>
      </x:c>
      <x:c r="J138" s="58" t="e">
        <x:f>HYPERLINK("https://www.disneyplus.com/video/2a2fc61d-3813-4cf8-88a7-cab1975cee35?cid=DTCI-Synergy-DDN-Site-Acquisition-StarWars-US-StarWars-StarWarsTheCloneWars-EN-BlogArticleEmbed-TCWChronological_StreamOnDisneyPlusCTA-NA","Watch")</x:f>
        <x:v>HYPERLINK is not implemented. linkLocation=https://www.disneyplus.com/video/2a2fc61d-3813-4cf8-88a7-cab1975cee35?cid=DTCI-Synergy-DDN-Site-Acquisition-StarWars-US-StarWars-StarWarsTheCloneWars-EN-BlogArticleEmbed-TCWChronological_StreamOnDisneyPlusCTA-NA, friendlyName=Watch</x:v>
      </x:c>
      <x:c r="K138" s="52" t="str">
        <x:v>Season 6, Episode 7 · Episode guide</x:v>
      </x:c>
      <x:c r="L138" s="76" t="str"/>
      <x:c r="M138" s="76" t="str"/>
      <x:c r="N138" s="76" t="str"/>
      <x:c r="O138" s="76" t="str"/>
      <x:c r="P138" s="76" t="str"/>
      <x:c r="Q138" s="76" t="str"/>
      <x:c r="R138" s="76" t="str"/>
      <x:c r="S138" s="76" t="str"/>
      <x:c r="T138" s="76" t="str"/>
    </x:row>
    <x:row r="139" s="23" customFormat="1" ht="36" customHeight="1">
      <x:c r="A139" s="49" t="b">
        <x:v>0</x:v>
      </x:c>
      <x:c r="B139" s="50" t="str">
        <x:v>133</x:v>
      </x:c>
      <x:c r="C139" s="51" t="str">
        <x:v>Fall of the Jedi</x:v>
      </x:c>
      <x:c r="D139" s="51" t="str">
        <x:v>The Clone Wars: The Disappeared</x:v>
      </x:c>
      <x:c r="E139" s="50" t="str">
        <x:v>Season 6, Episode 8</x:v>
      </x:c>
      <x:c r="F139" s="51" t="str">
        <x:v>Series aired October 3, 2008–May 4, 2020</x:v>
      </x:c>
      <x:c r="G139" s="51" t="str">
        <x:v>Canon</x:v>
      </x:c>
      <x:c r="H139" s="51" t="str">
        <x:v>Episode</x:v>
      </x:c>
      <x:c r="I139" s="51" t="str">
        <x:v>Disney+</x:v>
      </x:c>
      <x:c r="J139" s="58" t="e">
        <x:f>HYPERLINK("https://www.disneyplus.com/video/6173c7f8-b2d8-448c-8143-77eb71c73589?cid=DTCI-Synergy-DDN-Site-Acquisition-StarWars-US-StarWars-StarWarsTheCloneWars-EN-BlogArticleEmbed-TCWChronological_StreamOnDisneyPlusCTA-NA","Watch")</x:f>
        <x:v>HYPERLINK is not implemented. linkLocation=https://www.disneyplus.com/video/6173c7f8-b2d8-448c-8143-77eb71c73589?cid=DTCI-Synergy-DDN-Site-Acquisition-StarWars-US-StarWars-StarWarsTheCloneWars-EN-BlogArticleEmbed-TCWChronological_StreamOnDisneyPlusCTA-NA, friendlyName=Watch</x:v>
      </x:c>
      <x:c r="K139" s="52" t="str">
        <x:v>Season 6, Episode 8 · Episode guide</x:v>
      </x:c>
      <x:c r="L139" s="76" t="str"/>
      <x:c r="M139" s="76" t="str"/>
      <x:c r="N139" s="76" t="str"/>
      <x:c r="O139" s="76" t="str"/>
      <x:c r="P139" s="76" t="str"/>
      <x:c r="Q139" s="76" t="str"/>
      <x:c r="R139" s="76" t="str"/>
      <x:c r="S139" s="76" t="str"/>
      <x:c r="T139" s="76" t="str"/>
    </x:row>
    <x:row r="140" s="23" customFormat="1" ht="36" customHeight="1">
      <x:c r="A140" s="49" t="b">
        <x:v>0</x:v>
      </x:c>
      <x:c r="B140" s="50" t="str">
        <x:v>134</x:v>
      </x:c>
      <x:c r="C140" s="51" t="str">
        <x:v>Fall of the Jedi</x:v>
      </x:c>
      <x:c r="D140" s="51" t="str">
        <x:v>The Clone Wars: The Disappeared: Part II</x:v>
      </x:c>
      <x:c r="E140" s="50" t="str">
        <x:v>Season 6, Episode 9</x:v>
      </x:c>
      <x:c r="F140" s="51" t="str">
        <x:v>Series aired October 3, 2008–May 4, 2020</x:v>
      </x:c>
      <x:c r="G140" s="51" t="str">
        <x:v>Canon</x:v>
      </x:c>
      <x:c r="H140" s="51" t="str">
        <x:v>Episode</x:v>
      </x:c>
      <x:c r="I140" s="51" t="str">
        <x:v>Disney+</x:v>
      </x:c>
      <x:c r="J140" s="58" t="e">
        <x:f>HYPERLINK("https://www.disneyplus.com/video/2e4fe8fe-c7e3-40dc-87d7-bdb7e02eb896?cid=DTCI-Synergy-DDN-Site-Acquisition-StarWars-US-StarWars-StarWarsTheCloneWars-EN-BlogArticleEmbed-TCWChronological_StreamOnDisneyPlusCTA-NA","Watch")</x:f>
        <x:v>HYPERLINK is not implemented. linkLocation=https://www.disneyplus.com/video/2e4fe8fe-c7e3-40dc-87d7-bdb7e02eb896?cid=DTCI-Synergy-DDN-Site-Acquisition-StarWars-US-StarWars-StarWarsTheCloneWars-EN-BlogArticleEmbed-TCWChronological_StreamOnDisneyPlusCTA-NA, friendlyName=Watch</x:v>
      </x:c>
      <x:c r="K140" s="52" t="str">
        <x:v>Season 6, Episode 9 · Episode guide</x:v>
      </x:c>
      <x:c r="L140" s="76" t="str"/>
      <x:c r="M140" s="76" t="str"/>
      <x:c r="N140" s="76" t="str"/>
      <x:c r="O140" s="76" t="str"/>
      <x:c r="P140" s="76" t="str"/>
      <x:c r="Q140" s="76" t="str"/>
      <x:c r="R140" s="76" t="str"/>
      <x:c r="S140" s="76" t="str"/>
      <x:c r="T140" s="76" t="str"/>
    </x:row>
    <x:row r="141" s="23" customFormat="1" ht="36" customHeight="1">
      <x:c r="A141" s="49" t="b">
        <x:v>0</x:v>
      </x:c>
      <x:c r="B141" s="50" t="str">
        <x:v>135</x:v>
      </x:c>
      <x:c r="C141" s="51" t="str">
        <x:v>Fall of the Jedi</x:v>
      </x:c>
      <x:c r="D141" s="51" t="str">
        <x:v>The Clone Wars: The Lost One</x:v>
      </x:c>
      <x:c r="E141" s="50" t="str">
        <x:v>Season 6, Episode 10</x:v>
      </x:c>
      <x:c r="F141" s="51" t="str">
        <x:v>Series aired October 3, 2008–May 4, 2020</x:v>
      </x:c>
      <x:c r="G141" s="51" t="str">
        <x:v>Canon</x:v>
      </x:c>
      <x:c r="H141" s="51" t="str">
        <x:v>Episode</x:v>
      </x:c>
      <x:c r="I141" s="51" t="str">
        <x:v>Disney+</x:v>
      </x:c>
      <x:c r="J141" s="58" t="e">
        <x:f>HYPERLINK("https://www.disneyplus.com/video/f8d1131b-c197-4e8e-b1a5-9f9ad5e7cb9b?cid=DTCI-Synergy-DDN-Site-Acquisition-StarWars-US-StarWars-StarWarsTheCloneWars-EN-BlogArticleEmbed-TCWChronological_StreamOnDisneyPlusCTA-NA","Watch")</x:f>
        <x:v>HYPERLINK is not implemented. linkLocation=https://www.disneyplus.com/video/f8d1131b-c197-4e8e-b1a5-9f9ad5e7cb9b?cid=DTCI-Synergy-DDN-Site-Acquisition-StarWars-US-StarWars-StarWarsTheCloneWars-EN-BlogArticleEmbed-TCWChronological_StreamOnDisneyPlusCTA-NA, friendlyName=Watch</x:v>
      </x:c>
      <x:c r="K141" s="52" t="str">
        <x:v>Season 6, Episode 10 · Episode guide</x:v>
      </x:c>
      <x:c r="L141" s="76" t="str"/>
      <x:c r="M141" s="76" t="str"/>
      <x:c r="N141" s="76" t="str"/>
      <x:c r="O141" s="76" t="str"/>
      <x:c r="P141" s="76" t="str"/>
      <x:c r="Q141" s="76" t="str"/>
      <x:c r="R141" s="76" t="str"/>
      <x:c r="S141" s="76" t="str"/>
      <x:c r="T141" s="76" t="str"/>
    </x:row>
    <x:row r="142" s="23" customFormat="1" ht="36" customHeight="1">
      <x:c r="A142" s="49" t="b">
        <x:v>0</x:v>
      </x:c>
      <x:c r="B142" s="50" t="str">
        <x:v>136</x:v>
      </x:c>
      <x:c r="C142" s="51" t="str">
        <x:v>Fall of the Jedi</x:v>
      </x:c>
      <x:c r="D142" s="51" t="str">
        <x:v>The Clone Wars: Voices</x:v>
      </x:c>
      <x:c r="E142" s="50" t="str">
        <x:v>Season 6, Episode 11</x:v>
      </x:c>
      <x:c r="F142" s="51" t="str">
        <x:v>Series aired October 3, 2008–May 4, 2020</x:v>
      </x:c>
      <x:c r="G142" s="51" t="str">
        <x:v>Canon</x:v>
      </x:c>
      <x:c r="H142" s="51" t="str">
        <x:v>Episode</x:v>
      </x:c>
      <x:c r="I142" s="51" t="str">
        <x:v>Disney+</x:v>
      </x:c>
      <x:c r="J142" s="58" t="e">
        <x:f>HYPERLINK("https://www.disneyplus.com/video/ced4924c-6c39-4346-b07e-d22fb33de653?cid=DTCI-Synergy-DDN-Site-Acquisition-StarWars-US-StarWars-StarWarsTheCloneWars-EN-BlogArticleEmbed-TCWChronological_StreamOnDisneyPlusCTA-NA","Watch")</x:f>
        <x:v>HYPERLINK is not implemented. linkLocation=https://www.disneyplus.com/video/ced4924c-6c39-4346-b07e-d22fb33de653?cid=DTCI-Synergy-DDN-Site-Acquisition-StarWars-US-StarWars-StarWarsTheCloneWars-EN-BlogArticleEmbed-TCWChronological_StreamOnDisneyPlusCTA-NA, friendlyName=Watch</x:v>
      </x:c>
      <x:c r="K142" s="52" t="str">
        <x:v>Season 6, Episode 11 · Episode guide</x:v>
      </x:c>
      <x:c r="L142" s="76" t="str"/>
      <x:c r="M142" s="76" t="str"/>
      <x:c r="N142" s="76" t="str"/>
      <x:c r="O142" s="76" t="str"/>
      <x:c r="P142" s="76" t="str"/>
      <x:c r="Q142" s="76" t="str"/>
      <x:c r="R142" s="76" t="str"/>
      <x:c r="S142" s="76" t="str"/>
      <x:c r="T142" s="76" t="str"/>
    </x:row>
    <x:row r="143" s="23" customFormat="1" ht="36" customHeight="1">
      <x:c r="A143" s="49" t="b">
        <x:v>0</x:v>
      </x:c>
      <x:c r="B143" s="50" t="str">
        <x:v>137</x:v>
      </x:c>
      <x:c r="C143" s="51" t="str">
        <x:v>Fall of the Jedi</x:v>
      </x:c>
      <x:c r="D143" s="51" t="str">
        <x:v>The Clone Wars: Destiny</x:v>
      </x:c>
      <x:c r="E143" s="50" t="str">
        <x:v>Season 6, Episode 12</x:v>
      </x:c>
      <x:c r="F143" s="51" t="str">
        <x:v>Series aired October 3, 2008–May 4, 2020</x:v>
      </x:c>
      <x:c r="G143" s="51" t="str">
        <x:v>Canon</x:v>
      </x:c>
      <x:c r="H143" s="51" t="str">
        <x:v>Episode</x:v>
      </x:c>
      <x:c r="I143" s="51" t="str">
        <x:v>Disney+</x:v>
      </x:c>
      <x:c r="J143" s="58" t="e">
        <x:f>HYPERLINK("https://www.disneyplus.com/video/99e77e6b-d43a-4f6f-b07c-51d48ee4c3bd?cid=DTCI-Synergy-DDN-Site-Acquisition-StarWars-US-StarWars-StarWarsTheCloneWars-EN-BlogArticleEmbed-TCWChronological_StreamOnDisneyPlusCTA-NA","Watch")</x:f>
        <x:v>HYPERLINK is not implemented. linkLocation=https://www.disneyplus.com/video/99e77e6b-d43a-4f6f-b07c-51d48ee4c3bd?cid=DTCI-Synergy-DDN-Site-Acquisition-StarWars-US-StarWars-StarWarsTheCloneWars-EN-BlogArticleEmbed-TCWChronological_StreamOnDisneyPlusCTA-NA, friendlyName=Watch</x:v>
      </x:c>
      <x:c r="K143" s="52" t="str">
        <x:v>Season 6, Episode 12 · Episode guide</x:v>
      </x:c>
      <x:c r="L143" s="76" t="str"/>
      <x:c r="M143" s="76" t="str"/>
      <x:c r="N143" s="76" t="str"/>
      <x:c r="O143" s="76" t="str"/>
      <x:c r="P143" s="76" t="str"/>
      <x:c r="Q143" s="76" t="str"/>
      <x:c r="R143" s="76" t="str"/>
      <x:c r="S143" s="76" t="str"/>
      <x:c r="T143" s="76" t="str"/>
    </x:row>
    <x:row r="144" s="23" customFormat="1" ht="36" customHeight="1">
      <x:c r="A144" s="49" t="b">
        <x:v>0</x:v>
      </x:c>
      <x:c r="B144" s="50" t="str">
        <x:v>138</x:v>
      </x:c>
      <x:c r="C144" s="51" t="str">
        <x:v>Fall of the Jedi</x:v>
      </x:c>
      <x:c r="D144" s="51" t="str">
        <x:v>The Clone Wars: Sacrifice</x:v>
      </x:c>
      <x:c r="E144" s="50" t="str">
        <x:v>Season 6, Episode 13</x:v>
      </x:c>
      <x:c r="F144" s="51" t="str">
        <x:v>Series aired October 3, 2008–May 4, 2020</x:v>
      </x:c>
      <x:c r="G144" s="51" t="str">
        <x:v>Canon</x:v>
      </x:c>
      <x:c r="H144" s="51" t="str">
        <x:v>Episode</x:v>
      </x:c>
      <x:c r="I144" s="51" t="str">
        <x:v>Disney+</x:v>
      </x:c>
      <x:c r="J144" s="58" t="e">
        <x:f>HYPERLINK("https://www.disneyplus.com/video/37357ff9-88a7-4652-b16e-cda4808d1930?cid=DTCI-Synergy-DDN-Site-Acquisition-StarWars-US-StarWars-StarWarsTheCloneWars-EN-BlogArticleEmbed-TCWChronological_StreamOnDisneyPlusCTA-NA","Watch")</x:f>
        <x:v>HYPERLINK is not implemented. linkLocation=https://www.disneyplus.com/video/37357ff9-88a7-4652-b16e-cda4808d1930?cid=DTCI-Synergy-DDN-Site-Acquisition-StarWars-US-StarWars-StarWarsTheCloneWars-EN-BlogArticleEmbed-TCWChronological_StreamOnDisneyPlusCTA-NA, friendlyName=Watch</x:v>
      </x:c>
      <x:c r="K144" s="52" t="str">
        <x:v>Season 6, Episode 13 · Episode guide</x:v>
      </x:c>
      <x:c r="L144" s="76" t="str"/>
      <x:c r="M144" s="76" t="str"/>
      <x:c r="N144" s="76" t="str"/>
      <x:c r="O144" s="76" t="str"/>
      <x:c r="P144" s="76" t="str"/>
      <x:c r="Q144" s="76" t="str"/>
      <x:c r="R144" s="76" t="str"/>
      <x:c r="S144" s="76" t="str"/>
      <x:c r="T144" s="76" t="str"/>
    </x:row>
    <x:row r="145" s="23" customFormat="1" ht="36" customHeight="1">
      <x:c r="A145" s="49" t="b">
        <x:v>0</x:v>
      </x:c>
      <x:c r="B145" s="50" t="str">
        <x:v>139</x:v>
      </x:c>
      <x:c r="C145" s="51" t="str">
        <x:v>Fall of the Jedi</x:v>
      </x:c>
      <x:c r="D145" s="51" t="str">
        <x:v>The Clone Wars: Gone with a Trace</x:v>
      </x:c>
      <x:c r="E145" s="50" t="str">
        <x:v>Season 7, Episode 5</x:v>
      </x:c>
      <x:c r="F145" s="51" t="str">
        <x:v>Series aired October 3, 2008–May 4, 2020</x:v>
      </x:c>
      <x:c r="G145" s="51" t="str">
        <x:v>Canon</x:v>
      </x:c>
      <x:c r="H145" s="51" t="str">
        <x:v>Episode</x:v>
      </x:c>
      <x:c r="I145" s="51" t="str">
        <x:v>Disney+</x:v>
      </x:c>
      <x:c r="J145" s="58" t="e">
        <x:f>HYPERLINK("https://www.disneyplus.com/en-gb/video/a1dfba86-2134-41e9-8794-e8040896bef6?cid=DTCI-Synergy-DDN-Site-Acquisition-StarWars-US-StarWars-StarWarsTheCloneWars-EN-BlogArticleEmbed-TCWChronological_StreamOnDisneyPlusCTA-NA","Watch")</x:f>
        <x:v>HYPERLINK is not implemented. linkLocation=https://www.disneyplus.com/en-gb/video/a1dfba86-2134-41e9-8794-e8040896bef6?cid=DTCI-Synergy-DDN-Site-Acquisition-StarWars-US-StarWars-StarWarsTheCloneWars-EN-BlogArticleEmbed-TCWChronological_StreamOnDisneyPlusCTA-NA, friendlyName=Watch</x:v>
      </x:c>
      <x:c r="K145" s="52" t="str">
        <x:v>Season 7, Episode 5 · Episode guide</x:v>
      </x:c>
      <x:c r="L145" s="76" t="str"/>
      <x:c r="M145" s="76" t="str"/>
      <x:c r="N145" s="76" t="str"/>
      <x:c r="O145" s="76" t="str"/>
      <x:c r="P145" s="76" t="str"/>
      <x:c r="Q145" s="76" t="str"/>
      <x:c r="R145" s="76" t="str"/>
      <x:c r="S145" s="76" t="str"/>
      <x:c r="T145" s="76" t="str"/>
    </x:row>
    <x:row r="146" s="23" customFormat="1" ht="36" customHeight="1">
      <x:c r="A146" s="49" t="b">
        <x:v>0</x:v>
      </x:c>
      <x:c r="B146" s="50" t="str">
        <x:v>140</x:v>
      </x:c>
      <x:c r="C146" s="51" t="str">
        <x:v>Fall of the Jedi</x:v>
      </x:c>
      <x:c r="D146" s="51" t="str">
        <x:v>The Clone Wars: Deal No Deal</x:v>
      </x:c>
      <x:c r="E146" s="50" t="str">
        <x:v>Season 7, Episode 6</x:v>
      </x:c>
      <x:c r="F146" s="51" t="str">
        <x:v>Series aired October 3, 2008–May 4, 2020</x:v>
      </x:c>
      <x:c r="G146" s="51" t="str">
        <x:v>Canon</x:v>
      </x:c>
      <x:c r="H146" s="51" t="str">
        <x:v>Episode</x:v>
      </x:c>
      <x:c r="I146" s="51" t="str">
        <x:v>Disney+</x:v>
      </x:c>
      <x:c r="J146" s="58" t="e">
        <x:f>HYPERLINK("https://www.disneyplus.com/en-gb/video/7ed29bb0-bfff-462c-ae96-f89a4f3f89e2?cid=DTCI-Synergy-DDN-Site-Acquisition-StarWars-US-StarWars-StarWarsTheCloneWars-EN-BlogArticleEmbed-TCWChronological_StreamOnDisneyPlusCTA-NA","Watch")</x:f>
        <x:v>HYPERLINK is not implemented. linkLocation=https://www.disneyplus.com/en-gb/video/7ed29bb0-bfff-462c-ae96-f89a4f3f89e2?cid=DTCI-Synergy-DDN-Site-Acquisition-StarWars-US-StarWars-StarWarsTheCloneWars-EN-BlogArticleEmbed-TCWChronological_StreamOnDisneyPlusCTA-NA, friendlyName=Watch</x:v>
      </x:c>
      <x:c r="K146" s="52" t="str">
        <x:v>Season 7, Episode 6 · Episode guide</x:v>
      </x:c>
      <x:c r="L146" s="76" t="str"/>
      <x:c r="M146" s="76" t="str"/>
      <x:c r="N146" s="76" t="str"/>
      <x:c r="O146" s="76" t="str"/>
      <x:c r="P146" s="76" t="str"/>
      <x:c r="Q146" s="76" t="str"/>
      <x:c r="R146" s="76" t="str"/>
      <x:c r="S146" s="76" t="str"/>
      <x:c r="T146" s="76" t="str"/>
    </x:row>
    <x:row r="147" s="23" customFormat="1" ht="36" customHeight="1">
      <x:c r="A147" s="49" t="b">
        <x:v>0</x:v>
      </x:c>
      <x:c r="B147" s="50" t="str">
        <x:v>141</x:v>
      </x:c>
      <x:c r="C147" s="51" t="str">
        <x:v>Fall of the Jedi</x:v>
      </x:c>
      <x:c r="D147" s="51" t="str">
        <x:v>The Clone Wars: Dangerous Debt</x:v>
      </x:c>
      <x:c r="E147" s="50" t="str">
        <x:v>Season 7, Episode 7</x:v>
      </x:c>
      <x:c r="F147" s="51" t="str">
        <x:v>Series aired October 3, 2008–May 4, 2020</x:v>
      </x:c>
      <x:c r="G147" s="51" t="str">
        <x:v>Canon</x:v>
      </x:c>
      <x:c r="H147" s="51" t="str">
        <x:v>Episode</x:v>
      </x:c>
      <x:c r="I147" s="51" t="str">
        <x:v>Disney+</x:v>
      </x:c>
      <x:c r="J147" s="58" t="e">
        <x:f>HYPERLINK("https://www.disneyplus.com/video/468b341b-4d54-4adf-823f-8934ff05800b?cid=DTCI-Synergy-DDN-Site-Acquisition-StarWars-US-StarWars-StarWarsTheCloneWars-EN-BlogArticleEmbed-TCWChronological_StreamOnDisneyPlusCTA-NA","Watch")</x:f>
        <x:v>HYPERLINK is not implemented. linkLocation=https://www.disneyplus.com/video/468b341b-4d54-4adf-823f-8934ff05800b?cid=DTCI-Synergy-DDN-Site-Acquisition-StarWars-US-StarWars-StarWarsTheCloneWars-EN-BlogArticleEmbed-TCWChronological_StreamOnDisneyPlusCTA-NA, friendlyName=Watch</x:v>
      </x:c>
      <x:c r="K147" s="52" t="str">
        <x:v>Season 7, Episode 7 · Episode guide</x:v>
      </x:c>
      <x:c r="L147" s="76" t="str"/>
      <x:c r="M147" s="76" t="str"/>
      <x:c r="N147" s="76" t="str"/>
      <x:c r="O147" s="76" t="str"/>
      <x:c r="P147" s="76" t="str"/>
      <x:c r="Q147" s="76" t="str"/>
      <x:c r="R147" s="76" t="str"/>
      <x:c r="S147" s="76" t="str"/>
      <x:c r="T147" s="76" t="str"/>
    </x:row>
    <x:row r="148" s="23" customFormat="1" ht="36" customHeight="1">
      <x:c r="A148" s="49" t="b">
        <x:v>0</x:v>
      </x:c>
      <x:c r="B148" s="50" t="str">
        <x:v>142</x:v>
      </x:c>
      <x:c r="C148" s="51" t="str">
        <x:v>Fall of the Jedi</x:v>
      </x:c>
      <x:c r="D148" s="51" t="str">
        <x:v>The Clone Wars: Together Again</x:v>
      </x:c>
      <x:c r="E148" s="50" t="str">
        <x:v>Season 7, Episode 8</x:v>
      </x:c>
      <x:c r="F148" s="51" t="str">
        <x:v>Series aired October 3, 2008–May 4, 2020</x:v>
      </x:c>
      <x:c r="G148" s="51" t="str">
        <x:v>Canon</x:v>
      </x:c>
      <x:c r="H148" s="51" t="str">
        <x:v>Episode</x:v>
      </x:c>
      <x:c r="I148" s="51" t="str">
        <x:v>Disney+</x:v>
      </x:c>
      <x:c r="J148" s="58" t="e">
        <x:f>HYPERLINK("https://www.disneyplus.com/video/c59f5965-71d6-40e5-8650-ddf076125e0d?cid=DTCI-Synergy-DDN-Site-Acquisition-StarWars-US-StarWars-StarWarsTheCloneWars-EN-BlogArticleEmbed-TCWChronological_StreamOnDisneyPlusCTA-NA","Watch")</x:f>
        <x:v>HYPERLINK is not implemented. linkLocation=https://www.disneyplus.com/video/c59f5965-71d6-40e5-8650-ddf076125e0d?cid=DTCI-Synergy-DDN-Site-Acquisition-StarWars-US-StarWars-StarWarsTheCloneWars-EN-BlogArticleEmbed-TCWChronological_StreamOnDisneyPlusCTA-NA, friendlyName=Watch</x:v>
      </x:c>
      <x:c r="K148" s="52" t="str">
        <x:v>Season 7, Episode 8 · Episode guide</x:v>
      </x:c>
      <x:c r="L148" s="76" t="str"/>
      <x:c r="M148" s="76" t="str"/>
      <x:c r="N148" s="76" t="str"/>
      <x:c r="O148" s="76" t="str"/>
      <x:c r="P148" s="76" t="str"/>
      <x:c r="Q148" s="76" t="str"/>
      <x:c r="R148" s="76" t="str"/>
      <x:c r="S148" s="76" t="str"/>
      <x:c r="T148" s="76" t="str"/>
    </x:row>
    <x:row r="149" s="23" customFormat="1" ht="36" customHeight="1">
      <x:c r="A149" s="49" t="b">
        <x:v>0</x:v>
      </x:c>
      <x:c r="B149" s="50" t="str">
        <x:v>143</x:v>
      </x:c>
      <x:c r="C149" s="51" t="str">
        <x:v>Fall of the Jedi</x:v>
      </x:c>
      <x:c r="D149" s="51" t="str">
        <x:v>The Clone Wars: The Bad Batch</x:v>
      </x:c>
      <x:c r="E149" s="50" t="str">
        <x:v>Season 7, Episode 1</x:v>
      </x:c>
      <x:c r="F149" s="51" t="str">
        <x:v>Series aired October 3, 2008–May 4, 2020</x:v>
      </x:c>
      <x:c r="G149" s="51" t="str">
        <x:v>Canon</x:v>
      </x:c>
      <x:c r="H149" s="51" t="str">
        <x:v>Episode</x:v>
      </x:c>
      <x:c r="I149" s="51" t="str">
        <x:v>Disney+</x:v>
      </x:c>
      <x:c r="J149" s="58" t="e">
        <x:f>HYPERLINK("https://www.disneyplus.com/en-gb/video/9ee46453-c414-4c89-b3ef-b0d4d1c001fc?cid=DTCI-Synergy-DDN-Site-Acquisition-StarWars-US-StarWars-StarWarsTheCloneWars-EN-BlogArticleEmbed-TCWChronological_StreamOnDisneyPlusCTA-NA","Watch")</x:f>
        <x:v>HYPERLINK is not implemented. linkLocation=https://www.disneyplus.com/en-gb/video/9ee46453-c414-4c89-b3ef-b0d4d1c001fc?cid=DTCI-Synergy-DDN-Site-Acquisition-StarWars-US-StarWars-StarWarsTheCloneWars-EN-BlogArticleEmbed-TCWChronological_StreamOnDisneyPlusCTA-NA, friendlyName=Watch</x:v>
      </x:c>
      <x:c r="K149" s="52" t="str">
        <x:v>Season 7, Episode 1 · Episode guide</x:v>
      </x:c>
      <x:c r="L149" s="76" t="str"/>
      <x:c r="M149" s="76" t="str"/>
      <x:c r="N149" s="76" t="str"/>
      <x:c r="O149" s="76" t="str"/>
      <x:c r="P149" s="76" t="str"/>
      <x:c r="Q149" s="76" t="str"/>
      <x:c r="R149" s="76" t="str"/>
      <x:c r="S149" s="76" t="str"/>
      <x:c r="T149" s="76" t="str"/>
    </x:row>
    <x:row r="150" s="23" customFormat="1" ht="36" customHeight="1">
      <x:c r="A150" s="49" t="b">
        <x:v>0</x:v>
      </x:c>
      <x:c r="B150" s="50" t="str">
        <x:v>144</x:v>
      </x:c>
      <x:c r="C150" s="51" t="str">
        <x:v>Fall of the Jedi</x:v>
      </x:c>
      <x:c r="D150" s="51" t="str">
        <x:v>The Clone Wars: A Distant Echo</x:v>
      </x:c>
      <x:c r="E150" s="50" t="str">
        <x:v>Season 7, Episode 2</x:v>
      </x:c>
      <x:c r="F150" s="51" t="str">
        <x:v>Series aired October 3, 2008–May 4, 2020</x:v>
      </x:c>
      <x:c r="G150" s="51" t="str">
        <x:v>Canon</x:v>
      </x:c>
      <x:c r="H150" s="51" t="str">
        <x:v>Episode</x:v>
      </x:c>
      <x:c r="I150" s="51" t="str">
        <x:v>Disney+</x:v>
      </x:c>
      <x:c r="J150" s="58" t="e">
        <x:f>HYPERLINK("https://www.disneyplus.com/en-gb/video/cbcde944-1622-4f15-a136-47a85e7f75c1?cid=DTCI-Synergy-DDN-Site-Acquisition-StarWars-US-StarWars-StarWarsTheCloneWars-EN-BlogArticleEmbed-TCWChronological_StreamOnDisneyPlusCTA-NA","Watch")</x:f>
        <x:v>HYPERLINK is not implemented. linkLocation=https://www.disneyplus.com/en-gb/video/cbcde944-1622-4f15-a136-47a85e7f75c1?cid=DTCI-Synergy-DDN-Site-Acquisition-StarWars-US-StarWars-StarWarsTheCloneWars-EN-BlogArticleEmbed-TCWChronological_StreamOnDisneyPlusCTA-NA, friendlyName=Watch</x:v>
      </x:c>
      <x:c r="K150" s="52" t="str">
        <x:v>Season 7, Episode 2 · Episode guide</x:v>
      </x:c>
      <x:c r="L150" s="76" t="str"/>
      <x:c r="M150" s="76" t="str"/>
      <x:c r="N150" s="76" t="str"/>
      <x:c r="O150" s="76" t="str"/>
      <x:c r="P150" s="76" t="str"/>
      <x:c r="Q150" s="76" t="str"/>
      <x:c r="R150" s="76" t="str"/>
      <x:c r="S150" s="76" t="str"/>
      <x:c r="T150" s="76" t="str"/>
    </x:row>
    <x:row r="151" s="23" customFormat="1" ht="36" customHeight="1">
      <x:c r="A151" s="49" t="b">
        <x:v>0</x:v>
      </x:c>
      <x:c r="B151" s="50" t="str">
        <x:v>145</x:v>
      </x:c>
      <x:c r="C151" s="51" t="str">
        <x:v>Fall of the Jedi</x:v>
      </x:c>
      <x:c r="D151" s="51" t="str">
        <x:v>The Clone Wars: On the Wings of Keeradaks</x:v>
      </x:c>
      <x:c r="E151" s="50" t="str">
        <x:v>Season 7, Episode 3</x:v>
      </x:c>
      <x:c r="F151" s="51" t="str">
        <x:v>Series aired October 3, 2008–May 4, 2020</x:v>
      </x:c>
      <x:c r="G151" s="51" t="str">
        <x:v>Canon</x:v>
      </x:c>
      <x:c r="H151" s="51" t="str">
        <x:v>Episode</x:v>
      </x:c>
      <x:c r="I151" s="51" t="str">
        <x:v>Disney+</x:v>
      </x:c>
      <x:c r="J151" s="58" t="e">
        <x:f>HYPERLINK("https://www.disneyplus.com/en-gb/video/1df8336f-23c4-437a-a360-043e5cb26a41?cid=DTCI-Synergy-DDN-Site-Acquisition-StarWars-US-StarWars-StarWarsTheCloneWars-EN-BlogArticleEmbed-TCWChronological_StreamOnDisneyPlusCTA-NA","Watch")</x:f>
        <x:v>HYPERLINK is not implemented. linkLocation=https://www.disneyplus.com/en-gb/video/1df8336f-23c4-437a-a360-043e5cb26a41?cid=DTCI-Synergy-DDN-Site-Acquisition-StarWars-US-StarWars-StarWarsTheCloneWars-EN-BlogArticleEmbed-TCWChronological_StreamOnDisneyPlusCTA-NA, friendlyName=Watch</x:v>
      </x:c>
      <x:c r="K151" s="52" t="str">
        <x:v>Season 7, Episode 3 · Episode guide</x:v>
      </x:c>
      <x:c r="L151" s="76" t="str"/>
      <x:c r="M151" s="76" t="str"/>
      <x:c r="N151" s="76" t="str"/>
      <x:c r="O151" s="76" t="str"/>
      <x:c r="P151" s="76" t="str"/>
      <x:c r="Q151" s="76" t="str"/>
      <x:c r="R151" s="76" t="str"/>
      <x:c r="S151" s="76" t="str"/>
      <x:c r="T151" s="76" t="str"/>
    </x:row>
    <x:row r="152" s="23" customFormat="1" ht="36" customHeight="1">
      <x:c r="A152" s="49" t="b">
        <x:v>0</x:v>
      </x:c>
      <x:c r="B152" s="50" t="str">
        <x:v>146</x:v>
      </x:c>
      <x:c r="C152" s="51" t="str">
        <x:v>Fall of the Jedi</x:v>
      </x:c>
      <x:c r="D152" s="51" t="str">
        <x:v>The Clone Wars: Unfinished Business</x:v>
      </x:c>
      <x:c r="E152" s="50" t="str">
        <x:v>Season 7, Episode 4</x:v>
      </x:c>
      <x:c r="F152" s="51" t="str">
        <x:v>Series aired October 3, 2008–May 4, 2020</x:v>
      </x:c>
      <x:c r="G152" s="51" t="str">
        <x:v>Canon</x:v>
      </x:c>
      <x:c r="H152" s="51" t="str">
        <x:v>Episode</x:v>
      </x:c>
      <x:c r="I152" s="51" t="str">
        <x:v>Disney+</x:v>
      </x:c>
      <x:c r="J152" s="58" t="e">
        <x:f>HYPERLINK("https://www.disneyplus.com/en-gb/video/2aba28e0-4dbe-49ab-9512-fa856ff1e791?cid=DTCI-Synergy-DDN-Site-Acquisition-StarWars-US-StarWars-StarWarsTheCloneWars-EN-BlogArticleEmbed-TCWChronological_StreamOnDisneyPlusCTA-NA","Watch")</x:f>
        <x:v>HYPERLINK is not implemented. linkLocation=https://www.disneyplus.com/en-gb/video/2aba28e0-4dbe-49ab-9512-fa856ff1e791?cid=DTCI-Synergy-DDN-Site-Acquisition-StarWars-US-StarWars-StarWarsTheCloneWars-EN-BlogArticleEmbed-TCWChronological_StreamOnDisneyPlusCTA-NA, friendlyName=Watch</x:v>
      </x:c>
      <x:c r="K152" s="52" t="str">
        <x:v>Season 7, Episode 4 · Episode guide</x:v>
      </x:c>
      <x:c r="L152" s="76" t="str"/>
      <x:c r="M152" s="76" t="str"/>
      <x:c r="N152" s="76" t="str"/>
      <x:c r="O152" s="76" t="str"/>
      <x:c r="P152" s="76" t="str"/>
      <x:c r="Q152" s="76" t="str"/>
      <x:c r="R152" s="76" t="str"/>
      <x:c r="S152" s="76" t="str"/>
      <x:c r="T152" s="76" t="str"/>
    </x:row>
    <x:row r="153" s="23" customFormat="1" ht="36" customHeight="1">
      <x:c r="A153" s="49" t="b">
        <x:v>0</x:v>
      </x:c>
      <x:c r="B153" s="50" t="str">
        <x:v>147</x:v>
      </x:c>
      <x:c r="C153" s="51" t="str">
        <x:v>Fall of the Jedi</x:v>
      </x:c>
      <x:c r="D153" s="51" t="str">
        <x:v>The Clone Wars: Old Friends Not Forgotten</x:v>
      </x:c>
      <x:c r="E153" s="50" t="str">
        <x:v>Season 7, Episode 9</x:v>
      </x:c>
      <x:c r="F153" s="51" t="str">
        <x:v>Series aired October 3, 2008–May 4, 2020</x:v>
      </x:c>
      <x:c r="G153" s="51" t="str">
        <x:v>Canon</x:v>
      </x:c>
      <x:c r="H153" s="51" t="str">
        <x:v>Episode</x:v>
      </x:c>
      <x:c r="I153" s="51" t="str">
        <x:v>Disney+</x:v>
      </x:c>
      <x:c r="J153" s="58" t="e">
        <x:f>HYPERLINK("https://www.disneyplus.com/video/0626c961-a67c-4203-bee2-a8166e95b895?cid=DTCI-Synergy-DDN-Site-Acquisition-StarWars-US-StarWars-StarWarsTheCloneWars-EN-BlogArticleEmbed-TCWChronological_StreamOnDisneyPlusCTA-NA","Watch")</x:f>
        <x:v>HYPERLINK is not implemented. linkLocation=https://www.disneyplus.com/video/0626c961-a67c-4203-bee2-a8166e95b895?cid=DTCI-Synergy-DDN-Site-Acquisition-StarWars-US-StarWars-StarWarsTheCloneWars-EN-BlogArticleEmbed-TCWChronological_StreamOnDisneyPlusCTA-NA, friendlyName=Watch</x:v>
      </x:c>
      <x:c r="K153" s="52" t="str">
        <x:v>Season 7, Episode 9 · Episode guide</x:v>
      </x:c>
      <x:c r="L153" s="76" t="str"/>
      <x:c r="M153" s="76" t="str"/>
      <x:c r="N153" s="76" t="str"/>
      <x:c r="O153" s="76" t="str"/>
      <x:c r="P153" s="76" t="str"/>
      <x:c r="Q153" s="76" t="str"/>
      <x:c r="R153" s="76" t="str"/>
      <x:c r="S153" s="76" t="str"/>
      <x:c r="T153" s="76" t="str"/>
    </x:row>
    <x:row r="154" s="23" customFormat="1" ht="36" customHeight="1">
      <x:c r="A154" s="49" t="b">
        <x:v>0</x:v>
      </x:c>
      <x:c r="B154" s="50" t="str">
        <x:v>148</x:v>
      </x:c>
      <x:c r="C154" s="51" t="str">
        <x:v>Fall of the Jedi</x:v>
      </x:c>
      <x:c r="D154" s="51" t="str">
        <x:v>The Clone Wars: The Phantom Apprentice</x:v>
      </x:c>
      <x:c r="E154" s="50" t="str">
        <x:v>Season 7, Episode 10</x:v>
      </x:c>
      <x:c r="F154" s="51" t="str">
        <x:v>Series aired October 3, 2008–May 4, 2020</x:v>
      </x:c>
      <x:c r="G154" s="51" t="str">
        <x:v>Canon</x:v>
      </x:c>
      <x:c r="H154" s="51" t="str">
        <x:v>Episode</x:v>
      </x:c>
      <x:c r="I154" s="51" t="str">
        <x:v>Disney+</x:v>
      </x:c>
      <x:c r="J154" s="58" t="e">
        <x:f>HYPERLINK("https://www.disneyplus.com/video/24dd0033-1f7d-492e-9114-63a684fa4f78?cid=DTCI-Synergy-DDN-Site-Acquisition-StarWars-US-StarWars-StarWarsTheCloneWars-EN-BlogArticleEmbed-TCWChronological_StreamOnDisneyPlusCTA-NA","Watch")</x:f>
        <x:v>HYPERLINK is not implemented. linkLocation=https://www.disneyplus.com/video/24dd0033-1f7d-492e-9114-63a684fa4f78?cid=DTCI-Synergy-DDN-Site-Acquisition-StarWars-US-StarWars-StarWarsTheCloneWars-EN-BlogArticleEmbed-TCWChronological_StreamOnDisneyPlusCTA-NA, friendlyName=Watch</x:v>
      </x:c>
      <x:c r="K154" s="52" t="str">
        <x:v>Season 7, Episode 10 · Episode guide</x:v>
      </x:c>
      <x:c r="L154" s="76" t="str"/>
      <x:c r="M154" s="76" t="str"/>
      <x:c r="N154" s="76" t="str"/>
      <x:c r="O154" s="76" t="str"/>
      <x:c r="P154" s="76" t="str"/>
      <x:c r="Q154" s="76" t="str"/>
      <x:c r="R154" s="76" t="str"/>
      <x:c r="S154" s="76" t="str"/>
      <x:c r="T154" s="76" t="str"/>
    </x:row>
    <x:row r="155" s="23" customFormat="1" ht="36" customHeight="1">
      <x:c r="A155" s="49" t="b">
        <x:v>0</x:v>
      </x:c>
      <x:c r="B155" s="50" t="str">
        <x:v>149</x:v>
      </x:c>
      <x:c r="C155" s="51" t="str">
        <x:v>Fall of the Jedi</x:v>
      </x:c>
      <x:c r="D155" s="51" t="str">
        <x:v>The Clone Wars: Shattered</x:v>
      </x:c>
      <x:c r="E155" s="50" t="str">
        <x:v>Season 7, Episode 11</x:v>
      </x:c>
      <x:c r="F155" s="51" t="str">
        <x:v>Series aired October 3, 2008–May 4, 2020</x:v>
      </x:c>
      <x:c r="G155" s="51" t="str">
        <x:v>Canon</x:v>
      </x:c>
      <x:c r="H155" s="51" t="str">
        <x:v>Episode</x:v>
      </x:c>
      <x:c r="I155" s="51" t="str">
        <x:v>Disney+</x:v>
      </x:c>
      <x:c r="J155" s="58" t="e">
        <x:f>HYPERLINK("https://www.disneyplus.com/video/cfcd7267-d3d1-4e98-92d6-3129b4c8d686?cid=DTCI-Synergy-DDN-Site-Acquisition-StarWars-US-StarWars-StarWarsTheCloneWars-EN-BlogArticleEmbed-TCWChronological_StreamOnDisneyPlusCTA-NA","Watch")</x:f>
        <x:v>HYPERLINK is not implemented. linkLocation=https://www.disneyplus.com/video/cfcd7267-d3d1-4e98-92d6-3129b4c8d686?cid=DTCI-Synergy-DDN-Site-Acquisition-StarWars-US-StarWars-StarWarsTheCloneWars-EN-BlogArticleEmbed-TCWChronological_StreamOnDisneyPlusCTA-NA, friendlyName=Watch</x:v>
      </x:c>
      <x:c r="K155" s="52" t="str">
        <x:v>Season 7, Episode 11 · Episode guide</x:v>
      </x:c>
      <x:c r="L155" s="76" t="str"/>
      <x:c r="M155" s="76" t="str"/>
      <x:c r="N155" s="76" t="str"/>
      <x:c r="O155" s="76" t="str"/>
      <x:c r="P155" s="76" t="str"/>
      <x:c r="Q155" s="76" t="str"/>
      <x:c r="R155" s="76" t="str"/>
      <x:c r="S155" s="76" t="str"/>
      <x:c r="T155" s="76" t="str"/>
    </x:row>
    <x:row r="156" s="23" customFormat="1" ht="36" customHeight="1">
      <x:c r="A156" s="49" t="b">
        <x:v>0</x:v>
      </x:c>
      <x:c r="B156" s="50" t="str">
        <x:v>150</x:v>
      </x:c>
      <x:c r="C156" s="51" t="str">
        <x:v>Fall of the Jedi</x:v>
      </x:c>
      <x:c r="D156" s="51" t="str">
        <x:v>The Clone Wars: Victory and Death</x:v>
      </x:c>
      <x:c r="E156" s="50" t="str">
        <x:v>Season 7, Episode 12</x:v>
      </x:c>
      <x:c r="F156" s="51" t="str">
        <x:v>Series aired October 3, 2008–May 4, 2020</x:v>
      </x:c>
      <x:c r="G156" s="51" t="str">
        <x:v>Canon</x:v>
      </x:c>
      <x:c r="H156" s="51" t="str">
        <x:v>Episode</x:v>
      </x:c>
      <x:c r="I156" s="51" t="str">
        <x:v>Disney+</x:v>
      </x:c>
      <x:c r="J156" s="58" t="e">
        <x:f>HYPERLINK("https://www.disneyplus.com/video/f21bd5ab-d24d-4a4a-b09c-d09d4361148b?cid=DTCI-Synergy-DDN-Site-Acquisition-StarWars-US-StarWars-StarWarsTheCloneWars-EN-BlogArticleEmbed-TCWChronological_StreamOnDisneyPlusCTA-NA","Watch")</x:f>
        <x:v>HYPERLINK is not implemented. linkLocation=https://www.disneyplus.com/video/f21bd5ab-d24d-4a4a-b09c-d09d4361148b?cid=DTCI-Synergy-DDN-Site-Acquisition-StarWars-US-StarWars-StarWarsTheCloneWars-EN-BlogArticleEmbed-TCWChronological_StreamOnDisneyPlusCTA-NA, friendlyName=Watch</x:v>
      </x:c>
      <x:c r="K156" s="52" t="str">
        <x:v>Season 7, Episode 12 · Episode guide</x:v>
      </x:c>
      <x:c r="L156" s="76" t="str"/>
      <x:c r="M156" s="76" t="str"/>
      <x:c r="N156" s="76" t="str"/>
      <x:c r="O156" s="76" t="str"/>
      <x:c r="P156" s="76" t="str"/>
      <x:c r="Q156" s="76" t="str"/>
      <x:c r="R156" s="76" t="str"/>
      <x:c r="S156" s="76" t="str"/>
      <x:c r="T156" s="76" t="str"/>
    </x:row>
    <x:row r="157" s="23" customFormat="1" ht="36" customHeight="1">
      <x:c r="A157" s="49" t="b">
        <x:v>0</x:v>
      </x:c>
      <x:c r="B157" s="50" t="str">
        <x:v>151</x:v>
      </x:c>
      <x:c r="C157" s="51" t="str">
        <x:v>Fall of the Jedi</x:v>
      </x:c>
      <x:c r="D157" s="51" t="str">
        <x:v>Forces of Destiny: The Padawan Path</x:v>
      </x:c>
      <x:c r="E157" s="50" t="str">
        <x:v>Season 1, Episode 4</x:v>
      </x:c>
      <x:c r="F157" s="51" t="str">
        <x:v>July 6, 2017</x:v>
      </x:c>
      <x:c r="G157" s="51" t="str">
        <x:v>Canon</x:v>
      </x:c>
      <x:c r="H157" s="51" t="str">
        <x:v>Short</x:v>
      </x:c>
      <x:c r="I157" s="51" t="str">
        <x:v>Disney+ / official YouTube</x:v>
      </x:c>
      <x:c r="J157" s="58" t="e">
        <x:f>HYPERLINK("https://www.youtube.com/results?search_query=Star%20Wars%20Forces%20of%20Destiny%20The%20Padawan%20Path%20official","Open")</x:f>
        <x:v>HYPERLINK is not implemented. linkLocation=https://www.youtube.com/results?search_query=Star%20Wars%20Forces%20of%20Destiny%20The%20Padawan%20Path%20official, friendlyName=Open</x:v>
      </x:c>
      <x:c r="K157" s="51" t="str">
        <x:v>During The Clone Wars</x:v>
      </x:c>
      <x:c r="L157" s="76" t="str"/>
      <x:c r="M157" s="76" t="str"/>
      <x:c r="N157" s="76" t="str"/>
      <x:c r="O157" s="76" t="str"/>
      <x:c r="P157" s="76" t="str"/>
      <x:c r="Q157" s="76" t="str"/>
      <x:c r="R157" s="76" t="str"/>
      <x:c r="S157" s="76" t="str"/>
      <x:c r="T157" s="76" t="str"/>
    </x:row>
    <x:row r="158" s="23" customFormat="1" ht="36" customHeight="1">
      <x:c r="A158" s="49" t="b">
        <x:v>0</x:v>
      </x:c>
      <x:c r="B158" s="50" t="str">
        <x:v>152</x:v>
      </x:c>
      <x:c r="C158" s="51" t="str">
        <x:v>Fall of the Jedi</x:v>
      </x:c>
      <x:c r="D158" s="51" t="str">
        <x:v>Forces of Destiny: The Imposter Inside</x:v>
      </x:c>
      <x:c r="E158" s="50" t="str">
        <x:v>Season 1, Episode 6</x:v>
      </x:c>
      <x:c r="F158" s="51" t="str">
        <x:v>July 8, 2017</x:v>
      </x:c>
      <x:c r="G158" s="51" t="str">
        <x:v>Canon</x:v>
      </x:c>
      <x:c r="H158" s="51" t="str">
        <x:v>Short</x:v>
      </x:c>
      <x:c r="I158" s="51" t="str">
        <x:v>Disney+ / official YouTube</x:v>
      </x:c>
      <x:c r="J158" s="58" t="e">
        <x:f>HYPERLINK("https://www.youtube.com/results?search_query=Star%20Wars%20Forces%20of%20Destiny%20The%20Imposter%20Inside%20official","Open")</x:f>
        <x:v>HYPERLINK is not implemented. linkLocation=https://www.youtube.com/results?search_query=Star%20Wars%20Forces%20of%20Destiny%20The%20Imposter%20Inside%20official, friendlyName=Open</x:v>
      </x:c>
      <x:c r="K158" s="51" t="str">
        <x:v>During The Clone Wars</x:v>
      </x:c>
      <x:c r="L158" s="76" t="str"/>
      <x:c r="M158" s="76" t="str"/>
      <x:c r="N158" s="76" t="str"/>
      <x:c r="O158" s="76" t="str"/>
      <x:c r="P158" s="76" t="str"/>
      <x:c r="Q158" s="76" t="str"/>
      <x:c r="R158" s="76" t="str"/>
      <x:c r="S158" s="76" t="str"/>
      <x:c r="T158" s="76" t="str"/>
    </x:row>
    <x:row r="159" s="23" customFormat="1" ht="36" customHeight="1">
      <x:c r="A159" s="49" t="b">
        <x:v>0</x:v>
      </x:c>
      <x:c r="B159" s="50" t="str">
        <x:v>153</x:v>
      </x:c>
      <x:c r="C159" s="51" t="str">
        <x:v>Fall of the Jedi</x:v>
      </x:c>
      <x:c r="D159" s="51" t="str">
        <x:v>Forces of Destiny: Teach You, I Will</x:v>
      </x:c>
      <x:c r="E159" s="50" t="str">
        <x:v>Season 1, Episode 10</x:v>
      </x:c>
      <x:c r="F159" s="51" t="str">
        <x:v>October 3, 2017</x:v>
      </x:c>
      <x:c r="G159" s="51" t="str">
        <x:v>Canon</x:v>
      </x:c>
      <x:c r="H159" s="51" t="str">
        <x:v>Short</x:v>
      </x:c>
      <x:c r="I159" s="51" t="str">
        <x:v>Disney+ / official YouTube</x:v>
      </x:c>
      <x:c r="J159" s="58" t="e">
        <x:f>HYPERLINK("https://www.youtube.com/results?search_query=Star%20Wars%20Forces%20of%20Destiny%20Teach%20You%2C%20I%20Will%20official","Open")</x:f>
        <x:v>HYPERLINK is not implemented. linkLocation=https://www.youtube.com/results?search_query=Star%20Wars%20Forces%20of%20Destiny%20Teach%20You%2C%20I%20Will%20official, friendlyName=Open</x:v>
      </x:c>
      <x:c r="K159" s="51" t="str">
        <x:v>During The Clone Wars</x:v>
      </x:c>
      <x:c r="L159" s="76" t="str"/>
      <x:c r="M159" s="76" t="str"/>
      <x:c r="N159" s="76" t="str"/>
      <x:c r="O159" s="76" t="str"/>
      <x:c r="P159" s="76" t="str"/>
      <x:c r="Q159" s="76" t="str"/>
      <x:c r="R159" s="76" t="str"/>
      <x:c r="S159" s="76" t="str"/>
      <x:c r="T159" s="76" t="str"/>
    </x:row>
    <x:row r="160" s="23" customFormat="1" ht="36" customHeight="1">
      <x:c r="A160" s="49" t="b">
        <x:v>0</x:v>
      </x:c>
      <x:c r="B160" s="50" t="str">
        <x:v>154</x:v>
      </x:c>
      <x:c r="C160" s="51" t="str">
        <x:v>Fall of the Jedi</x:v>
      </x:c>
      <x:c r="D160" s="51" t="str">
        <x:v>Forces of Destiny: The Starfighter Stunt</x:v>
      </x:c>
      <x:c r="E160" s="50" t="str">
        <x:v>Season 1, Episode 11</x:v>
      </x:c>
      <x:c r="F160" s="51" t="str">
        <x:v>October 4, 2017</x:v>
      </x:c>
      <x:c r="G160" s="51" t="str">
        <x:v>Canon</x:v>
      </x:c>
      <x:c r="H160" s="51" t="str">
        <x:v>Short</x:v>
      </x:c>
      <x:c r="I160" s="51" t="str">
        <x:v>Disney+ / official YouTube</x:v>
      </x:c>
      <x:c r="J160" s="58" t="e">
        <x:f>HYPERLINK("https://www.youtube.com/results?search_query=Star%20Wars%20Forces%20of%20Destiny%20The%20Starfighter%20Stunt%20official","Open")</x:f>
        <x:v>HYPERLINK is not implemented. linkLocation=https://www.youtube.com/results?search_query=Star%20Wars%20Forces%20of%20Destiny%20The%20Starfighter%20Stunt%20official, friendlyName=Open</x:v>
      </x:c>
      <x:c r="K160" s="51" t="str">
        <x:v>During The Clone Wars</x:v>
      </x:c>
      <x:c r="L160" s="76" t="str"/>
      <x:c r="M160" s="76" t="str"/>
      <x:c r="N160" s="76" t="str"/>
      <x:c r="O160" s="76" t="str"/>
      <x:c r="P160" s="76" t="str"/>
      <x:c r="Q160" s="76" t="str"/>
      <x:c r="R160" s="76" t="str"/>
      <x:c r="S160" s="76" t="str"/>
      <x:c r="T160" s="76" t="str"/>
    </x:row>
    <x:row r="161" s="23" customFormat="1" ht="36" customHeight="1">
      <x:c r="A161" s="49" t="b">
        <x:v>0</x:v>
      </x:c>
      <x:c r="B161" s="50" t="str">
        <x:v>155</x:v>
      </x:c>
      <x:c r="C161" s="51" t="str">
        <x:v>Fall of the Jedi</x:v>
      </x:c>
      <x:c r="D161" s="51" t="str">
        <x:v>Forces of Destiny: Unexpected Company</x:v>
      </x:c>
      <x:c r="E161" s="50" t="str">
        <x:v>Season 2, Episode 2</x:v>
      </x:c>
      <x:c r="F161" s="51" t="str">
        <x:v>March 19, 2018</x:v>
      </x:c>
      <x:c r="G161" s="51" t="str">
        <x:v>Canon</x:v>
      </x:c>
      <x:c r="H161" s="51" t="str">
        <x:v>Short</x:v>
      </x:c>
      <x:c r="I161" s="51" t="str">
        <x:v>Disney+ / official YouTube</x:v>
      </x:c>
      <x:c r="J161" s="58" t="e">
        <x:f>HYPERLINK("https://www.youtube.com/results?search_query=Star%20Wars%20Forces%20of%20Destiny%20Unexpected%20Company%20official","Open")</x:f>
        <x:v>HYPERLINK is not implemented. linkLocation=https://www.youtube.com/results?search_query=Star%20Wars%20Forces%20of%20Destiny%20Unexpected%20Company%20official, friendlyName=Open</x:v>
      </x:c>
      <x:c r="K161" s="51" t="str">
        <x:v>During The Clone Wars</x:v>
      </x:c>
      <x:c r="L161" s="76" t="str"/>
      <x:c r="M161" s="76" t="str"/>
      <x:c r="N161" s="76" t="str"/>
      <x:c r="O161" s="76" t="str"/>
      <x:c r="P161" s="76" t="str"/>
      <x:c r="Q161" s="76" t="str"/>
      <x:c r="R161" s="76" t="str"/>
      <x:c r="S161" s="76" t="str"/>
      <x:c r="T161" s="76" t="str"/>
    </x:row>
    <x:row r="162" s="23" customFormat="1" ht="36" customHeight="1">
      <x:c r="A162" s="49" t="b">
        <x:v>0</x:v>
      </x:c>
      <x:c r="B162" s="50" t="str">
        <x:v>156</x:v>
      </x:c>
      <x:c r="C162" s="51" t="str">
        <x:v>Fall of the Jedi</x:v>
      </x:c>
      <x:c r="D162" s="51" t="str">
        <x:v>Tales of the Empire: The Path of Fear</x:v>
      </x:c>
      <x:c r="E162" s="50" t="str"/>
      <x:c r="F162" s="51" t="str">
        <x:v>May 4, 2024</x:v>
      </x:c>
      <x:c r="G162" s="51" t="str">
        <x:v>Canon</x:v>
      </x:c>
      <x:c r="H162" s="51" t="str">
        <x:v>Episode</x:v>
      </x:c>
      <x:c r="I162" s="51" t="str">
        <x:v>Disney+</x:v>
      </x:c>
      <x:c r="J162" s="58" t="str"/>
      <x:c r="K162" s="51" t="str"/>
      <x:c r="L162" s="76" t="str"/>
      <x:c r="M162" s="76" t="str"/>
      <x:c r="N162" s="76" t="str"/>
      <x:c r="O162" s="76" t="str"/>
      <x:c r="P162" s="76" t="str"/>
      <x:c r="Q162" s="76" t="str"/>
      <x:c r="R162" s="76" t="str"/>
      <x:c r="S162" s="76" t="str"/>
      <x:c r="T162" s="76" t="str"/>
    </x:row>
    <x:row r="163" s="23" customFormat="1" ht="36" customHeight="1">
      <x:c r="A163" s="49" t="b">
        <x:v>0</x:v>
      </x:c>
      <x:c r="B163" s="50" t="str">
        <x:v>157</x:v>
      </x:c>
      <x:c r="C163" s="51" t="str">
        <x:v>Fall of the Jedi</x:v>
      </x:c>
      <x:c r="D163" s="51" t="str">
        <x:v>Republic Commando</x:v>
      </x:c>
      <x:c r="E163" s="50" t="str"/>
      <x:c r="F163" s="51" t="str">
        <x:v>February 28 / March 1, 2005</x:v>
      </x:c>
      <x:c r="G163" s="51" t="str">
        <x:v>Legends</x:v>
      </x:c>
      <x:c r="H163" s="51" t="str">
        <x:v>Game movie</x:v>
      </x:c>
      <x:c r="I163" s="51" t="str">
        <x:v>YouTube</x:v>
      </x:c>
      <x:c r="J163" s="58" t="e">
        <x:f>HYPERLINK("https://www.youtube.com/watch?v=xLmcUuS8p2Y","Open")</x:f>
        <x:v>HYPERLINK is not implemented. linkLocation=https://www.youtube.com/watch?v=xLmcUuS8p2Y, friendlyName=Open</x:v>
      </x:c>
      <x:c r="K163" s="51" t="str"/>
      <x:c r="L163" s="76" t="str"/>
      <x:c r="M163" s="76" t="str"/>
      <x:c r="N163" s="76" t="str"/>
      <x:c r="O163" s="76" t="str"/>
      <x:c r="P163" s="76" t="str"/>
      <x:c r="Q163" s="76" t="str"/>
      <x:c r="R163" s="76" t="str"/>
      <x:c r="S163" s="76" t="str"/>
      <x:c r="T163" s="76" t="str"/>
    </x:row>
    <x:row r="164" s="23" customFormat="1" ht="36" customHeight="1">
      <x:c r="A164" s="49" t="b">
        <x:v>0</x:v>
      </x:c>
      <x:c r="B164" s="50" t="str">
        <x:v>158</x:v>
      </x:c>
      <x:c r="C164" s="51" t="str">
        <x:v>Fall of the Jedi</x:v>
      </x:c>
      <x:c r="D164" s="51" t="str">
        <x:v>Star Wars: Zero Company</x:v>
      </x:c>
      <x:c r="E164" s="50" t="str"/>
      <x:c r="F164" s="51" t="str">
        <x:v>August 27, 2026</x:v>
      </x:c>
      <x:c r="G164" s="51" t="str">
        <x:v>Canon</x:v>
      </x:c>
      <x:c r="H164" s="51" t="str">
        <x:v>Game movie</x:v>
      </x:c>
      <x:c r="I164" s="51" t="str">
        <x:v>YouTube</x:v>
      </x:c>
      <x:c r="J164" s="58" t="e">
        <x:f>HYPERLINK("https://www.youtube.com/watch?v=UUi9k61OntU","Open")</x:f>
        <x:v>HYPERLINK is not implemented. linkLocation=https://www.youtube.com/watch?v=UUi9k61OntU, friendlyName=Open</x:v>
      </x:c>
      <x:c r="K164" s="51" t="str">
        <x:v>Tactical game set near the end of the Clone Wars</x:v>
      </x:c>
      <x:c r="L164" s="76" t="str"/>
      <x:c r="M164" s="76" t="str"/>
      <x:c r="N164" s="76" t="str"/>
      <x:c r="O164" s="76" t="str"/>
      <x:c r="P164" s="76" t="str"/>
      <x:c r="Q164" s="76" t="str"/>
      <x:c r="R164" s="76" t="str"/>
      <x:c r="S164" s="76" t="str"/>
      <x:c r="T164" s="76" t="str"/>
    </x:row>
    <x:row r="165" s="23" customFormat="1" ht="36" customHeight="1">
      <x:c r="A165" s="49" t="b">
        <x:v>0</x:v>
      </x:c>
      <x:c r="B165" s="50" t="str">
        <x:v>159</x:v>
      </x:c>
      <x:c r="C165" s="51" t="str">
        <x:v>Fall of the Jedi</x:v>
      </x:c>
      <x:c r="D165" s="51" t="str">
        <x:v>Tales of the Jedi: Practice Makes Perfect</x:v>
      </x:c>
      <x:c r="E165" s="50" t="str"/>
      <x:c r="F165" s="51" t="str">
        <x:v>October 26, 2022</x:v>
      </x:c>
      <x:c r="G165" s="51" t="str">
        <x:v>Canon</x:v>
      </x:c>
      <x:c r="H165" s="51" t="str">
        <x:v>Episode</x:v>
      </x:c>
      <x:c r="I165" s="51" t="str">
        <x:v>Disney+</x:v>
      </x:c>
      <x:c r="J165" s="58" t="str"/>
      <x:c r="K165" s="51" t="str"/>
      <x:c r="L165" s="76" t="str"/>
      <x:c r="M165" s="76" t="str"/>
      <x:c r="N165" s="76" t="str"/>
      <x:c r="O165" s="76" t="str"/>
      <x:c r="P165" s="76" t="str"/>
      <x:c r="Q165" s="76" t="str"/>
      <x:c r="R165" s="76" t="str"/>
      <x:c r="S165" s="76" t="str"/>
      <x:c r="T165" s="76" t="str"/>
    </x:row>
    <x:row r="166" s="23" customFormat="1" ht="36" customHeight="1">
      <x:c r="A166" s="49" t="b">
        <x:v>0</x:v>
      </x:c>
      <x:c r="B166" s="50" t="str">
        <x:v>160</x:v>
      </x:c>
      <x:c r="C166" s="51" t="str">
        <x:v>Fall of the Jedi</x:v>
      </x:c>
      <x:c r="D166" s="51" t="str">
        <x:v>Clone Wars (2003)</x:v>
      </x:c>
      <x:c r="E166" s="50" t="str"/>
      <x:c r="F166" s="51" t="str">
        <x:v>November 7, 2003–March 25, 2005</x:v>
      </x:c>
      <x:c r="G166" s="51" t="str">
        <x:v>Legends</x:v>
      </x:c>
      <x:c r="H166" s="51" t="str">
        <x:v>2D series</x:v>
      </x:c>
      <x:c r="I166" s="51" t="str">
        <x:v>Disney+</x:v>
      </x:c>
      <x:c r="J166" s="58" t="str"/>
      <x:c r="K166" s="51" t="str">
        <x:v>Different from the 2008 CGI series; about two hours total</x:v>
      </x:c>
      <x:c r="L166" s="76" t="str"/>
      <x:c r="M166" s="76" t="str"/>
      <x:c r="N166" s="76" t="str"/>
      <x:c r="O166" s="76" t="str"/>
      <x:c r="P166" s="76" t="str"/>
      <x:c r="Q166" s="76" t="str"/>
      <x:c r="R166" s="76" t="str"/>
      <x:c r="S166" s="76" t="str"/>
      <x:c r="T166" s="76" t="str"/>
    </x:row>
    <x:row r="167" s="23" customFormat="1" ht="36" customHeight="1">
      <x:c r="A167" s="49" t="b">
        <x:v>0</x:v>
      </x:c>
      <x:c r="B167" s="50" t="str">
        <x:v>161</x:v>
      </x:c>
      <x:c r="C167" s="51" t="str">
        <x:v>Fall of the Jedi</x:v>
      </x:c>
      <x:c r="D167" s="51" t="str">
        <x:v>Episode III: Revenge of the Sith</x:v>
      </x:c>
      <x:c r="E167" s="50" t="str"/>
      <x:c r="F167" s="51" t="str">
        <x:v>May 19, 2005</x:v>
      </x:c>
      <x:c r="G167" s="51" t="str">
        <x:v>Canon</x:v>
      </x:c>
      <x:c r="H167" s="51" t="str">
        <x:v>Movie</x:v>
      </x:c>
      <x:c r="I167" s="51" t="str">
        <x:v>Disney+</x:v>
      </x:c>
      <x:c r="J167" s="58" t="str"/>
      <x:c r="K167" s="51" t="str">
        <x:v>Optional: legally sourced Siege of Mandalore supercut</x:v>
      </x:c>
      <x:c r="L167" s="76" t="str"/>
      <x:c r="M167" s="76" t="str"/>
      <x:c r="N167" s="76" t="str"/>
      <x:c r="O167" s="76" t="str"/>
      <x:c r="P167" s="76" t="str"/>
      <x:c r="Q167" s="76" t="str"/>
      <x:c r="R167" s="76" t="str"/>
      <x:c r="S167" s="76" t="str"/>
      <x:c r="T167" s="76" t="str"/>
    </x:row>
    <x:row r="168" s="23" customFormat="1" ht="36" customHeight="1">
      <x:c r="A168" s="49" t="b">
        <x:v>0</x:v>
      </x:c>
      <x:c r="B168" s="50" t="str">
        <x:v>162</x:v>
      </x:c>
      <x:c r="C168" s="51" t="str">
        <x:v>Imperial era</x:v>
      </x:c>
      <x:c r="D168" s="51" t="str">
        <x:v>Tales of the Jedi: Resolve</x:v>
      </x:c>
      <x:c r="E168" s="50" t="str"/>
      <x:c r="F168" s="51" t="str">
        <x:v>October 26, 2022</x:v>
      </x:c>
      <x:c r="G168" s="51" t="str">
        <x:v>Canon</x:v>
      </x:c>
      <x:c r="H168" s="51" t="str">
        <x:v>Episode</x:v>
      </x:c>
      <x:c r="I168" s="51" t="str">
        <x:v>Disney+</x:v>
      </x:c>
      <x:c r="J168" s="58" t="str"/>
      <x:c r="K168" s="51" t="str"/>
      <x:c r="L168" s="76" t="str"/>
      <x:c r="M168" s="76" t="str"/>
      <x:c r="N168" s="76" t="str"/>
      <x:c r="O168" s="76" t="str"/>
      <x:c r="P168" s="76" t="str"/>
      <x:c r="Q168" s="76" t="str"/>
      <x:c r="R168" s="76" t="str"/>
      <x:c r="S168" s="76" t="str"/>
      <x:c r="T168" s="76" t="str"/>
    </x:row>
    <x:row r="169" s="23" customFormat="1" ht="36" customHeight="1">
      <x:c r="A169" s="49" t="b">
        <x:v>0</x:v>
      </x:c>
      <x:c r="B169" s="50" t="str">
        <x:v>163</x:v>
      </x:c>
      <x:c r="C169" s="51" t="str">
        <x:v>Imperial era</x:v>
      </x:c>
      <x:c r="D169" s="51" t="str">
        <x:v>The Bad Batch</x:v>
      </x:c>
      <x:c r="E169" s="50" t="str"/>
      <x:c r="F169" s="51" t="str">
        <x:v>May 4, 2021–May 1, 2024</x:v>
      </x:c>
      <x:c r="G169" s="51" t="str">
        <x:v>Canon</x:v>
      </x:c>
      <x:c r="H169" s="51" t="str">
        <x:v>Series</x:v>
      </x:c>
      <x:c r="I169" s="51" t="str">
        <x:v>Disney+</x:v>
      </x:c>
      <x:c r="J169" s="58" t="str"/>
      <x:c r="K169" s="51" t="str">
        <x:v>Seasons 1–3</x:v>
      </x:c>
      <x:c r="L169" s="76" t="str"/>
      <x:c r="M169" s="76" t="str"/>
      <x:c r="N169" s="76" t="str"/>
      <x:c r="O169" s="76" t="str"/>
      <x:c r="P169" s="76" t="str"/>
      <x:c r="Q169" s="76" t="str"/>
      <x:c r="R169" s="76" t="str"/>
      <x:c r="S169" s="76" t="str"/>
      <x:c r="T169" s="76" t="str"/>
    </x:row>
    <x:row r="170" s="23" customFormat="1" ht="36" customHeight="1">
      <x:c r="A170" s="49" t="b">
        <x:v>0</x:v>
      </x:c>
      <x:c r="B170" s="50" t="str">
        <x:v>164</x:v>
      </x:c>
      <x:c r="C170" s="51" t="str">
        <x:v>Imperial era</x:v>
      </x:c>
      <x:c r="D170" s="51" t="str">
        <x:v>Vader: Shards of the Past</x:v>
      </x:c>
      <x:c r="E170" s="50" t="str"/>
      <x:c r="F170" s="51" t="str">
        <x:v>December 21, 2018</x:v>
      </x:c>
      <x:c r="G170" s="51" t="str">
        <x:v>Fan / non-canon</x:v>
      </x:c>
      <x:c r="H170" s="51" t="str">
        <x:v>Fan film</x:v>
      </x:c>
      <x:c r="I170" s="51" t="str">
        <x:v>YouTube</x:v>
      </x:c>
      <x:c r="J170" s="58" t="e">
        <x:f>HYPERLINK("https://www.youtube.com/watch?v=Ey68aMOV9gc","Open")</x:f>
        <x:v>HYPERLINK is not implemented. linkLocation=https://www.youtube.com/watch?v=Ey68aMOV9gc, friendlyName=Open</x:v>
      </x:c>
      <x:c r="K170" s="51" t="str">
        <x:v>Set about eight months after Revenge of the Sith</x:v>
      </x:c>
      <x:c r="L170" s="76" t="str"/>
      <x:c r="M170" s="76" t="str"/>
      <x:c r="N170" s="76" t="str"/>
      <x:c r="O170" s="76" t="str"/>
      <x:c r="P170" s="76" t="str"/>
      <x:c r="Q170" s="76" t="str"/>
      <x:c r="R170" s="76" t="str"/>
      <x:c r="S170" s="76" t="str"/>
      <x:c r="T170" s="76" t="str"/>
    </x:row>
    <x:row r="171" s="23" customFormat="1" ht="36" customHeight="1">
      <x:c r="A171" s="49" t="b">
        <x:v>0</x:v>
      </x:c>
      <x:c r="B171" s="50" t="str">
        <x:v>165</x:v>
      </x:c>
      <x:c r="C171" s="51" t="str">
        <x:v>Imperial era</x:v>
      </x:c>
      <x:c r="D171" s="51" t="str">
        <x:v>Tales of the Empire: Barriss Offee trilogy</x:v>
      </x:c>
      <x:c r="E171" s="50" t="str"/>
      <x:c r="F171" s="51" t="str">
        <x:v>May 4, 2024</x:v>
      </x:c>
      <x:c r="G171" s="51" t="str">
        <x:v>Canon</x:v>
      </x:c>
      <x:c r="H171" s="51" t="str">
        <x:v>3 episodes</x:v>
      </x:c>
      <x:c r="I171" s="51" t="str">
        <x:v>Disney+</x:v>
      </x:c>
      <x:c r="J171" s="58" t="str"/>
      <x:c r="K171" s="51" t="str"/>
      <x:c r="L171" s="76" t="str"/>
      <x:c r="M171" s="76" t="str"/>
      <x:c r="N171" s="76" t="str"/>
      <x:c r="O171" s="76" t="str"/>
      <x:c r="P171" s="76" t="str"/>
      <x:c r="Q171" s="76" t="str"/>
      <x:c r="R171" s="76" t="str"/>
      <x:c r="S171" s="76" t="str"/>
      <x:c r="T171" s="76" t="str"/>
    </x:row>
    <x:row r="172" s="23" customFormat="1" ht="36" customHeight="1">
      <x:c r="A172" s="49" t="b">
        <x:v>0</x:v>
      </x:c>
      <x:c r="B172" s="50" t="str">
        <x:v>166</x:v>
      </x:c>
      <x:c r="C172" s="51" t="str">
        <x:v>Imperial era</x:v>
      </x:c>
      <x:c r="D172" s="51" t="str">
        <x:v>Tales of the Underworld: Asajj Ventress trilogy</x:v>
      </x:c>
      <x:c r="E172" s="50" t="str"/>
      <x:c r="F172" s="51" t="str">
        <x:v>May 4, 2025</x:v>
      </x:c>
      <x:c r="G172" s="51" t="str">
        <x:v>Canon</x:v>
      </x:c>
      <x:c r="H172" s="51" t="str">
        <x:v>3 episodes</x:v>
      </x:c>
      <x:c r="I172" s="51" t="str">
        <x:v>Disney+</x:v>
      </x:c>
      <x:c r="J172" s="58" t="str"/>
      <x:c r="K172" s="51" t="str"/>
      <x:c r="L172" s="76" t="str"/>
      <x:c r="M172" s="76" t="str"/>
      <x:c r="N172" s="76" t="str"/>
      <x:c r="O172" s="76" t="str"/>
      <x:c r="P172" s="76" t="str"/>
      <x:c r="Q172" s="76" t="str"/>
      <x:c r="R172" s="76" t="str"/>
      <x:c r="S172" s="76" t="str"/>
      <x:c r="T172" s="76" t="str"/>
    </x:row>
    <x:row r="173" s="23" customFormat="1" ht="36" customHeight="1">
      <x:c r="A173" s="49" t="b">
        <x:v>0</x:v>
      </x:c>
      <x:c r="B173" s="50" t="str">
        <x:v>167</x:v>
      </x:c>
      <x:c r="C173" s="51" t="str">
        <x:v>Imperial era</x:v>
      </x:c>
      <x:c r="D173" s="51" t="str">
        <x:v>Maul – Shadow Lord</x:v>
      </x:c>
      <x:c r="E173" s="50" t="str"/>
      <x:c r="F173" s="51" t="str">
        <x:v>April 6–May 4, 2026</x:v>
      </x:c>
      <x:c r="G173" s="51" t="str">
        <x:v>Canon</x:v>
      </x:c>
      <x:c r="H173" s="51" t="str">
        <x:v>Series</x:v>
      </x:c>
      <x:c r="I173" s="51" t="str">
        <x:v>Disney+</x:v>
      </x:c>
      <x:c r="J173" s="58" t="str"/>
      <x:c r="K173" s="51" t="str"/>
      <x:c r="L173" s="76" t="str"/>
      <x:c r="M173" s="76" t="str"/>
      <x:c r="N173" s="76" t="str"/>
      <x:c r="O173" s="76" t="str"/>
      <x:c r="P173" s="76" t="str"/>
      <x:c r="Q173" s="76" t="str"/>
      <x:c r="R173" s="76" t="str"/>
      <x:c r="S173" s="76" t="str"/>
      <x:c r="T173" s="76" t="str"/>
    </x:row>
    <x:row r="174" s="23" customFormat="1" ht="36" customHeight="1">
      <x:c r="A174" s="49" t="b">
        <x:v>0</x:v>
      </x:c>
      <x:c r="B174" s="50" t="str">
        <x:v>168</x:v>
      </x:c>
      <x:c r="C174" s="51" t="str">
        <x:v>Imperial era</x:v>
      </x:c>
      <x:c r="D174" s="51" t="str">
        <x:v>Jedi: Fallen Order</x:v>
      </x:c>
      <x:c r="E174" s="50" t="str"/>
      <x:c r="F174" s="51" t="str">
        <x:v>November 15, 2019</x:v>
      </x:c>
      <x:c r="G174" s="51" t="str">
        <x:v>Canon</x:v>
      </x:c>
      <x:c r="H174" s="51" t="str">
        <x:v>Game movie</x:v>
      </x:c>
      <x:c r="I174" s="51" t="str">
        <x:v>YouTube</x:v>
      </x:c>
      <x:c r="J174" s="58" t="e">
        <x:f>HYPERLINK("https://www.youtube.com/watch?v=D_D_bR2cGgM","Open")</x:f>
        <x:v>HYPERLINK is not implemented. linkLocation=https://www.youtube.com/watch?v=D_D_bR2cGgM, friendlyName=Open</x:v>
      </x:c>
      <x:c r="K174" s="51" t="str"/>
      <x:c r="L174" s="76" t="str"/>
      <x:c r="M174" s="76" t="str"/>
      <x:c r="N174" s="76" t="str"/>
      <x:c r="O174" s="76" t="str"/>
      <x:c r="P174" s="76" t="str"/>
      <x:c r="Q174" s="76" t="str"/>
      <x:c r="R174" s="76" t="str"/>
      <x:c r="S174" s="76" t="str"/>
      <x:c r="T174" s="76" t="str"/>
    </x:row>
    <x:row r="175" s="23" customFormat="1" ht="36" customHeight="1">
      <x:c r="A175" s="49" t="b">
        <x:v>0</x:v>
      </x:c>
      <x:c r="B175" s="50" t="str">
        <x:v>169</x:v>
      </x:c>
      <x:c r="C175" s="51" t="str">
        <x:v>Imperial era</x:v>
      </x:c>
      <x:c r="D175" s="51" t="str">
        <x:v>Solo: A Star Wars Story</x:v>
      </x:c>
      <x:c r="E175" s="50" t="str"/>
      <x:c r="F175" s="51" t="str">
        <x:v>May 25, 2018</x:v>
      </x:c>
      <x:c r="G175" s="51" t="str">
        <x:v>Canon</x:v>
      </x:c>
      <x:c r="H175" s="51" t="str">
        <x:v>Movie</x:v>
      </x:c>
      <x:c r="I175" s="51" t="str">
        <x:v>Disney+</x:v>
      </x:c>
      <x:c r="J175" s="58" t="str"/>
      <x:c r="K175" s="51" t="str"/>
      <x:c r="L175" s="76" t="str"/>
      <x:c r="M175" s="76" t="str"/>
      <x:c r="N175" s="76" t="str"/>
      <x:c r="O175" s="76" t="str"/>
      <x:c r="P175" s="76" t="str"/>
      <x:c r="Q175" s="76" t="str"/>
      <x:c r="R175" s="76" t="str"/>
      <x:c r="S175" s="76" t="str"/>
      <x:c r="T175" s="76" t="str"/>
    </x:row>
    <x:row r="176" s="23" customFormat="1" ht="36" customHeight="1">
      <x:c r="A176" s="49" t="b">
        <x:v>0</x:v>
      </x:c>
      <x:c r="B176" s="50" t="str">
        <x:v>170</x:v>
      </x:c>
      <x:c r="C176" s="51" t="str">
        <x:v>Imperial era</x:v>
      </x:c>
      <x:c r="D176" s="51" t="str">
        <x:v>Forces of Destiny: Triplecross</x:v>
      </x:c>
      <x:c r="E176" s="50" t="str">
        <x:v>Season 2, Episode 12</x:v>
      </x:c>
      <x:c r="F176" s="51" t="str">
        <x:v>May 25, 2018</x:v>
      </x:c>
      <x:c r="G176" s="51" t="str">
        <x:v>Canon</x:v>
      </x:c>
      <x:c r="H176" s="51" t="str">
        <x:v>Short</x:v>
      </x:c>
      <x:c r="I176" s="51" t="str">
        <x:v>Disney+ / official YouTube</x:v>
      </x:c>
      <x:c r="J176" s="58" t="e">
        <x:f>HYPERLINK("https://www.youtube.com/results?search_query=Star%20Wars%20Forces%20of%20Destiny%20Triplecross%20official","Open")</x:f>
        <x:v>HYPERLINK is not implemented. linkLocation=https://www.youtube.com/results?search_query=Star%20Wars%20Forces%20of%20Destiny%20Triplecross%20official, friendlyName=Open</x:v>
      </x:c>
      <x:c r="K176" s="51" t="str">
        <x:v>Around Solo</x:v>
      </x:c>
      <x:c r="L176" s="76" t="str"/>
      <x:c r="M176" s="76" t="str"/>
      <x:c r="N176" s="76" t="str"/>
      <x:c r="O176" s="76" t="str"/>
      <x:c r="P176" s="76" t="str"/>
      <x:c r="Q176" s="76" t="str"/>
      <x:c r="R176" s="76" t="str"/>
      <x:c r="S176" s="76" t="str"/>
      <x:c r="T176" s="76" t="str"/>
    </x:row>
    <x:row r="177" s="23" customFormat="1" ht="36" customHeight="1">
      <x:c r="A177" s="49" t="b">
        <x:v>0</x:v>
      </x:c>
      <x:c r="B177" s="50" t="str">
        <x:v>171</x:v>
      </x:c>
      <x:c r="C177" s="51" t="str">
        <x:v>Imperial era</x:v>
      </x:c>
      <x:c r="D177" s="51" t="str">
        <x:v>Obi-Wan Kenobi</x:v>
      </x:c>
      <x:c r="E177" s="50" t="str"/>
      <x:c r="F177" s="51" t="str">
        <x:v>May 27–June 22, 2022</x:v>
      </x:c>
      <x:c r="G177" s="51" t="str">
        <x:v>Canon</x:v>
      </x:c>
      <x:c r="H177" s="51" t="str">
        <x:v>Series</x:v>
      </x:c>
      <x:c r="I177" s="51" t="str">
        <x:v>Disney+</x:v>
      </x:c>
      <x:c r="J177" s="58" t="str"/>
      <x:c r="K177" s="51" t="str"/>
      <x:c r="L177" s="76" t="str"/>
      <x:c r="M177" s="76" t="str"/>
      <x:c r="N177" s="76" t="str"/>
      <x:c r="O177" s="76" t="str"/>
      <x:c r="P177" s="76" t="str"/>
      <x:c r="Q177" s="76" t="str"/>
      <x:c r="R177" s="76" t="str"/>
      <x:c r="S177" s="76" t="str"/>
      <x:c r="T177" s="76" t="str"/>
    </x:row>
    <x:row r="178" s="23" customFormat="1" ht="36" customHeight="1">
      <x:c r="A178" s="49" t="b">
        <x:v>0</x:v>
      </x:c>
      <x:c r="B178" s="50" t="str">
        <x:v>172</x:v>
      </x:c>
      <x:c r="C178" s="51" t="str">
        <x:v>Imperial era</x:v>
      </x:c>
      <x:c r="D178" s="51" t="str">
        <x:v>Jedi: Survivor</x:v>
      </x:c>
      <x:c r="E178" s="50" t="str"/>
      <x:c r="F178" s="51" t="str">
        <x:v>April 28, 2023</x:v>
      </x:c>
      <x:c r="G178" s="51" t="str">
        <x:v>Canon</x:v>
      </x:c>
      <x:c r="H178" s="51" t="str">
        <x:v>Game movie</x:v>
      </x:c>
      <x:c r="I178" s="51" t="str">
        <x:v>YouTube</x:v>
      </x:c>
      <x:c r="J178" s="58" t="e">
        <x:f>HYPERLINK("https://www.youtube.com/watch?v=4kmQ_6uFyaU","Open")</x:f>
        <x:v>HYPERLINK is not implemented. linkLocation=https://www.youtube.com/watch?v=4kmQ_6uFyaU, friendlyName=Open</x:v>
      </x:c>
      <x:c r="K178" s="51" t="str"/>
      <x:c r="L178" s="76" t="str"/>
      <x:c r="M178" s="76" t="str"/>
      <x:c r="N178" s="76" t="str"/>
      <x:c r="O178" s="76" t="str"/>
      <x:c r="P178" s="76" t="str"/>
      <x:c r="Q178" s="76" t="str"/>
      <x:c r="R178" s="76" t="str"/>
      <x:c r="S178" s="76" t="str"/>
      <x:c r="T178" s="76" t="str"/>
    </x:row>
    <x:row r="179" s="23" customFormat="1" ht="36" customHeight="1">
      <x:c r="A179" s="49" t="b">
        <x:v>0</x:v>
      </x:c>
      <x:c r="B179" s="50" t="str">
        <x:v>173</x:v>
      </x:c>
      <x:c r="C179" s="51" t="str">
        <x:v>Imperial era</x:v>
      </x:c>
      <x:c r="D179" s="51" t="str">
        <x:v>Droids animated series</x:v>
      </x:c>
      <x:c r="E179" s="50" t="str"/>
      <x:c r="F179" s="51" t="str">
        <x:v>September 7, 1985–June 7, 1986</x:v>
      </x:c>
      <x:c r="G179" s="51" t="str">
        <x:v>Legends</x:v>
      </x:c>
      <x:c r="H179" s="51" t="str">
        <x:v>Animated series</x:v>
      </x:c>
      <x:c r="I179" s="51" t="str">
        <x:v>Disney+</x:v>
      </x:c>
      <x:c r="J179" s="58" t="str"/>
      <x:c r="K179" s="51" t="str">
        <x:v>Broad placement; continuity conflicts</x:v>
      </x:c>
      <x:c r="L179" s="76" t="str"/>
      <x:c r="M179" s="76" t="str"/>
      <x:c r="N179" s="76" t="str"/>
      <x:c r="O179" s="76" t="str"/>
      <x:c r="P179" s="76" t="str"/>
      <x:c r="Q179" s="76" t="str"/>
      <x:c r="R179" s="76" t="str"/>
      <x:c r="S179" s="76" t="str"/>
      <x:c r="T179" s="76" t="str"/>
    </x:row>
    <x:row r="180" s="23" customFormat="1" ht="36" customHeight="1">
      <x:c r="A180" s="49" t="b">
        <x:v>0</x:v>
      </x:c>
      <x:c r="B180" s="50" t="str">
        <x:v>174</x:v>
      </x:c>
      <x:c r="C180" s="51" t="str">
        <x:v>Imperial era</x:v>
      </x:c>
      <x:c r="D180" s="51" t="str">
        <x:v>Andor</x:v>
      </x:c>
      <x:c r="E180" s="50" t="str"/>
      <x:c r="F180" s="51" t="str">
        <x:v>S1 Sept. 21–Nov. 23, 2022; S2 Apr. 22–May 13, 2025</x:v>
      </x:c>
      <x:c r="G180" s="51" t="str">
        <x:v>Canon</x:v>
      </x:c>
      <x:c r="H180" s="51" t="str">
        <x:v>Series</x:v>
      </x:c>
      <x:c r="I180" s="51" t="str">
        <x:v>Disney+</x:v>
      </x:c>
      <x:c r="J180" s="58" t="str"/>
      <x:c r="K180" s="51" t="str">
        <x:v>Andor and Rebels overlap; watch each show intact</x:v>
      </x:c>
      <x:c r="L180" s="76" t="str"/>
      <x:c r="M180" s="76" t="str"/>
      <x:c r="N180" s="76" t="str"/>
      <x:c r="O180" s="76" t="str"/>
      <x:c r="P180" s="76" t="str"/>
      <x:c r="Q180" s="76" t="str"/>
      <x:c r="R180" s="76" t="str"/>
      <x:c r="S180" s="76" t="str"/>
      <x:c r="T180" s="76" t="str"/>
    </x:row>
    <x:row r="181" s="23" customFormat="1" ht="36" customHeight="1">
      <x:c r="A181" s="49" t="b">
        <x:v>0</x:v>
      </x:c>
      <x:c r="B181" s="50" t="str">
        <x:v>175</x:v>
      </x:c>
      <x:c r="C181" s="51" t="str">
        <x:v>Imperial era</x:v>
      </x:c>
      <x:c r="D181" s="51" t="str">
        <x:v>Rebels shorts</x:v>
      </x:c>
      <x:c r="E181" s="50" t="str"/>
      <x:c r="F181" s="51" t="str">
        <x:v>August 11–September 29, 2014</x:v>
      </x:c>
      <x:c r="G181" s="51" t="str">
        <x:v>Canon</x:v>
      </x:c>
      <x:c r="H181" s="51" t="str">
        <x:v>Shorts</x:v>
      </x:c>
      <x:c r="I181" s="51" t="str">
        <x:v>Disney+ / YouTube</x:v>
      </x:c>
      <x:c r="J181" s="58" t="e">
        <x:f>HYPERLINK("https://www.youtube.com/results?search_query=Star+Wars+Rebels+shorts+official","Open")</x:f>
        <x:v>HYPERLINK is not implemented. linkLocation=https://www.youtube.com/results?search_query=Star+Wars+Rebels+shorts+official, friendlyName=Open</x:v>
      </x:c>
      <x:c r="K181" s="51" t="str"/>
      <x:c r="L181" s="76" t="str"/>
      <x:c r="M181" s="76" t="str"/>
      <x:c r="N181" s="76" t="str"/>
      <x:c r="O181" s="76" t="str"/>
      <x:c r="P181" s="76" t="str"/>
      <x:c r="Q181" s="76" t="str"/>
      <x:c r="R181" s="76" t="str"/>
      <x:c r="S181" s="76" t="str"/>
      <x:c r="T181" s="76" t="str"/>
    </x:row>
    <x:row r="182" s="23" customFormat="1" ht="36" customHeight="1">
      <x:c r="A182" s="49" t="b">
        <x:v>0</x:v>
      </x:c>
      <x:c r="B182" s="50" t="str">
        <x:v>176</x:v>
      </x:c>
      <x:c r="C182" s="51" t="str">
        <x:v>Imperial era</x:v>
      </x:c>
      <x:c r="D182" s="51" t="str">
        <x:v>Star Wars Rebels</x:v>
      </x:c>
      <x:c r="E182" s="50" t="str"/>
      <x:c r="F182" s="51" t="str">
        <x:v>October 3, 2014–March 5, 2018</x:v>
      </x:c>
      <x:c r="G182" s="51" t="str">
        <x:v>Canon</x:v>
      </x:c>
      <x:c r="H182" s="51" t="str">
        <x:v>Series</x:v>
      </x:c>
      <x:c r="I182" s="51" t="str">
        <x:v>Disney+</x:v>
      </x:c>
      <x:c r="J182" s="58" t="str"/>
      <x:c r="K182" s="51" t="str">
        <x:v>Seasons 1–4</x:v>
      </x:c>
      <x:c r="L182" s="76" t="str"/>
      <x:c r="M182" s="76" t="str"/>
      <x:c r="N182" s="76" t="str"/>
      <x:c r="O182" s="76" t="str"/>
      <x:c r="P182" s="76" t="str"/>
      <x:c r="Q182" s="76" t="str"/>
      <x:c r="R182" s="76" t="str"/>
      <x:c r="S182" s="76" t="str"/>
      <x:c r="T182" s="76" t="str"/>
    </x:row>
    <x:row r="183" s="23" customFormat="1" ht="36" customHeight="1">
      <x:c r="A183" s="49" t="b">
        <x:v>0</x:v>
      </x:c>
      <x:c r="B183" s="50" t="str">
        <x:v>177</x:v>
      </x:c>
      <x:c r="C183" s="51" t="str">
        <x:v>Imperial era</x:v>
      </x:c>
      <x:c r="D183" s="51" t="str">
        <x:v>Forces of Destiny: Hasty Departure</x:v>
      </x:c>
      <x:c r="E183" s="50" t="str">
        <x:v>Season 2, Episode 1</x:v>
      </x:c>
      <x:c r="F183" s="51" t="str">
        <x:v>March 19, 2018</x:v>
      </x:c>
      <x:c r="G183" s="51" t="str">
        <x:v>Canon</x:v>
      </x:c>
      <x:c r="H183" s="51" t="str">
        <x:v>Short</x:v>
      </x:c>
      <x:c r="I183" s="51" t="str">
        <x:v>Disney+ / official YouTube</x:v>
      </x:c>
      <x:c r="J183" s="58" t="e">
        <x:f>HYPERLINK("https://www.youtube.com/results?search_query=Star%20Wars%20Forces%20of%20Destiny%20Hasty%20Departure%20official","Open")</x:f>
        <x:v>HYPERLINK is not implemented. linkLocation=https://www.youtube.com/results?search_query=Star%20Wars%20Forces%20of%20Destiny%20Hasty%20Departure%20official, friendlyName=Open</x:v>
      </x:c>
      <x:c r="K183" s="51" t="str">
        <x:v>Rebels era</x:v>
      </x:c>
      <x:c r="L183" s="76" t="str"/>
      <x:c r="M183" s="76" t="str"/>
      <x:c r="N183" s="76" t="str"/>
      <x:c r="O183" s="76" t="str"/>
      <x:c r="P183" s="76" t="str"/>
      <x:c r="Q183" s="76" t="str"/>
      <x:c r="R183" s="76" t="str"/>
      <x:c r="S183" s="76" t="str"/>
      <x:c r="T183" s="76" t="str"/>
    </x:row>
    <x:row r="184" s="23" customFormat="1" ht="36" customHeight="1">
      <x:c r="A184" s="49" t="b">
        <x:v>0</x:v>
      </x:c>
      <x:c r="B184" s="50" t="str">
        <x:v>178</x:v>
      </x:c>
      <x:c r="C184" s="51" t="str">
        <x:v>Imperial era</x:v>
      </x:c>
      <x:c r="D184" s="51" t="str">
        <x:v>Forces of Destiny: Bounty of Trouble</x:v>
      </x:c>
      <x:c r="E184" s="50" t="str">
        <x:v>Season 1, Episode 8</x:v>
      </x:c>
      <x:c r="F184" s="51" t="str">
        <x:v>July 9, 2017</x:v>
      </x:c>
      <x:c r="G184" s="51" t="str">
        <x:v>Canon</x:v>
      </x:c>
      <x:c r="H184" s="51" t="str">
        <x:v>Short</x:v>
      </x:c>
      <x:c r="I184" s="51" t="str">
        <x:v>Disney+ / official YouTube</x:v>
      </x:c>
      <x:c r="J184" s="58" t="e">
        <x:f>HYPERLINK("https://www.youtube.com/results?search_query=Star%20Wars%20Forces%20of%20Destiny%20Bounty%20of%20Trouble%20official","Open")</x:f>
        <x:v>HYPERLINK is not implemented. linkLocation=https://www.youtube.com/results?search_query=Star%20Wars%20Forces%20of%20Destiny%20Bounty%20of%20Trouble%20official, friendlyName=Open</x:v>
      </x:c>
      <x:c r="K184" s="51" t="str">
        <x:v>Rebels era</x:v>
      </x:c>
      <x:c r="L184" s="76" t="str"/>
      <x:c r="M184" s="76" t="str"/>
      <x:c r="N184" s="76" t="str"/>
      <x:c r="O184" s="76" t="str"/>
      <x:c r="P184" s="76" t="str"/>
      <x:c r="Q184" s="76" t="str"/>
      <x:c r="R184" s="76" t="str"/>
      <x:c r="S184" s="76" t="str"/>
      <x:c r="T184" s="76" t="str"/>
    </x:row>
    <x:row r="185" s="23" customFormat="1" ht="36" customHeight="1">
      <x:c r="A185" s="49" t="b">
        <x:v>0</x:v>
      </x:c>
      <x:c r="B185" s="50" t="str">
        <x:v>179</x:v>
      </x:c>
      <x:c r="C185" s="51" t="str">
        <x:v>Imperial era</x:v>
      </x:c>
      <x:c r="D185" s="51" t="str">
        <x:v>Forces of Destiny: Newest Recruit</x:v>
      </x:c>
      <x:c r="E185" s="50" t="str">
        <x:v>Season 1, Episode 12</x:v>
      </x:c>
      <x:c r="F185" s="51" t="str">
        <x:v>October 1, 2017</x:v>
      </x:c>
      <x:c r="G185" s="51" t="str">
        <x:v>Canon</x:v>
      </x:c>
      <x:c r="H185" s="51" t="str">
        <x:v>Short</x:v>
      </x:c>
      <x:c r="I185" s="51" t="str">
        <x:v>Disney+ / official YouTube</x:v>
      </x:c>
      <x:c r="J185" s="58" t="e">
        <x:f>HYPERLINK("https://www.youtube.com/results?search_query=Star%20Wars%20Forces%20of%20Destiny%20Newest%20Recruit%20official","Open")</x:f>
        <x:v>HYPERLINK is not implemented. linkLocation=https://www.youtube.com/results?search_query=Star%20Wars%20Forces%20of%20Destiny%20Newest%20Recruit%20official, friendlyName=Open</x:v>
      </x:c>
      <x:c r="K185" s="51" t="str">
        <x:v>Rebels era</x:v>
      </x:c>
      <x:c r="L185" s="76" t="str"/>
      <x:c r="M185" s="76" t="str"/>
      <x:c r="N185" s="76" t="str"/>
      <x:c r="O185" s="76" t="str"/>
      <x:c r="P185" s="76" t="str"/>
      <x:c r="Q185" s="76" t="str"/>
      <x:c r="R185" s="76" t="str"/>
      <x:c r="S185" s="76" t="str"/>
      <x:c r="T185" s="76" t="str"/>
    </x:row>
    <x:row r="186" s="23" customFormat="1" ht="36" customHeight="1">
      <x:c r="A186" s="49" t="b">
        <x:v>0</x:v>
      </x:c>
      <x:c r="B186" s="50" t="str">
        <x:v>180</x:v>
      </x:c>
      <x:c r="C186" s="51" t="str">
        <x:v>Imperial era</x:v>
      </x:c>
      <x:c r="D186" s="51" t="str">
        <x:v>Forces of Destiny: Crash Course</x:v>
      </x:c>
      <x:c r="E186" s="50" t="str">
        <x:v>Season 1, Episode 16</x:v>
      </x:c>
      <x:c r="F186" s="51" t="str">
        <x:v>November 1, 2017</x:v>
      </x:c>
      <x:c r="G186" s="51" t="str">
        <x:v>Canon</x:v>
      </x:c>
      <x:c r="H186" s="51" t="str">
        <x:v>Short</x:v>
      </x:c>
      <x:c r="I186" s="51" t="str">
        <x:v>Disney+ / official YouTube</x:v>
      </x:c>
      <x:c r="J186" s="58" t="e">
        <x:f>HYPERLINK("https://www.youtube.com/results?search_query=Star%20Wars%20Forces%20of%20Destiny%20Crash%20Course%20official","Open")</x:f>
        <x:v>HYPERLINK is not implemented. linkLocation=https://www.youtube.com/results?search_query=Star%20Wars%20Forces%20of%20Destiny%20Crash%20Course%20official, friendlyName=Open</x:v>
      </x:c>
      <x:c r="K186" s="51" t="str">
        <x:v>Rebels era</x:v>
      </x:c>
      <x:c r="L186" s="76" t="str"/>
      <x:c r="M186" s="76" t="str"/>
      <x:c r="N186" s="76" t="str"/>
      <x:c r="O186" s="76" t="str"/>
      <x:c r="P186" s="76" t="str"/>
      <x:c r="Q186" s="76" t="str"/>
      <x:c r="R186" s="76" t="str"/>
      <x:c r="S186" s="76" t="str"/>
      <x:c r="T186" s="76" t="str"/>
    </x:row>
    <x:row r="187" s="23" customFormat="1" ht="36" customHeight="1">
      <x:c r="A187" s="49" t="b">
        <x:v>0</x:v>
      </x:c>
      <x:c r="B187" s="50" t="str">
        <x:v>181</x:v>
      </x:c>
      <x:c r="C187" s="51" t="str">
        <x:v>Imperial era</x:v>
      </x:c>
      <x:c r="D187" s="51" t="str">
        <x:v>Forces of Destiny: A Disarming Lesson</x:v>
      </x:c>
      <x:c r="E187" s="50" t="str">
        <x:v>Season 2, Episode 16</x:v>
      </x:c>
      <x:c r="F187" s="51" t="str">
        <x:v>May 4, 2018</x:v>
      </x:c>
      <x:c r="G187" s="51" t="str">
        <x:v>Canon</x:v>
      </x:c>
      <x:c r="H187" s="51" t="str">
        <x:v>Short</x:v>
      </x:c>
      <x:c r="I187" s="51" t="str">
        <x:v>Disney+ / official YouTube</x:v>
      </x:c>
      <x:c r="J187" s="58" t="e">
        <x:f>HYPERLINK("https://www.youtube.com/results?search_query=Star%20Wars%20Forces%20of%20Destiny%20A%20Disarming%20Lesson%20official","Open")</x:f>
        <x:v>HYPERLINK is not implemented. linkLocation=https://www.youtube.com/results?search_query=Star%20Wars%20Forces%20of%20Destiny%20A%20Disarming%20Lesson%20official, friendlyName=Open</x:v>
      </x:c>
      <x:c r="K187" s="51" t="str">
        <x:v>Rebels era</x:v>
      </x:c>
      <x:c r="L187" s="76" t="str"/>
      <x:c r="M187" s="76" t="str"/>
      <x:c r="N187" s="76" t="str"/>
      <x:c r="O187" s="76" t="str"/>
      <x:c r="P187" s="76" t="str"/>
      <x:c r="Q187" s="76" t="str"/>
      <x:c r="R187" s="76" t="str"/>
      <x:c r="S187" s="76" t="str"/>
      <x:c r="T187" s="76" t="str"/>
    </x:row>
    <x:row r="188" s="23" customFormat="1" ht="36" customHeight="1">
      <x:c r="A188" s="49" t="b">
        <x:v>0</x:v>
      </x:c>
      <x:c r="B188" s="50" t="str">
        <x:v>182</x:v>
      </x:c>
      <x:c r="C188" s="51" t="str">
        <x:v>Imperial era</x:v>
      </x:c>
      <x:c r="D188" s="51" t="str">
        <x:v>Forces of Destiny: Art History</x:v>
      </x:c>
      <x:c r="E188" s="50" t="str">
        <x:v>Season 2, Episode 11</x:v>
      </x:c>
      <x:c r="F188" s="51" t="str">
        <x:v>May 4, 2018</x:v>
      </x:c>
      <x:c r="G188" s="51" t="str">
        <x:v>Canon</x:v>
      </x:c>
      <x:c r="H188" s="51" t="str">
        <x:v>Short</x:v>
      </x:c>
      <x:c r="I188" s="51" t="str">
        <x:v>Disney+ / official YouTube</x:v>
      </x:c>
      <x:c r="J188" s="58" t="e">
        <x:f>HYPERLINK("https://www.youtube.com/results?search_query=Star%20Wars%20Forces%20of%20Destiny%20Art%20History%20official","Open")</x:f>
        <x:v>HYPERLINK is not implemented. linkLocation=https://www.youtube.com/results?search_query=Star%20Wars%20Forces%20of%20Destiny%20Art%20History%20official, friendlyName=Open</x:v>
      </x:c>
      <x:c r="K188" s="51" t="str">
        <x:v>Late Rebels era</x:v>
      </x:c>
      <x:c r="L188" s="76" t="str"/>
      <x:c r="M188" s="76" t="str"/>
      <x:c r="N188" s="76" t="str"/>
      <x:c r="O188" s="76" t="str"/>
      <x:c r="P188" s="76" t="str"/>
      <x:c r="Q188" s="76" t="str"/>
      <x:c r="R188" s="76" t="str"/>
      <x:c r="S188" s="76" t="str"/>
      <x:c r="T188" s="76" t="str"/>
    </x:row>
    <x:row r="189" s="23" customFormat="1" ht="36" customHeight="1">
      <x:c r="A189" s="49" t="b">
        <x:v>0</x:v>
      </x:c>
      <x:c r="B189" s="50" t="str">
        <x:v>183</x:v>
      </x:c>
      <x:c r="C189" s="51" t="str">
        <x:v>Imperial era</x:v>
      </x:c>
      <x:c r="D189" s="51" t="str">
        <x:v>Forces of Destiny: Accidental Allies</x:v>
      </x:c>
      <x:c r="E189" s="50" t="str">
        <x:v>Season 1, Episode 13</x:v>
      </x:c>
      <x:c r="F189" s="51" t="str">
        <x:v>October 29, 2017</x:v>
      </x:c>
      <x:c r="G189" s="51" t="str">
        <x:v>Canon</x:v>
      </x:c>
      <x:c r="H189" s="51" t="str">
        <x:v>Short</x:v>
      </x:c>
      <x:c r="I189" s="51" t="str">
        <x:v>Disney+ / official YouTube</x:v>
      </x:c>
      <x:c r="J189" s="58" t="e">
        <x:f>HYPERLINK("https://www.youtube.com/results?search_query=Star%20Wars%20Forces%20of%20Destiny%20Accidental%20Allies%20official","Open")</x:f>
        <x:v>HYPERLINK is not implemented. linkLocation=https://www.youtube.com/results?search_query=Star%20Wars%20Forces%20of%20Destiny%20Accidental%20Allies%20official, friendlyName=Open</x:v>
      </x:c>
      <x:c r="K189" s="51" t="str">
        <x:v>Before Rogue One</x:v>
      </x:c>
      <x:c r="L189" s="76" t="str"/>
      <x:c r="M189" s="76" t="str"/>
      <x:c r="N189" s="76" t="str"/>
      <x:c r="O189" s="76" t="str"/>
      <x:c r="P189" s="76" t="str"/>
      <x:c r="Q189" s="76" t="str"/>
      <x:c r="R189" s="76" t="str"/>
      <x:c r="S189" s="76" t="str"/>
      <x:c r="T189" s="76" t="str"/>
    </x:row>
    <x:row r="190" s="23" customFormat="1" ht="36" customHeight="1">
      <x:c r="A190" s="49" t="b">
        <x:v>0</x:v>
      </x:c>
      <x:c r="B190" s="50" t="str">
        <x:v>184</x:v>
      </x:c>
      <x:c r="C190" s="51" t="str">
        <x:v>Imperial era</x:v>
      </x:c>
      <x:c r="D190" s="51" t="str">
        <x:v>Forces of Destiny: The Stranger</x:v>
      </x:c>
      <x:c r="E190" s="50" t="str">
        <x:v>Season 1, Episode 7</x:v>
      </x:c>
      <x:c r="F190" s="51" t="str">
        <x:v>July 9, 2017</x:v>
      </x:c>
      <x:c r="G190" s="51" t="str">
        <x:v>Canon</x:v>
      </x:c>
      <x:c r="H190" s="51" t="str">
        <x:v>Short</x:v>
      </x:c>
      <x:c r="I190" s="51" t="str">
        <x:v>Disney+ / official YouTube</x:v>
      </x:c>
      <x:c r="J190" s="58" t="e">
        <x:f>HYPERLINK("https://www.youtube.com/results?search_query=Star%20Wars%20Forces%20of%20Destiny%20The%20Stranger%20official","Open")</x:f>
        <x:v>HYPERLINK is not implemented. linkLocation=https://www.youtube.com/results?search_query=Star%20Wars%20Forces%20of%20Destiny%20The%20Stranger%20official, friendlyName=Open</x:v>
      </x:c>
      <x:c r="K190" s="51" t="str">
        <x:v>Before Rogue One</x:v>
      </x:c>
      <x:c r="L190" s="76" t="str"/>
      <x:c r="M190" s="76" t="str"/>
      <x:c r="N190" s="76" t="str"/>
      <x:c r="O190" s="76" t="str"/>
      <x:c r="P190" s="76" t="str"/>
      <x:c r="Q190" s="76" t="str"/>
      <x:c r="R190" s="76" t="str"/>
      <x:c r="S190" s="76" t="str"/>
      <x:c r="T190" s="76" t="str"/>
    </x:row>
    <x:row r="191" s="23" customFormat="1" ht="36" customHeight="1">
      <x:c r="A191" s="49" t="b">
        <x:v>0</x:v>
      </x:c>
      <x:c r="B191" s="50" t="str">
        <x:v>185</x:v>
      </x:c>
      <x:c r="C191" s="51" t="str">
        <x:v>Imperial era</x:v>
      </x:c>
      <x:c r="D191" s="51" t="str">
        <x:v>Forces of Destiny: Jyn's Trade</x:v>
      </x:c>
      <x:c r="E191" s="50" t="str">
        <x:v>Season 2, Episode 4</x:v>
      </x:c>
      <x:c r="F191" s="51" t="str">
        <x:v>March 19, 2018</x:v>
      </x:c>
      <x:c r="G191" s="51" t="str">
        <x:v>Canon</x:v>
      </x:c>
      <x:c r="H191" s="51" t="str">
        <x:v>Short</x:v>
      </x:c>
      <x:c r="I191" s="51" t="str">
        <x:v>Disney+ / official YouTube</x:v>
      </x:c>
      <x:c r="J191" s="58" t="e">
        <x:f>HYPERLINK("https://www.youtube.com/results?search_query=Star%20Wars%20Forces%20of%20Destiny%20Jyn's%20Trade%20official","Open")</x:f>
        <x:v>HYPERLINK is not implemented. linkLocation=https://www.youtube.com/results?search_query=Star%20Wars%20Forces%20of%20Destiny%20Jyn's%20Trade%20official, friendlyName=Open</x:v>
      </x:c>
      <x:c r="K191" s="51" t="str">
        <x:v>Before Rogue One</x:v>
      </x:c>
      <x:c r="L191" s="76" t="str"/>
      <x:c r="M191" s="76" t="str"/>
      <x:c r="N191" s="76" t="str"/>
      <x:c r="O191" s="76" t="str"/>
      <x:c r="P191" s="76" t="str"/>
      <x:c r="Q191" s="76" t="str"/>
      <x:c r="R191" s="76" t="str"/>
      <x:c r="S191" s="76" t="str"/>
      <x:c r="T191" s="76" t="str"/>
    </x:row>
    <x:row r="192" s="23" customFormat="1" ht="36" customHeight="1">
      <x:c r="A192" s="49" t="b">
        <x:v>0</x:v>
      </x:c>
      <x:c r="B192" s="50" t="str">
        <x:v>186</x:v>
      </x:c>
      <x:c r="C192" s="51" t="str">
        <x:v>Imperial era</x:v>
      </x:c>
      <x:c r="D192" s="51" t="str">
        <x:v>Tales of the Underworld: Cad Bane trilogy</x:v>
      </x:c>
      <x:c r="E192" s="50" t="str"/>
      <x:c r="F192" s="51" t="str">
        <x:v>May 4, 2025</x:v>
      </x:c>
      <x:c r="G192" s="51" t="str">
        <x:v>Canon</x:v>
      </x:c>
      <x:c r="H192" s="51" t="str">
        <x:v>3 episodes</x:v>
      </x:c>
      <x:c r="I192" s="51" t="str">
        <x:v>Disney+</x:v>
      </x:c>
      <x:c r="J192" s="58" t="str"/>
      <x:c r="K192" s="51" t="str"/>
      <x:c r="L192" s="76" t="str"/>
      <x:c r="M192" s="76" t="str"/>
      <x:c r="N192" s="76" t="str"/>
      <x:c r="O192" s="76" t="str"/>
      <x:c r="P192" s="76" t="str"/>
      <x:c r="Q192" s="76" t="str"/>
      <x:c r="R192" s="76" t="str"/>
      <x:c r="S192" s="76" t="str"/>
      <x:c r="T192" s="76" t="str"/>
    </x:row>
    <x:row r="193" s="23" customFormat="1" ht="36" customHeight="1">
      <x:c r="A193" s="49" t="b">
        <x:v>0</x:v>
      </x:c>
      <x:c r="B193" s="50" t="str">
        <x:v>187</x:v>
      </x:c>
      <x:c r="C193" s="51" t="str">
        <x:v>Imperial era</x:v>
      </x:c>
      <x:c r="D193" s="51" t="str">
        <x:v>Tales of the Empire: Morgan Elsbeth trilogy</x:v>
      </x:c>
      <x:c r="E193" s="50" t="str"/>
      <x:c r="F193" s="51" t="str">
        <x:v>May 4, 2024</x:v>
      </x:c>
      <x:c r="G193" s="51" t="str">
        <x:v>Canon</x:v>
      </x:c>
      <x:c r="H193" s="51" t="str">
        <x:v>3 episodes</x:v>
      </x:c>
      <x:c r="I193" s="51" t="str">
        <x:v>Disney+</x:v>
      </x:c>
      <x:c r="J193" s="58" t="str"/>
      <x:c r="K193" s="51" t="str"/>
      <x:c r="L193" s="76" t="str"/>
      <x:c r="M193" s="76" t="str"/>
      <x:c r="N193" s="76" t="str"/>
      <x:c r="O193" s="76" t="str"/>
      <x:c r="P193" s="76" t="str"/>
      <x:c r="Q193" s="76" t="str"/>
      <x:c r="R193" s="76" t="str"/>
      <x:c r="S193" s="76" t="str"/>
      <x:c r="T193" s="76" t="str"/>
    </x:row>
    <x:row r="194" s="23" customFormat="1" ht="36" customHeight="1">
      <x:c r="A194" s="49" t="b">
        <x:v>0</x:v>
      </x:c>
      <x:c r="B194" s="50" t="str">
        <x:v>188</x:v>
      </x:c>
      <x:c r="C194" s="51" t="str">
        <x:v>Imperial era</x:v>
      </x:c>
      <x:c r="D194" s="51" t="str">
        <x:v>Vader Immortal</x:v>
      </x:c>
      <x:c r="E194" s="50" t="str"/>
      <x:c r="F194" s="51" t="str">
        <x:v>May 21; Sept. 25; Nov. 21, 2019</x:v>
      </x:c>
      <x:c r="G194" s="51" t="str">
        <x:v>Canon</x:v>
      </x:c>
      <x:c r="H194" s="51" t="str">
        <x:v>VR game movie</x:v>
      </x:c>
      <x:c r="I194" s="51" t="str">
        <x:v>YouTube</x:v>
      </x:c>
      <x:c r="J194" s="58" t="e">
        <x:f>HYPERLINK("https://www.youtube.com/results?search_query=Vader+Immortal+full+game+movie+all+episodes+no+commentary","Open")</x:f>
        <x:v>HYPERLINK is not implemented. linkLocation=https://www.youtube.com/results?search_query=Vader+Immortal+full+game+movie+all+episodes+no+commentary, friendlyName=Open</x:v>
      </x:c>
      <x:c r="K194" s="51" t="str">
        <x:v>Episodes I–III</x:v>
      </x:c>
      <x:c r="L194" s="76" t="str"/>
      <x:c r="M194" s="76" t="str"/>
      <x:c r="N194" s="76" t="str"/>
      <x:c r="O194" s="76" t="str"/>
      <x:c r="P194" s="76" t="str"/>
      <x:c r="Q194" s="76" t="str"/>
      <x:c r="R194" s="76" t="str"/>
      <x:c r="S194" s="76" t="str"/>
      <x:c r="T194" s="76" t="str"/>
    </x:row>
    <x:row r="195" s="23" customFormat="1" ht="36" customHeight="1">
      <x:c r="A195" s="49" t="b">
        <x:v>0</x:v>
      </x:c>
      <x:c r="B195" s="50" t="str">
        <x:v>189</x:v>
      </x:c>
      <x:c r="C195" s="51" t="str">
        <x:v>Imperial era</x:v>
      </x:c>
      <x:c r="D195" s="51" t="str">
        <x:v>Rogue One</x:v>
      </x:c>
      <x:c r="E195" s="50" t="str"/>
      <x:c r="F195" s="51" t="str">
        <x:v>December 16, 2016</x:v>
      </x:c>
      <x:c r="G195" s="51" t="str">
        <x:v>Canon</x:v>
      </x:c>
      <x:c r="H195" s="51" t="str">
        <x:v>Movie</x:v>
      </x:c>
      <x:c r="I195" s="51" t="str">
        <x:v>Disney+</x:v>
      </x:c>
      <x:c r="J195" s="58" t="str"/>
      <x:c r="K195" s="51" t="str"/>
      <x:c r="L195" s="76" t="str"/>
      <x:c r="M195" s="76" t="str"/>
      <x:c r="N195" s="76" t="str"/>
      <x:c r="O195" s="76" t="str"/>
      <x:c r="P195" s="76" t="str"/>
      <x:c r="Q195" s="76" t="str"/>
      <x:c r="R195" s="76" t="str"/>
      <x:c r="S195" s="76" t="str"/>
      <x:c r="T195" s="76" t="str"/>
    </x:row>
    <x:row r="196" s="23" customFormat="1" ht="36" customHeight="1">
      <x:c r="A196" s="49" t="b">
        <x:v>0</x:v>
      </x:c>
      <x:c r="B196" s="50" t="str">
        <x:v>190</x:v>
      </x:c>
      <x:c r="C196" s="51" t="str">
        <x:v>Imperial era</x:v>
      </x:c>
      <x:c r="D196" s="51" t="str">
        <x:v>Episode IV: A New Hope</x:v>
      </x:c>
      <x:c r="E196" s="50" t="str"/>
      <x:c r="F196" s="51" t="str">
        <x:v>May 25, 1977</x:v>
      </x:c>
      <x:c r="G196" s="51" t="str">
        <x:v>Canon</x:v>
      </x:c>
      <x:c r="H196" s="51" t="str">
        <x:v>Movie</x:v>
      </x:c>
      <x:c r="I196" s="51" t="str">
        <x:v>Disney+</x:v>
      </x:c>
      <x:c r="J196" s="58" t="str"/>
      <x:c r="K196" s="51" t="str"/>
      <x:c r="L196" s="76" t="str"/>
      <x:c r="M196" s="76" t="str"/>
      <x:c r="N196" s="76" t="str"/>
      <x:c r="O196" s="76" t="str"/>
      <x:c r="P196" s="76" t="str"/>
      <x:c r="Q196" s="76" t="str"/>
      <x:c r="R196" s="76" t="str"/>
      <x:c r="S196" s="76" t="str"/>
      <x:c r="T196" s="76" t="str"/>
    </x:row>
    <x:row r="197" s="23" customFormat="1" ht="36" customHeight="1">
      <x:c r="A197" s="49" t="b">
        <x:v>0</x:v>
      </x:c>
      <x:c r="B197" s="50" t="str">
        <x:v>191</x:v>
      </x:c>
      <x:c r="C197" s="51" t="str">
        <x:v>Imperial era</x:v>
      </x:c>
      <x:c r="D197" s="51" t="str">
        <x:v>SC 38 Reimagined</x:v>
      </x:c>
      <x:c r="E197" s="50" t="str"/>
      <x:c r="F197" s="51" t="str">
        <x:v>May 8, 2019</x:v>
      </x:c>
      <x:c r="G197" s="51" t="str">
        <x:v>Fan / non-canon</x:v>
      </x:c>
      <x:c r="H197" s="51" t="str">
        <x:v>Fan film</x:v>
      </x:c>
      <x:c r="I197" s="51" t="str">
        <x:v>YouTube</x:v>
      </x:c>
      <x:c r="J197" s="58" t="e">
        <x:f>HYPERLINK("https://www.youtube.com/results?search_query=SC+38+Reimagined+FXitinPost","Open")</x:f>
        <x:v>HYPERLINK is not implemented. linkLocation=https://www.youtube.com/results?search_query=SC+38+Reimagined+FXitinPost, friendlyName=Open</x:v>
      </x:c>
      <x:c r="K197" s="51" t="str">
        <x:v>Extended alternate version of the Obi-Wan/Vader duel inside A New Hope</x:v>
      </x:c>
      <x:c r="L197" s="76" t="str"/>
      <x:c r="M197" s="76" t="str"/>
      <x:c r="N197" s="76" t="str"/>
      <x:c r="O197" s="76" t="str"/>
      <x:c r="P197" s="76" t="str"/>
      <x:c r="Q197" s="76" t="str"/>
      <x:c r="R197" s="76" t="str"/>
      <x:c r="S197" s="76" t="str"/>
      <x:c r="T197" s="76" t="str"/>
    </x:row>
    <x:row r="198" s="23" customFormat="1" ht="36" customHeight="1">
      <x:c r="A198" s="49" t="b">
        <x:v>0</x:v>
      </x:c>
      <x:c r="B198" s="50" t="str">
        <x:v>192</x:v>
      </x:c>
      <x:c r="C198" s="51" t="str">
        <x:v>Galactic Civil War</x:v>
      </x:c>
      <x:c r="D198" s="51" t="str">
        <x:v>The Star Wars Holiday Special</x:v>
      </x:c>
      <x:c r="E198" s="50" t="str"/>
      <x:c r="F198" s="51" t="str">
        <x:v>November 17, 1978</x:v>
      </x:c>
      <x:c r="G198" s="51" t="str">
        <x:v>Canon-adjacent oddity</x:v>
      </x:c>
      <x:c r="H198" s="51" t="str">
        <x:v>TV special</x:v>
      </x:c>
      <x:c r="I198" s="51" t="str">
        <x:v>No official stream</x:v>
      </x:c>
      <x:c r="J198" s="58" t="str"/>
      <x:c r="K198" s="51" t="str">
        <x:v>Complete special is not officially available</x:v>
      </x:c>
      <x:c r="L198" s="76" t="str"/>
      <x:c r="M198" s="76" t="str"/>
      <x:c r="N198" s="76" t="str"/>
      <x:c r="O198" s="76" t="str"/>
      <x:c r="P198" s="76" t="str"/>
      <x:c r="Q198" s="76" t="str"/>
      <x:c r="R198" s="76" t="str"/>
      <x:c r="S198" s="76" t="str"/>
      <x:c r="T198" s="76" t="str"/>
    </x:row>
    <x:row r="199" s="23" customFormat="1" ht="36" customHeight="1">
      <x:c r="A199" s="49" t="b">
        <x:v>0</x:v>
      </x:c>
      <x:c r="B199" s="50" t="str">
        <x:v>193</x:v>
      </x:c>
      <x:c r="C199" s="51" t="str">
        <x:v>Galactic Civil War</x:v>
      </x:c>
      <x:c r="D199" s="51" t="str">
        <x:v>The Story of the Faithful Wookiee</x:v>
      </x:c>
      <x:c r="E199" s="50" t="str"/>
      <x:c r="F199" s="51" t="str">
        <x:v>November 17, 1978</x:v>
      </x:c>
      <x:c r="G199" s="51" t="str">
        <x:v>Canon-adjacent</x:v>
      </x:c>
      <x:c r="H199" s="51" t="str">
        <x:v>Animated short</x:v>
      </x:c>
      <x:c r="I199" s="51" t="str">
        <x:v>Disney+</x:v>
      </x:c>
      <x:c r="J199" s="58" t="str"/>
      <x:c r="K199" s="51" t="str">
        <x:v>Animated Holiday Special segment introducing Boba Fett</x:v>
      </x:c>
      <x:c r="L199" s="76" t="str"/>
      <x:c r="M199" s="76" t="str"/>
      <x:c r="N199" s="76" t="str"/>
      <x:c r="O199" s="76" t="str"/>
      <x:c r="P199" s="76" t="str"/>
      <x:c r="Q199" s="76" t="str"/>
      <x:c r="R199" s="76" t="str"/>
      <x:c r="S199" s="76" t="str"/>
      <x:c r="T199" s="76" t="str"/>
    </x:row>
    <x:row r="200" s="23" customFormat="1" ht="36" customHeight="1">
      <x:c r="A200" s="49" t="b">
        <x:v>0</x:v>
      </x:c>
      <x:c r="B200" s="50" t="str">
        <x:v>194</x:v>
      </x:c>
      <x:c r="C200" s="51" t="str">
        <x:v>Galactic Civil War</x:v>
      </x:c>
      <x:c r="D200" s="51" t="str">
        <x:v>Forces of Destiny: Beasts of Echo Base</x:v>
      </x:c>
      <x:c r="E200" s="50" t="str">
        <x:v>Season 1, Episode 5</x:v>
      </x:c>
      <x:c r="F200" s="51" t="str">
        <x:v>July 7, 2017</x:v>
      </x:c>
      <x:c r="G200" s="51" t="str">
        <x:v>Canon</x:v>
      </x:c>
      <x:c r="H200" s="51" t="str">
        <x:v>Short</x:v>
      </x:c>
      <x:c r="I200" s="51" t="str">
        <x:v>Disney+ / official YouTube</x:v>
      </x:c>
      <x:c r="J200" s="58" t="e">
        <x:f>HYPERLINK("https://www.youtube.com/results?search_query=Star%20Wars%20Forces%20of%20Destiny%20Beasts%20of%20Echo%20Base%20official","Open")</x:f>
        <x:v>HYPERLINK is not implemented. linkLocation=https://www.youtube.com/results?search_query=Star%20Wars%20Forces%20of%20Destiny%20Beasts%20of%20Echo%20Base%20official, friendlyName=Open</x:v>
      </x:c>
      <x:c r="K200" s="51" t="str">
        <x:v>Before The Empire Strikes Back</x:v>
      </x:c>
      <x:c r="L200" s="76" t="str"/>
      <x:c r="M200" s="76" t="str"/>
      <x:c r="N200" s="76" t="str"/>
      <x:c r="O200" s="76" t="str"/>
      <x:c r="P200" s="76" t="str"/>
      <x:c r="Q200" s="76" t="str"/>
      <x:c r="R200" s="76" t="str"/>
      <x:c r="S200" s="76" t="str"/>
      <x:c r="T200" s="76" t="str"/>
    </x:row>
    <x:row r="201" s="23" customFormat="1" ht="36" customHeight="1">
      <x:c r="A201" s="49" t="b">
        <x:v>0</x:v>
      </x:c>
      <x:c r="B201" s="50" t="str">
        <x:v>195</x:v>
      </x:c>
      <x:c r="C201" s="51" t="str">
        <x:v>Galactic Civil War</x:v>
      </x:c>
      <x:c r="D201" s="51" t="str">
        <x:v>Episode V: The Empire Strikes Back</x:v>
      </x:c>
      <x:c r="E201" s="50" t="str"/>
      <x:c r="F201" s="51" t="str">
        <x:v>May 21, 1980</x:v>
      </x:c>
      <x:c r="G201" s="51" t="str">
        <x:v>Canon</x:v>
      </x:c>
      <x:c r="H201" s="51" t="str">
        <x:v>Movie</x:v>
      </x:c>
      <x:c r="I201" s="51" t="str">
        <x:v>Disney+</x:v>
      </x:c>
      <x:c r="J201" s="58" t="str"/>
      <x:c r="K201" s="51" t="str"/>
      <x:c r="L201" s="76" t="str"/>
      <x:c r="M201" s="76" t="str"/>
      <x:c r="N201" s="76" t="str"/>
      <x:c r="O201" s="76" t="str"/>
      <x:c r="P201" s="76" t="str"/>
      <x:c r="Q201" s="76" t="str"/>
      <x:c r="R201" s="76" t="str"/>
      <x:c r="S201" s="76" t="str"/>
      <x:c r="T201" s="76" t="str"/>
    </x:row>
    <x:row r="202" s="23" customFormat="1" ht="36" customHeight="1">
      <x:c r="A202" s="49" t="b">
        <x:v>0</x:v>
      </x:c>
      <x:c r="B202" s="50" t="str">
        <x:v>196</x:v>
      </x:c>
      <x:c r="C202" s="51" t="str">
        <x:v>Galactic Civil War</x:v>
      </x:c>
      <x:c r="D202" s="51" t="str">
        <x:v>Forces of Destiny: The Path Ahead</x:v>
      </x:c>
      <x:c r="E202" s="50" t="str">
        <x:v>Season 2, Episode 7</x:v>
      </x:c>
      <x:c r="F202" s="51" t="str">
        <x:v>March 19, 2018</x:v>
      </x:c>
      <x:c r="G202" s="51" t="str">
        <x:v>Canon</x:v>
      </x:c>
      <x:c r="H202" s="51" t="str">
        <x:v>Short</x:v>
      </x:c>
      <x:c r="I202" s="51" t="str">
        <x:v>Disney+ / official YouTube</x:v>
      </x:c>
      <x:c r="J202" s="58" t="e">
        <x:f>HYPERLINK("https://www.youtube.com/results?search_query=Star%20Wars%20Forces%20of%20Destiny%20The%20Path%20Ahead%20official","Open")</x:f>
        <x:v>HYPERLINK is not implemented. linkLocation=https://www.youtube.com/results?search_query=Star%20Wars%20Forces%20of%20Destiny%20The%20Path%20Ahead%20official, friendlyName=Open</x:v>
      </x:c>
      <x:c r="K202" s="51" t="str">
        <x:v>During The Empire Strikes Back</x:v>
      </x:c>
      <x:c r="L202" s="76" t="str"/>
      <x:c r="M202" s="76" t="str"/>
      <x:c r="N202" s="76" t="str"/>
      <x:c r="O202" s="76" t="str"/>
      <x:c r="P202" s="76" t="str"/>
      <x:c r="Q202" s="76" t="str"/>
      <x:c r="R202" s="76" t="str"/>
      <x:c r="S202" s="76" t="str"/>
      <x:c r="T202" s="76" t="str"/>
    </x:row>
    <x:row r="203" s="23" customFormat="1" ht="36" customHeight="1">
      <x:c r="A203" s="49" t="b">
        <x:v>0</x:v>
      </x:c>
      <x:c r="B203" s="50" t="str">
        <x:v>197</x:v>
      </x:c>
      <x:c r="C203" s="51" t="str">
        <x:v>Galactic Civil War</x:v>
      </x:c>
      <x:c r="D203" s="51" t="str">
        <x:v>Star Wars Outlaws</x:v>
      </x:c>
      <x:c r="E203" s="50" t="str"/>
      <x:c r="F203" s="51" t="str">
        <x:v>August 30, 2024</x:v>
      </x:c>
      <x:c r="G203" s="51" t="str">
        <x:v>Canon</x:v>
      </x:c>
      <x:c r="H203" s="51" t="str">
        <x:v>Game movie</x:v>
      </x:c>
      <x:c r="I203" s="51" t="str">
        <x:v>YouTube</x:v>
      </x:c>
      <x:c r="J203" s="58" t="e">
        <x:f>HYPERLINK("https://www.youtube.com/watch?v=ENdpvW1otMQ","Open")</x:f>
        <x:v>HYPERLINK is not implemented. linkLocation=https://www.youtube.com/watch?v=ENdpvW1otMQ, friendlyName=Open</x:v>
      </x:c>
      <x:c r="K203" s="51" t="str">
        <x:v>Wild Card Nov. 21, 2024; A Pirate's Fortune May 15, 2025</x:v>
      </x:c>
      <x:c r="L203" s="76" t="str"/>
      <x:c r="M203" s="76" t="str"/>
      <x:c r="N203" s="76" t="str"/>
      <x:c r="O203" s="76" t="str"/>
      <x:c r="P203" s="76" t="str"/>
      <x:c r="Q203" s="76" t="str"/>
      <x:c r="R203" s="76" t="str"/>
      <x:c r="S203" s="76" t="str"/>
      <x:c r="T203" s="76" t="str"/>
    </x:row>
    <x:row r="204" s="23" customFormat="1" ht="36" customHeight="1">
      <x:c r="A204" s="49" t="b">
        <x:v>0</x:v>
      </x:c>
      <x:c r="B204" s="50" t="str">
        <x:v>198</x:v>
      </x:c>
      <x:c r="C204" s="51" t="str">
        <x:v>Galactic Civil War</x:v>
      </x:c>
      <x:c r="D204" s="51" t="str">
        <x:v>Ewoks animated series</x:v>
      </x:c>
      <x:c r="E204" s="50" t="str"/>
      <x:c r="F204" s="51" t="str">
        <x:v>September 7, 1985–December 13, 1986</x:v>
      </x:c>
      <x:c r="G204" s="51" t="str">
        <x:v>Legends</x:v>
      </x:c>
      <x:c r="H204" s="51" t="str">
        <x:v>Animated series</x:v>
      </x:c>
      <x:c r="I204" s="51" t="str">
        <x:v>Disney+</x:v>
      </x:c>
      <x:c r="J204" s="58" t="str"/>
      <x:c r="K204" s="51" t="str"/>
      <x:c r="L204" s="76" t="str"/>
      <x:c r="M204" s="76" t="str"/>
      <x:c r="N204" s="76" t="str"/>
      <x:c r="O204" s="76" t="str"/>
      <x:c r="P204" s="76" t="str"/>
      <x:c r="Q204" s="76" t="str"/>
      <x:c r="R204" s="76" t="str"/>
      <x:c r="S204" s="76" t="str"/>
      <x:c r="T204" s="76" t="str"/>
    </x:row>
    <x:row r="205" s="23" customFormat="1" ht="36" customHeight="1">
      <x:c r="A205" s="49" t="b">
        <x:v>0</x:v>
      </x:c>
      <x:c r="B205" s="50" t="str">
        <x:v>199</x:v>
      </x:c>
      <x:c r="C205" s="51" t="str">
        <x:v>Galactic Civil War</x:v>
      </x:c>
      <x:c r="D205" s="51" t="str">
        <x:v>Caravan of Courage: An Ewok Adventure</x:v>
      </x:c>
      <x:c r="E205" s="50" t="str"/>
      <x:c r="F205" s="51" t="str">
        <x:v>November 25, 1984</x:v>
      </x:c>
      <x:c r="G205" s="51" t="str">
        <x:v>Legends</x:v>
      </x:c>
      <x:c r="H205" s="51" t="str">
        <x:v>TV movie</x:v>
      </x:c>
      <x:c r="I205" s="51" t="str">
        <x:v>Disney+</x:v>
      </x:c>
      <x:c r="J205" s="58" t="str"/>
      <x:c r="K205" s="51" t="str"/>
      <x:c r="L205" s="76" t="str"/>
      <x:c r="M205" s="76" t="str"/>
      <x:c r="N205" s="76" t="str"/>
      <x:c r="O205" s="76" t="str"/>
      <x:c r="P205" s="76" t="str"/>
      <x:c r="Q205" s="76" t="str"/>
      <x:c r="R205" s="76" t="str"/>
      <x:c r="S205" s="76" t="str"/>
      <x:c r="T205" s="76" t="str"/>
    </x:row>
    <x:row r="206" s="23" customFormat="1" ht="36" customHeight="1">
      <x:c r="A206" s="49" t="b">
        <x:v>0</x:v>
      </x:c>
      <x:c r="B206" s="50" t="str">
        <x:v>200</x:v>
      </x:c>
      <x:c r="C206" s="51" t="str">
        <x:v>Galactic Civil War</x:v>
      </x:c>
      <x:c r="D206" s="51" t="str">
        <x:v>Ewoks: The Battle for Endor</x:v>
      </x:c>
      <x:c r="E206" s="50" t="str"/>
      <x:c r="F206" s="51" t="str">
        <x:v>November 24, 1985</x:v>
      </x:c>
      <x:c r="G206" s="51" t="str">
        <x:v>Legends</x:v>
      </x:c>
      <x:c r="H206" s="51" t="str">
        <x:v>TV movie</x:v>
      </x:c>
      <x:c r="I206" s="51" t="str">
        <x:v>Disney+</x:v>
      </x:c>
      <x:c r="J206" s="58" t="str"/>
      <x:c r="K206" s="51" t="str"/>
      <x:c r="L206" s="76" t="str"/>
      <x:c r="M206" s="76" t="str"/>
      <x:c r="N206" s="76" t="str"/>
      <x:c r="O206" s="76" t="str"/>
      <x:c r="P206" s="76" t="str"/>
      <x:c r="Q206" s="76" t="str"/>
      <x:c r="R206" s="76" t="str"/>
      <x:c r="S206" s="76" t="str"/>
      <x:c r="T206" s="76" t="str"/>
    </x:row>
    <x:row r="207" s="23" customFormat="1" ht="36" customHeight="1">
      <x:c r="A207" s="49" t="b">
        <x:v>0</x:v>
      </x:c>
      <x:c r="B207" s="50" t="str">
        <x:v>201</x:v>
      </x:c>
      <x:c r="C207" s="51" t="str">
        <x:v>Galactic Civil War</x:v>
      </x:c>
      <x:c r="D207" s="51" t="str">
        <x:v>Forces of Destiny: Bounty Hunted</x:v>
      </x:c>
      <x:c r="E207" s="50" t="str">
        <x:v>Season 2, Episode 6</x:v>
      </x:c>
      <x:c r="F207" s="51" t="str">
        <x:v>March 19, 2018</x:v>
      </x:c>
      <x:c r="G207" s="51" t="str">
        <x:v>Canon</x:v>
      </x:c>
      <x:c r="H207" s="51" t="str">
        <x:v>Short</x:v>
      </x:c>
      <x:c r="I207" s="51" t="str">
        <x:v>Disney+ / official YouTube</x:v>
      </x:c>
      <x:c r="J207" s="58" t="e">
        <x:f>HYPERLINK("https://www.youtube.com/results?search_query=Star%20Wars%20Forces%20of%20Destiny%20Bounty%20Hunted%20official","Open")</x:f>
        <x:v>HYPERLINK is not implemented. linkLocation=https://www.youtube.com/results?search_query=Star%20Wars%20Forces%20of%20Destiny%20Bounty%20Hunted%20official, friendlyName=Open</x:v>
      </x:c>
      <x:c r="K207" s="51" t="str">
        <x:v>Before Return of the Jedi</x:v>
      </x:c>
      <x:c r="L207" s="76" t="str"/>
      <x:c r="M207" s="76" t="str"/>
      <x:c r="N207" s="76" t="str"/>
      <x:c r="O207" s="76" t="str"/>
      <x:c r="P207" s="76" t="str"/>
      <x:c r="Q207" s="76" t="str"/>
      <x:c r="R207" s="76" t="str"/>
      <x:c r="S207" s="76" t="str"/>
      <x:c r="T207" s="76" t="str"/>
    </x:row>
    <x:row r="208" s="23" customFormat="1" ht="36" customHeight="1">
      <x:c r="A208" s="49" t="b">
        <x:v>0</x:v>
      </x:c>
      <x:c r="B208" s="50" t="str">
        <x:v>202</x:v>
      </x:c>
      <x:c r="C208" s="51" t="str">
        <x:v>Galactic Civil War</x:v>
      </x:c>
      <x:c r="D208" s="51" t="str">
        <x:v>Episode VI: Return of the Jedi</x:v>
      </x:c>
      <x:c r="E208" s="50" t="str"/>
      <x:c r="F208" s="51" t="str">
        <x:v>May 25, 1983</x:v>
      </x:c>
      <x:c r="G208" s="51" t="str">
        <x:v>Canon</x:v>
      </x:c>
      <x:c r="H208" s="51" t="str">
        <x:v>Movie</x:v>
      </x:c>
      <x:c r="I208" s="51" t="str">
        <x:v>Disney+</x:v>
      </x:c>
      <x:c r="J208" s="58" t="str"/>
      <x:c r="K208" s="51" t="str"/>
      <x:c r="L208" s="76" t="str"/>
      <x:c r="M208" s="76" t="str"/>
      <x:c r="N208" s="76" t="str"/>
      <x:c r="O208" s="76" t="str"/>
      <x:c r="P208" s="76" t="str"/>
      <x:c r="Q208" s="76" t="str"/>
      <x:c r="R208" s="76" t="str"/>
      <x:c r="S208" s="76" t="str"/>
      <x:c r="T208" s="76" t="str"/>
    </x:row>
    <x:row r="209" s="23" customFormat="1" ht="36" customHeight="1">
      <x:c r="A209" s="49" t="b">
        <x:v>0</x:v>
      </x:c>
      <x:c r="B209" s="50" t="str">
        <x:v>203</x:v>
      </x:c>
      <x:c r="C209" s="51" t="str">
        <x:v>Galactic Civil War</x:v>
      </x:c>
      <x:c r="D209" s="51" t="str">
        <x:v>Forces of Destiny: Ewok Escape</x:v>
      </x:c>
      <x:c r="E209" s="50" t="str">
        <x:v>Season 1, Episode 3</x:v>
      </x:c>
      <x:c r="F209" s="51" t="str">
        <x:v>July 5, 2017</x:v>
      </x:c>
      <x:c r="G209" s="51" t="str">
        <x:v>Canon</x:v>
      </x:c>
      <x:c r="H209" s="51" t="str">
        <x:v>Short</x:v>
      </x:c>
      <x:c r="I209" s="51" t="str">
        <x:v>Disney+ / official YouTube</x:v>
      </x:c>
      <x:c r="J209" s="58" t="e">
        <x:f>HYPERLINK("https://www.youtube.com/results?search_query=Star%20Wars%20Forces%20of%20Destiny%20Ewok%20Escape%20official","Open")</x:f>
        <x:v>HYPERLINK is not implemented. linkLocation=https://www.youtube.com/results?search_query=Star%20Wars%20Forces%20of%20Destiny%20Ewok%20Escape%20official, friendlyName=Open</x:v>
      </x:c>
      <x:c r="K209" s="51" t="str">
        <x:v>During Return of the Jedi</x:v>
      </x:c>
      <x:c r="L209" s="76" t="str"/>
      <x:c r="M209" s="76" t="str"/>
      <x:c r="N209" s="76" t="str"/>
      <x:c r="O209" s="76" t="str"/>
      <x:c r="P209" s="76" t="str"/>
      <x:c r="Q209" s="76" t="str"/>
      <x:c r="R209" s="76" t="str"/>
      <x:c r="S209" s="76" t="str"/>
      <x:c r="T209" s="76" t="str"/>
    </x:row>
    <x:row r="210" s="23" customFormat="1" ht="36" customHeight="1">
      <x:c r="A210" s="49" t="b">
        <x:v>0</x:v>
      </x:c>
      <x:c r="B210" s="50" t="str">
        <x:v>204</x:v>
      </x:c>
      <x:c r="C210" s="51" t="str">
        <x:v>Galactic Civil War</x:v>
      </x:c>
      <x:c r="D210" s="51" t="str">
        <x:v>Forces of Destiny: Chopper and Friends</x:v>
      </x:c>
      <x:c r="E210" s="50" t="str">
        <x:v>Season 2, Episode 9</x:v>
      </x:c>
      <x:c r="F210" s="51" t="str">
        <x:v>May 4, 2018</x:v>
      </x:c>
      <x:c r="G210" s="51" t="str">
        <x:v>Canon</x:v>
      </x:c>
      <x:c r="H210" s="51" t="str">
        <x:v>Short</x:v>
      </x:c>
      <x:c r="I210" s="51" t="str">
        <x:v>Disney+ / official YouTube</x:v>
      </x:c>
      <x:c r="J210" s="58" t="e">
        <x:f>HYPERLINK("https://www.youtube.com/results?search_query=Star%20Wars%20Forces%20of%20Destiny%20Chopper%20and%20Friends%20official","Open")</x:f>
        <x:v>HYPERLINK is not implemented. linkLocation=https://www.youtube.com/results?search_query=Star%20Wars%20Forces%20of%20Destiny%20Chopper%20and%20Friends%20official, friendlyName=Open</x:v>
      </x:c>
      <x:c r="K210" s="51" t="str">
        <x:v>Endor era</x:v>
      </x:c>
      <x:c r="L210" s="76" t="str"/>
      <x:c r="M210" s="76" t="str"/>
      <x:c r="N210" s="76" t="str"/>
      <x:c r="O210" s="76" t="str"/>
      <x:c r="P210" s="76" t="str"/>
      <x:c r="Q210" s="76" t="str"/>
      <x:c r="R210" s="76" t="str"/>
      <x:c r="S210" s="76" t="str"/>
      <x:c r="T210" s="76" t="str"/>
    </x:row>
    <x:row r="211" s="23" customFormat="1" ht="36" customHeight="1">
      <x:c r="A211" s="49" t="b">
        <x:v>0</x:v>
      </x:c>
      <x:c r="B211" s="50" t="str">
        <x:v>205</x:v>
      </x:c>
      <x:c r="C211" s="51" t="str">
        <x:v>Galactic Civil War</x:v>
      </x:c>
      <x:c r="D211" s="51" t="str">
        <x:v>Forces of Destiny: Traps and Tribulations</x:v>
      </x:c>
      <x:c r="E211" s="50" t="str">
        <x:v>Season 2, Episode 15</x:v>
      </x:c>
      <x:c r="F211" s="51" t="str">
        <x:v>May 4, 2018</x:v>
      </x:c>
      <x:c r="G211" s="51" t="str">
        <x:v>Canon</x:v>
      </x:c>
      <x:c r="H211" s="51" t="str">
        <x:v>Short</x:v>
      </x:c>
      <x:c r="I211" s="51" t="str">
        <x:v>Disney+ / official YouTube</x:v>
      </x:c>
      <x:c r="J211" s="58" t="e">
        <x:f>HYPERLINK("https://www.youtube.com/results?search_query=Star%20Wars%20Forces%20of%20Destiny%20Traps%20and%20Tribulations%20official","Open")</x:f>
        <x:v>HYPERLINK is not implemented. linkLocation=https://www.youtube.com/results?search_query=Star%20Wars%20Forces%20of%20Destiny%20Traps%20and%20Tribulations%20official, friendlyName=Open</x:v>
      </x:c>
      <x:c r="K211" s="51" t="str">
        <x:v>Endor era</x:v>
      </x:c>
      <x:c r="L211" s="76" t="str"/>
      <x:c r="M211" s="76" t="str"/>
      <x:c r="N211" s="76" t="str"/>
      <x:c r="O211" s="76" t="str"/>
      <x:c r="P211" s="76" t="str"/>
      <x:c r="Q211" s="76" t="str"/>
      <x:c r="R211" s="76" t="str"/>
      <x:c r="S211" s="76" t="str"/>
      <x:c r="T211" s="76" t="str"/>
    </x:row>
    <x:row r="212" s="23" customFormat="1" ht="36" customHeight="1">
      <x:c r="A212" s="49" t="b">
        <x:v>0</x:v>
      </x:c>
      <x:c r="B212" s="50" t="str">
        <x:v>206</x:v>
      </x:c>
      <x:c r="C212" s="51" t="str">
        <x:v>Galactic Civil War</x:v>
      </x:c>
      <x:c r="D212" s="51" t="str">
        <x:v>Forces of Destiny: An Imperial Feast</x:v>
      </x:c>
      <x:c r="E212" s="50" t="str">
        <x:v>Season 1, Episode 14</x:v>
      </x:c>
      <x:c r="F212" s="51" t="str">
        <x:v>October 30, 2017</x:v>
      </x:c>
      <x:c r="G212" s="51" t="str">
        <x:v>Canon</x:v>
      </x:c>
      <x:c r="H212" s="51" t="str">
        <x:v>Short</x:v>
      </x:c>
      <x:c r="I212" s="51" t="str">
        <x:v>Disney+ / official YouTube</x:v>
      </x:c>
      <x:c r="J212" s="58" t="e">
        <x:f>HYPERLINK("https://www.youtube.com/results?search_query=Star%20Wars%20Forces%20of%20Destiny%20An%20Imperial%20Feast%20official","Open")</x:f>
        <x:v>HYPERLINK is not implemented. linkLocation=https://www.youtube.com/results?search_query=Star%20Wars%20Forces%20of%20Destiny%20An%20Imperial%20Feast%20official, friendlyName=Open</x:v>
      </x:c>
      <x:c r="K212" s="51" t="str">
        <x:v>After Return of the Jedi</x:v>
      </x:c>
      <x:c r="L212" s="76" t="str"/>
      <x:c r="M212" s="76" t="str"/>
      <x:c r="N212" s="76" t="str"/>
      <x:c r="O212" s="76" t="str"/>
      <x:c r="P212" s="76" t="str"/>
      <x:c r="Q212" s="76" t="str"/>
      <x:c r="R212" s="76" t="str"/>
      <x:c r="S212" s="76" t="str"/>
      <x:c r="T212" s="76" t="str"/>
    </x:row>
    <x:row r="213" s="23" customFormat="1" ht="36" customHeight="1">
      <x:c r="A213" s="49" t="b">
        <x:v>0</x:v>
      </x:c>
      <x:c r="B213" s="50" t="str">
        <x:v>207</x:v>
      </x:c>
      <x:c r="C213" s="51" t="str">
        <x:v>New Republic</x:v>
      </x:c>
      <x:c r="D213" s="51" t="str">
        <x:v>Battlefront II campaign</x:v>
      </x:c>
      <x:c r="E213" s="50" t="str"/>
      <x:c r="F213" s="51" t="str">
        <x:v>November 17, 2017</x:v>
      </x:c>
      <x:c r="G213" s="51" t="str">
        <x:v>Canon</x:v>
      </x:c>
      <x:c r="H213" s="51" t="str">
        <x:v>Game movie</x:v>
      </x:c>
      <x:c r="I213" s="51" t="str">
        <x:v>YouTube</x:v>
      </x:c>
      <x:c r="J213" s="58" t="e">
        <x:f>HYPERLINK("https://www.youtube.com/results?search_query=STAR+WARS+BATTLEFRONT+2+All+Cutscenes+Game+Movie+2017+Gamer%27s+Little+Playground","Open")</x:f>
        <x:v>HYPERLINK is not implemented. linkLocation=https://www.youtube.com/results?search_query=STAR+WARS+BATTLEFRONT+2+All+Cutscenes+Game+Movie+2017+Gamer%27s+Little+Playground, friendlyName=Open</x:v>
      </x:c>
      <x:c r="K213" s="51" t="str">
        <x:v>Main post-Endor campaign</x:v>
      </x:c>
      <x:c r="L213" s="76" t="str"/>
      <x:c r="M213" s="76" t="str"/>
      <x:c r="N213" s="76" t="str"/>
      <x:c r="O213" s="76" t="str"/>
      <x:c r="P213" s="76" t="str"/>
      <x:c r="Q213" s="76" t="str"/>
      <x:c r="R213" s="76" t="str"/>
      <x:c r="S213" s="76" t="str"/>
      <x:c r="T213" s="76" t="str"/>
    </x:row>
    <x:row r="214" s="23" customFormat="1" ht="36" customHeight="1">
      <x:c r="A214" s="49" t="b">
        <x:v>0</x:v>
      </x:c>
      <x:c r="B214" s="50" t="str">
        <x:v>208</x:v>
      </x:c>
      <x:c r="C214" s="51" t="str">
        <x:v>New Republic</x:v>
      </x:c>
      <x:c r="D214" s="51" t="str">
        <x:v>Star Wars: Squadrons</x:v>
      </x:c>
      <x:c r="E214" s="50" t="str"/>
      <x:c r="F214" s="51" t="str">
        <x:v>October 2, 2020</x:v>
      </x:c>
      <x:c r="G214" s="51" t="str">
        <x:v>Canon</x:v>
      </x:c>
      <x:c r="H214" s="51" t="str">
        <x:v>Game movie</x:v>
      </x:c>
      <x:c r="I214" s="51" t="str">
        <x:v>YouTube</x:v>
      </x:c>
      <x:c r="J214" s="58" t="e">
        <x:f>HYPERLINK("https://www.youtube.com/watch?v=k9W0XsRxLBU","Open")</x:f>
        <x:v>HYPERLINK is not implemented. linkLocation=https://www.youtube.com/watch?v=k9W0XsRxLBU, friendlyName=Open</x:v>
      </x:c>
      <x:c r="K214" s="51" t="str"/>
      <x:c r="L214" s="76" t="str"/>
      <x:c r="M214" s="76" t="str"/>
      <x:c r="N214" s="76" t="str"/>
      <x:c r="O214" s="76" t="str"/>
      <x:c r="P214" s="76" t="str"/>
      <x:c r="Q214" s="76" t="str"/>
      <x:c r="R214" s="76" t="str"/>
      <x:c r="S214" s="76" t="str"/>
      <x:c r="T214" s="76" t="str"/>
    </x:row>
    <x:row r="215" s="23" customFormat="1" ht="36" customHeight="1">
      <x:c r="A215" s="49" t="b">
        <x:v>0</x:v>
      </x:c>
      <x:c r="B215" s="50" t="str">
        <x:v>209</x:v>
      </x:c>
      <x:c r="C215" s="51" t="str">
        <x:v>New Republic</x:v>
      </x:c>
      <x:c r="D215" s="51" t="str">
        <x:v>Star Wars: Uprising</x:v>
      </x:c>
      <x:c r="E215" s="50" t="str"/>
      <x:c r="F215" s="51" t="str">
        <x:v>September 10, 2015</x:v>
      </x:c>
      <x:c r="G215" s="51" t="str">
        <x:v>Canon</x:v>
      </x:c>
      <x:c r="H215" s="51" t="str">
        <x:v>Game recording</x:v>
      </x:c>
      <x:c r="I215" s="51" t="str">
        <x:v>YouTube</x:v>
      </x:c>
      <x:c r="J215" s="58" t="e">
        <x:f>HYPERLINK("https://www.youtube.com/results?search_query=Star+Wars+Uprising+full+story+gameplay+movie","Open")</x:f>
        <x:v>HYPERLINK is not implemented. linkLocation=https://www.youtube.com/results?search_query=Star+Wars+Uprising+full+story+gameplay+movie, friendlyName=Open</x:v>
      </x:c>
      <x:c r="K215" s="51" t="str">
        <x:v>Servers closed November 17, 2016</x:v>
      </x:c>
      <x:c r="L215" s="76" t="str"/>
      <x:c r="M215" s="76" t="str"/>
      <x:c r="N215" s="76" t="str"/>
      <x:c r="O215" s="76" t="str"/>
      <x:c r="P215" s="76" t="str"/>
      <x:c r="Q215" s="76" t="str"/>
      <x:c r="R215" s="76" t="str"/>
      <x:c r="S215" s="76" t="str"/>
      <x:c r="T215" s="76" t="str"/>
    </x:row>
    <x:row r="216" s="23" customFormat="1" ht="36" customHeight="1">
      <x:c r="A216" s="49" t="b">
        <x:v>0</x:v>
      </x:c>
      <x:c r="B216" s="50" t="str">
        <x:v>210</x:v>
      </x:c>
      <x:c r="C216" s="51" t="str">
        <x:v>New Republic</x:v>
      </x:c>
      <x:c r="D216" s="51" t="str">
        <x:v>The Mandalorian Season 1</x:v>
      </x:c>
      <x:c r="E216" s="50" t="str"/>
      <x:c r="F216" s="51" t="str">
        <x:v>November 12–December 27, 2019</x:v>
      </x:c>
      <x:c r="G216" s="51" t="str">
        <x:v>Canon</x:v>
      </x:c>
      <x:c r="H216" s="51" t="str">
        <x:v>Season</x:v>
      </x:c>
      <x:c r="I216" s="51" t="str">
        <x:v>Disney+</x:v>
      </x:c>
      <x:c r="J216" s="58" t="str"/>
      <x:c r="K216" s="51" t="str"/>
      <x:c r="L216" s="76" t="str"/>
      <x:c r="M216" s="76" t="str"/>
      <x:c r="N216" s="76" t="str"/>
      <x:c r="O216" s="76" t="str"/>
      <x:c r="P216" s="76" t="str"/>
      <x:c r="Q216" s="76" t="str"/>
      <x:c r="R216" s="76" t="str"/>
      <x:c r="S216" s="76" t="str"/>
      <x:c r="T216" s="76" t="str"/>
    </x:row>
    <x:row r="217" s="23" customFormat="1" ht="36" customHeight="1">
      <x:c r="A217" s="49" t="b">
        <x:v>0</x:v>
      </x:c>
      <x:c r="B217" s="50" t="str">
        <x:v>211</x:v>
      </x:c>
      <x:c r="C217" s="51" t="str">
        <x:v>New Republic</x:v>
      </x:c>
      <x:c r="D217" s="51" t="str">
        <x:v>The Mandalorian Season 2</x:v>
      </x:c>
      <x:c r="E217" s="50" t="str"/>
      <x:c r="F217" s="51" t="str">
        <x:v>October 30–December 18, 2020</x:v>
      </x:c>
      <x:c r="G217" s="51" t="str">
        <x:v>Canon</x:v>
      </x:c>
      <x:c r="H217" s="51" t="str">
        <x:v>Season</x:v>
      </x:c>
      <x:c r="I217" s="51" t="str">
        <x:v>Disney+</x:v>
      </x:c>
      <x:c r="J217" s="58" t="str"/>
      <x:c r="K217" s="51" t="str"/>
      <x:c r="L217" s="76" t="str"/>
      <x:c r="M217" s="76" t="str"/>
      <x:c r="N217" s="76" t="str"/>
      <x:c r="O217" s="76" t="str"/>
      <x:c r="P217" s="76" t="str"/>
      <x:c r="Q217" s="76" t="str"/>
      <x:c r="R217" s="76" t="str"/>
      <x:c r="S217" s="76" t="str"/>
      <x:c r="T217" s="76" t="str"/>
    </x:row>
    <x:row r="218" s="23" customFormat="1" ht="36" customHeight="1">
      <x:c r="A218" s="49" t="b">
        <x:v>0</x:v>
      </x:c>
      <x:c r="B218" s="50" t="str">
        <x:v>212</x:v>
      </x:c>
      <x:c r="C218" s="51" t="str">
        <x:v>New Republic</x:v>
      </x:c>
      <x:c r="D218" s="51" t="str">
        <x:v>The Book of Boba Fett</x:v>
      </x:c>
      <x:c r="E218" s="50" t="str"/>
      <x:c r="F218" s="51" t="str">
        <x:v>December 29, 2021–February 9, 2022</x:v>
      </x:c>
      <x:c r="G218" s="51" t="str">
        <x:v>Canon</x:v>
      </x:c>
      <x:c r="H218" s="51" t="str">
        <x:v>Series</x:v>
      </x:c>
      <x:c r="I218" s="51" t="str">
        <x:v>Disney+</x:v>
      </x:c>
      <x:c r="J218" s="58" t="str"/>
      <x:c r="K218" s="51" t="str">
        <x:v>Episodes 5–7 function as Mandalorian Season 2.5</x:v>
      </x:c>
      <x:c r="L218" s="76" t="str"/>
      <x:c r="M218" s="76" t="str"/>
      <x:c r="N218" s="76" t="str"/>
      <x:c r="O218" s="76" t="str"/>
      <x:c r="P218" s="76" t="str"/>
      <x:c r="Q218" s="76" t="str"/>
      <x:c r="R218" s="76" t="str"/>
      <x:c r="S218" s="76" t="str"/>
      <x:c r="T218" s="76" t="str"/>
    </x:row>
    <x:row r="219" s="23" customFormat="1" ht="36" customHeight="1">
      <x:c r="A219" s="49" t="b">
        <x:v>0</x:v>
      </x:c>
      <x:c r="B219" s="50" t="str">
        <x:v>213</x:v>
      </x:c>
      <x:c r="C219" s="51" t="str">
        <x:v>New Republic</x:v>
      </x:c>
      <x:c r="D219" s="51" t="str">
        <x:v>The Mandalorian Season 3</x:v>
      </x:c>
      <x:c r="E219" s="50" t="str"/>
      <x:c r="F219" s="51" t="str">
        <x:v>March 1–April 19, 2023</x:v>
      </x:c>
      <x:c r="G219" s="51" t="str">
        <x:v>Canon</x:v>
      </x:c>
      <x:c r="H219" s="51" t="str">
        <x:v>Season</x:v>
      </x:c>
      <x:c r="I219" s="51" t="str">
        <x:v>Disney+</x:v>
      </x:c>
      <x:c r="J219" s="58" t="str"/>
      <x:c r="K219" s="51" t="str"/>
      <x:c r="L219" s="76" t="str"/>
      <x:c r="M219" s="76" t="str"/>
      <x:c r="N219" s="76" t="str"/>
      <x:c r="O219" s="76" t="str"/>
      <x:c r="P219" s="76" t="str"/>
      <x:c r="Q219" s="76" t="str"/>
      <x:c r="R219" s="76" t="str"/>
      <x:c r="S219" s="76" t="str"/>
      <x:c r="T219" s="76" t="str"/>
    </x:row>
    <x:row r="220" s="23" customFormat="1" ht="36" customHeight="1">
      <x:c r="A220" s="49" t="b">
        <x:v>0</x:v>
      </x:c>
      <x:c r="B220" s="50" t="str">
        <x:v>214</x:v>
      </x:c>
      <x:c r="C220" s="51" t="str">
        <x:v>New Republic</x:v>
      </x:c>
      <x:c r="D220" s="51" t="str">
        <x:v>Ahsoka Season 1</x:v>
      </x:c>
      <x:c r="E220" s="50" t="str"/>
      <x:c r="F220" s="51" t="str">
        <x:v>August 22–October 3, 2023</x:v>
      </x:c>
      <x:c r="G220" s="51" t="str">
        <x:v>Canon</x:v>
      </x:c>
      <x:c r="H220" s="51" t="str">
        <x:v>Season</x:v>
      </x:c>
      <x:c r="I220" s="51" t="str">
        <x:v>Disney+</x:v>
      </x:c>
      <x:c r="J220" s="58" t="str"/>
      <x:c r="K220" s="51" t="str"/>
      <x:c r="L220" s="76" t="str"/>
      <x:c r="M220" s="76" t="str"/>
      <x:c r="N220" s="76" t="str"/>
      <x:c r="O220" s="76" t="str"/>
      <x:c r="P220" s="76" t="str"/>
      <x:c r="Q220" s="76" t="str"/>
      <x:c r="R220" s="76" t="str"/>
      <x:c r="S220" s="76" t="str"/>
      <x:c r="T220" s="76" t="str"/>
    </x:row>
    <x:row r="221" s="23" customFormat="1" ht="36" customHeight="1">
      <x:c r="A221" s="49" t="b">
        <x:v>0</x:v>
      </x:c>
      <x:c r="B221" s="50" t="str">
        <x:v>215</x:v>
      </x:c>
      <x:c r="C221" s="51" t="str">
        <x:v>New Republic</x:v>
      </x:c>
      <x:c r="D221" s="51" t="str">
        <x:v>Tales of the Empire: The Path of Hate</x:v>
      </x:c>
      <x:c r="E221" s="50" t="str"/>
      <x:c r="F221" s="51" t="str">
        <x:v>May 4, 2024</x:v>
      </x:c>
      <x:c r="G221" s="51" t="str">
        <x:v>Canon</x:v>
      </x:c>
      <x:c r="H221" s="51" t="str">
        <x:v>Episode</x:v>
      </x:c>
      <x:c r="I221" s="51" t="str">
        <x:v>Disney+</x:v>
      </x:c>
      <x:c r="J221" s="58" t="str"/>
      <x:c r="K221" s="51" t="str"/>
      <x:c r="L221" s="76" t="str"/>
      <x:c r="M221" s="76" t="str"/>
      <x:c r="N221" s="76" t="str"/>
      <x:c r="O221" s="76" t="str"/>
      <x:c r="P221" s="76" t="str"/>
      <x:c r="Q221" s="76" t="str"/>
      <x:c r="R221" s="76" t="str"/>
      <x:c r="S221" s="76" t="str"/>
      <x:c r="T221" s="76" t="str"/>
    </x:row>
    <x:row r="222" s="23" customFormat="1" ht="36" customHeight="1">
      <x:c r="A222" s="49" t="b">
        <x:v>0</x:v>
      </x:c>
      <x:c r="B222" s="50" t="str">
        <x:v>216</x:v>
      </x:c>
      <x:c r="C222" s="51" t="str">
        <x:v>New Republic</x:v>
      </x:c>
      <x:c r="D222" s="51" t="str">
        <x:v>Skeleton Crew</x:v>
      </x:c>
      <x:c r="E222" s="50" t="str"/>
      <x:c r="F222" s="51" t="str">
        <x:v>December 2, 2024–January 14, 2025</x:v>
      </x:c>
      <x:c r="G222" s="51" t="str">
        <x:v>Canon</x:v>
      </x:c>
      <x:c r="H222" s="51" t="str">
        <x:v>Series</x:v>
      </x:c>
      <x:c r="I222" s="51" t="str">
        <x:v>Disney+</x:v>
      </x:c>
      <x:c r="J222" s="58" t="str"/>
      <x:c r="K222" s="51" t="str"/>
      <x:c r="L222" s="76" t="str"/>
      <x:c r="M222" s="76" t="str"/>
      <x:c r="N222" s="76" t="str"/>
      <x:c r="O222" s="76" t="str"/>
      <x:c r="P222" s="76" t="str"/>
      <x:c r="Q222" s="76" t="str"/>
      <x:c r="R222" s="76" t="str"/>
      <x:c r="S222" s="76" t="str"/>
      <x:c r="T222" s="76" t="str"/>
    </x:row>
    <x:row r="223" s="23" customFormat="1" ht="36" customHeight="1">
      <x:c r="A223" s="49" t="b">
        <x:v>0</x:v>
      </x:c>
      <x:c r="B223" s="50" t="str">
        <x:v>217</x:v>
      </x:c>
      <x:c r="C223" s="51" t="str">
        <x:v>New Republic</x:v>
      </x:c>
      <x:c r="D223" s="51" t="str">
        <x:v>The Mandalorian and Grogu</x:v>
      </x:c>
      <x:c r="E223" s="50" t="str"/>
      <x:c r="F223" s="51" t="str">
        <x:v>Theaters May 22, 2026; Disney+ Sept. 2, 2026</x:v>
      </x:c>
      <x:c r="G223" s="51" t="str">
        <x:v>Canon</x:v>
      </x:c>
      <x:c r="H223" s="51" t="str">
        <x:v>Movie</x:v>
      </x:c>
      <x:c r="I223" s="51" t="str">
        <x:v>Disney+</x:v>
      </x:c>
      <x:c r="J223" s="58" t="str"/>
      <x:c r="K223" s="51" t="str"/>
      <x:c r="L223" s="76" t="str"/>
      <x:c r="M223" s="76" t="str"/>
      <x:c r="N223" s="76" t="str"/>
      <x:c r="O223" s="76" t="str"/>
      <x:c r="P223" s="76" t="str"/>
      <x:c r="Q223" s="76" t="str"/>
      <x:c r="R223" s="76" t="str"/>
      <x:c r="S223" s="76" t="str"/>
      <x:c r="T223" s="76" t="str"/>
    </x:row>
    <x:row r="224" s="23" customFormat="1" ht="36" customHeight="1">
      <x:c r="A224" s="49" t="b">
        <x:v>0</x:v>
      </x:c>
      <x:c r="B224" s="50" t="str">
        <x:v>218</x:v>
      </x:c>
      <x:c r="C224" s="51" t="str">
        <x:v>Sequel era</x:v>
      </x:c>
      <x:c r="D224" s="51" t="str">
        <x:v>Forces of Destiny: The Happabore Hazard</x:v>
      </x:c>
      <x:c r="E224" s="50" t="str">
        <x:v>Season 1, Episode 15</x:v>
      </x:c>
      <x:c r="F224" s="51" t="str">
        <x:v>October 31, 2017</x:v>
      </x:c>
      <x:c r="G224" s="51" t="str">
        <x:v>Canon</x:v>
      </x:c>
      <x:c r="H224" s="51" t="str">
        <x:v>Short</x:v>
      </x:c>
      <x:c r="I224" s="51" t="str">
        <x:v>Disney+ / official YouTube</x:v>
      </x:c>
      <x:c r="J224" s="58" t="e">
        <x:f>HYPERLINK("https://www.youtube.com/results?search_query=Star%20Wars%20Forces%20of%20Destiny%20The%20Happabore%20Hazard%20official","Open")</x:f>
        <x:v>HYPERLINK is not implemented. linkLocation=https://www.youtube.com/results?search_query=Star%20Wars%20Forces%20of%20Destiny%20The%20Happabore%20Hazard%20official, friendlyName=Open</x:v>
      </x:c>
      <x:c r="K224" s="51" t="str">
        <x:v>Before The Force Awakens</x:v>
      </x:c>
      <x:c r="L224" s="76" t="str"/>
      <x:c r="M224" s="76" t="str"/>
      <x:c r="N224" s="76" t="str"/>
      <x:c r="O224" s="76" t="str"/>
      <x:c r="P224" s="76" t="str"/>
      <x:c r="Q224" s="76" t="str"/>
      <x:c r="R224" s="76" t="str"/>
      <x:c r="S224" s="76" t="str"/>
      <x:c r="T224" s="76" t="str"/>
    </x:row>
    <x:row r="225" s="23" customFormat="1" ht="36" customHeight="1">
      <x:c r="A225" s="49" t="b">
        <x:v>0</x:v>
      </x:c>
      <x:c r="B225" s="50" t="str">
        <x:v>219</x:v>
      </x:c>
      <x:c r="C225" s="51" t="str">
        <x:v>Sequel era</x:v>
      </x:c>
      <x:c r="D225" s="51" t="str">
        <x:v>Forces of Destiny: Run Rey Run</x:v>
      </x:c>
      <x:c r="E225" s="50" t="str">
        <x:v>Season 2, Episode 5</x:v>
      </x:c>
      <x:c r="F225" s="51" t="str">
        <x:v>March 19, 2018</x:v>
      </x:c>
      <x:c r="G225" s="51" t="str">
        <x:v>Canon</x:v>
      </x:c>
      <x:c r="H225" s="51" t="str">
        <x:v>Short</x:v>
      </x:c>
      <x:c r="I225" s="51" t="str">
        <x:v>Disney+ / official YouTube</x:v>
      </x:c>
      <x:c r="J225" s="58" t="e">
        <x:f>HYPERLINK("https://www.youtube.com/results?search_query=Star%20Wars%20Forces%20of%20Destiny%20Run%20Rey%20Run%20official","Open")</x:f>
        <x:v>HYPERLINK is not implemented. linkLocation=https://www.youtube.com/results?search_query=Star%20Wars%20Forces%20of%20Destiny%20Run%20Rey%20Run%20official, friendlyName=Open</x:v>
      </x:c>
      <x:c r="K225" s="51" t="str">
        <x:v>Before The Force Awakens</x:v>
      </x:c>
      <x:c r="L225" s="76" t="str"/>
      <x:c r="M225" s="76" t="str"/>
      <x:c r="N225" s="76" t="str"/>
      <x:c r="O225" s="76" t="str"/>
      <x:c r="P225" s="76" t="str"/>
      <x:c r="Q225" s="76" t="str"/>
      <x:c r="R225" s="76" t="str"/>
      <x:c r="S225" s="76" t="str"/>
      <x:c r="T225" s="76" t="str"/>
    </x:row>
    <x:row r="226" s="23" customFormat="1" ht="36" customHeight="1">
      <x:c r="A226" s="49" t="b">
        <x:v>0</x:v>
      </x:c>
      <x:c r="B226" s="50" t="str">
        <x:v>220</x:v>
      </x:c>
      <x:c r="C226" s="51" t="str">
        <x:v>Sequel era</x:v>
      </x:c>
      <x:c r="D226" s="51" t="str">
        <x:v>Resistance Season 1, Episodes 1–19</x:v>
      </x:c>
      <x:c r="E226" s="50" t="str"/>
      <x:c r="F226" s="51" t="str">
        <x:v>October 7, 2018–March 10, 2019</x:v>
      </x:c>
      <x:c r="G226" s="51" t="str">
        <x:v>Canon</x:v>
      </x:c>
      <x:c r="H226" s="51" t="str">
        <x:v>Episodes</x:v>
      </x:c>
      <x:c r="I226" s="51" t="str">
        <x:v>Disney+</x:v>
      </x:c>
      <x:c r="J226" s="58" t="str"/>
      <x:c r="K226" s="51" t="str"/>
      <x:c r="L226" s="76" t="str"/>
      <x:c r="M226" s="76" t="str"/>
      <x:c r="N226" s="76" t="str"/>
      <x:c r="O226" s="76" t="str"/>
      <x:c r="P226" s="76" t="str"/>
      <x:c r="Q226" s="76" t="str"/>
      <x:c r="R226" s="76" t="str"/>
      <x:c r="S226" s="76" t="str"/>
      <x:c r="T226" s="76" t="str"/>
    </x:row>
    <x:row r="227" s="23" customFormat="1" ht="36" customHeight="1">
      <x:c r="A227" s="49" t="b">
        <x:v>0</x:v>
      </x:c>
      <x:c r="B227" s="50" t="str">
        <x:v>221</x:v>
      </x:c>
      <x:c r="C227" s="51" t="str">
        <x:v>Sequel era</x:v>
      </x:c>
      <x:c r="D227" s="51" t="str">
        <x:v>Episode VII: The Force Awakens</x:v>
      </x:c>
      <x:c r="E227" s="50" t="str"/>
      <x:c r="F227" s="51" t="str">
        <x:v>December 18, 2015</x:v>
      </x:c>
      <x:c r="G227" s="51" t="str">
        <x:v>Canon</x:v>
      </x:c>
      <x:c r="H227" s="51" t="str">
        <x:v>Movie</x:v>
      </x:c>
      <x:c r="I227" s="51" t="str">
        <x:v>Disney+</x:v>
      </x:c>
      <x:c r="J227" s="58" t="str"/>
      <x:c r="K227" s="51" t="str"/>
      <x:c r="L227" s="76" t="str"/>
      <x:c r="M227" s="76" t="str"/>
      <x:c r="N227" s="76" t="str"/>
      <x:c r="O227" s="76" t="str"/>
      <x:c r="P227" s="76" t="str"/>
      <x:c r="Q227" s="76" t="str"/>
      <x:c r="R227" s="76" t="str"/>
      <x:c r="S227" s="76" t="str"/>
      <x:c r="T227" s="76" t="str"/>
    </x:row>
    <x:row r="228" s="23" customFormat="1" ht="36" customHeight="1">
      <x:c r="A228" s="49" t="b">
        <x:v>0</x:v>
      </x:c>
      <x:c r="B228" s="50" t="str">
        <x:v>222</x:v>
      </x:c>
      <x:c r="C228" s="51" t="str">
        <x:v>Sequel era</x:v>
      </x:c>
      <x:c r="D228" s="51" t="str">
        <x:v>Forces of Destiny: Sands of Jakku</x:v>
      </x:c>
      <x:c r="E228" s="50" t="str">
        <x:v>Season 1, Episode 1</x:v>
      </x:c>
      <x:c r="F228" s="51" t="str">
        <x:v>July 3, 2017</x:v>
      </x:c>
      <x:c r="G228" s="51" t="str">
        <x:v>Canon</x:v>
      </x:c>
      <x:c r="H228" s="51" t="str">
        <x:v>Short</x:v>
      </x:c>
      <x:c r="I228" s="51" t="str">
        <x:v>Disney+ / official YouTube</x:v>
      </x:c>
      <x:c r="J228" s="58" t="e">
        <x:f>HYPERLINK("https://www.youtube.com/results?search_query=Star%20Wars%20Forces%20of%20Destiny%20Sands%20of%20Jakku%20official","Open")</x:f>
        <x:v>HYPERLINK is not implemented. linkLocation=https://www.youtube.com/results?search_query=Star%20Wars%20Forces%20of%20Destiny%20Sands%20of%20Jakku%20official, friendlyName=Open</x:v>
      </x:c>
      <x:c r="K228" s="51" t="str">
        <x:v>During The Force Awakens</x:v>
      </x:c>
      <x:c r="L228" s="76" t="str"/>
      <x:c r="M228" s="76" t="str"/>
      <x:c r="N228" s="76" t="str"/>
      <x:c r="O228" s="76" t="str"/>
      <x:c r="P228" s="76" t="str"/>
      <x:c r="Q228" s="76" t="str"/>
      <x:c r="R228" s="76" t="str"/>
      <x:c r="S228" s="76" t="str"/>
      <x:c r="T228" s="76" t="str"/>
    </x:row>
    <x:row r="229" s="23" customFormat="1" ht="36" customHeight="1">
      <x:c r="A229" s="49" t="b">
        <x:v>0</x:v>
      </x:c>
      <x:c r="B229" s="50" t="str">
        <x:v>223</x:v>
      </x:c>
      <x:c r="C229" s="51" t="str">
        <x:v>Sequel era</x:v>
      </x:c>
      <x:c r="D229" s="51" t="str">
        <x:v>Forces of Destiny: BB-8 Bandits</x:v>
      </x:c>
      <x:c r="E229" s="50" t="str">
        <x:v>Season 1, Episode 2</x:v>
      </x:c>
      <x:c r="F229" s="51" t="str">
        <x:v>July 4, 2017</x:v>
      </x:c>
      <x:c r="G229" s="51" t="str">
        <x:v>Canon</x:v>
      </x:c>
      <x:c r="H229" s="51" t="str">
        <x:v>Short</x:v>
      </x:c>
      <x:c r="I229" s="51" t="str">
        <x:v>Disney+ / official YouTube</x:v>
      </x:c>
      <x:c r="J229" s="58" t="e">
        <x:f>HYPERLINK("https://www.youtube.com/results?search_query=Star%20Wars%20Forces%20of%20Destiny%20BB-8%20Bandits%20official","Open")</x:f>
        <x:v>HYPERLINK is not implemented. linkLocation=https://www.youtube.com/results?search_query=Star%20Wars%20Forces%20of%20Destiny%20BB-8%20Bandits%20official, friendlyName=Open</x:v>
      </x:c>
      <x:c r="K229" s="51" t="str">
        <x:v>During The Force Awakens</x:v>
      </x:c>
      <x:c r="L229" s="76" t="str"/>
      <x:c r="M229" s="76" t="str"/>
      <x:c r="N229" s="76" t="str"/>
      <x:c r="O229" s="76" t="str"/>
      <x:c r="P229" s="76" t="str"/>
      <x:c r="Q229" s="76" t="str"/>
      <x:c r="R229" s="76" t="str"/>
      <x:c r="S229" s="76" t="str"/>
      <x:c r="T229" s="76" t="str"/>
    </x:row>
    <x:row r="230" s="23" customFormat="1" ht="36" customHeight="1">
      <x:c r="A230" s="49" t="b">
        <x:v>0</x:v>
      </x:c>
      <x:c r="B230" s="50" t="str">
        <x:v>224</x:v>
      </x:c>
      <x:c r="C230" s="51" t="str">
        <x:v>Sequel era</x:v>
      </x:c>
      <x:c r="D230" s="51" t="str">
        <x:v>Forces of Destiny: Tracker Trouble</x:v>
      </x:c>
      <x:c r="E230" s="50" t="str">
        <x:v>Season 1, Episode 9</x:v>
      </x:c>
      <x:c r="F230" s="51" t="str">
        <x:v>October 2, 2017</x:v>
      </x:c>
      <x:c r="G230" s="51" t="str">
        <x:v>Canon</x:v>
      </x:c>
      <x:c r="H230" s="51" t="str">
        <x:v>Short</x:v>
      </x:c>
      <x:c r="I230" s="51" t="str">
        <x:v>Disney+ / official YouTube</x:v>
      </x:c>
      <x:c r="J230" s="58" t="e">
        <x:f>HYPERLINK("https://www.youtube.com/results?search_query=Star%20Wars%20Forces%20of%20Destiny%20Tracker%20Trouble%20official","Open")</x:f>
        <x:v>HYPERLINK is not implemented. linkLocation=https://www.youtube.com/results?search_query=Star%20Wars%20Forces%20of%20Destiny%20Tracker%20Trouble%20official, friendlyName=Open</x:v>
      </x:c>
      <x:c r="K230" s="51" t="str">
        <x:v>During The Force Awakens</x:v>
      </x:c>
      <x:c r="L230" s="76" t="str"/>
      <x:c r="M230" s="76" t="str"/>
      <x:c r="N230" s="76" t="str"/>
      <x:c r="O230" s="76" t="str"/>
      <x:c r="P230" s="76" t="str"/>
      <x:c r="Q230" s="76" t="str"/>
      <x:c r="R230" s="76" t="str"/>
      <x:c r="S230" s="76" t="str"/>
      <x:c r="T230" s="76" t="str"/>
    </x:row>
    <x:row r="231" s="23" customFormat="1" ht="36" customHeight="1">
      <x:c r="A231" s="49" t="b">
        <x:v>0</x:v>
      </x:c>
      <x:c r="B231" s="50" t="str">
        <x:v>225</x:v>
      </x:c>
      <x:c r="C231" s="51" t="str">
        <x:v>Sequel era</x:v>
      </x:c>
      <x:c r="D231" s="51" t="str">
        <x:v>Forces of Destiny: Perilous Pursuit</x:v>
      </x:c>
      <x:c r="E231" s="50" t="str">
        <x:v>Season 2, Episode 14</x:v>
      </x:c>
      <x:c r="F231" s="51" t="str">
        <x:v>May 4, 2018</x:v>
      </x:c>
      <x:c r="G231" s="51" t="str">
        <x:v>Canon</x:v>
      </x:c>
      <x:c r="H231" s="51" t="str">
        <x:v>Short</x:v>
      </x:c>
      <x:c r="I231" s="51" t="str">
        <x:v>Disney+ / official YouTube</x:v>
      </x:c>
      <x:c r="J231" s="58" t="e">
        <x:f>HYPERLINK("https://www.youtube.com/results?search_query=Star%20Wars%20Forces%20of%20Destiny%20Perilous%20Pursuit%20official","Open")</x:f>
        <x:v>HYPERLINK is not implemented. linkLocation=https://www.youtube.com/results?search_query=Star%20Wars%20Forces%20of%20Destiny%20Perilous%20Pursuit%20official, friendlyName=Open</x:v>
      </x:c>
      <x:c r="K231" s="51" t="str">
        <x:v>During The Force Awakens</x:v>
      </x:c>
      <x:c r="L231" s="76" t="str"/>
      <x:c r="M231" s="76" t="str"/>
      <x:c r="N231" s="76" t="str"/>
      <x:c r="O231" s="76" t="str"/>
      <x:c r="P231" s="76" t="str"/>
      <x:c r="Q231" s="76" t="str"/>
      <x:c r="R231" s="76" t="str"/>
      <x:c r="S231" s="76" t="str"/>
      <x:c r="T231" s="76" t="str"/>
    </x:row>
    <x:row r="232" s="23" customFormat="1" ht="36" customHeight="1">
      <x:c r="A232" s="49" t="b">
        <x:v>0</x:v>
      </x:c>
      <x:c r="B232" s="50" t="str">
        <x:v>226</x:v>
      </x:c>
      <x:c r="C232" s="51" t="str">
        <x:v>Sequel era</x:v>
      </x:c>
      <x:c r="D232" s="51" t="str">
        <x:v>Resistance Season 1, Episodes 20–21</x:v>
      </x:c>
      <x:c r="E232" s="50" t="str"/>
      <x:c r="F232" s="51" t="str">
        <x:v>March 17, 2019</x:v>
      </x:c>
      <x:c r="G232" s="51" t="str">
        <x:v>Canon</x:v>
      </x:c>
      <x:c r="H232" s="51" t="str">
        <x:v>Episodes</x:v>
      </x:c>
      <x:c r="I232" s="51" t="str">
        <x:v>Disney+</x:v>
      </x:c>
      <x:c r="J232" s="58" t="str"/>
      <x:c r="K232" s="51" t="str"/>
      <x:c r="L232" s="76" t="str"/>
      <x:c r="M232" s="76" t="str"/>
      <x:c r="N232" s="76" t="str"/>
      <x:c r="O232" s="76" t="str"/>
      <x:c r="P232" s="76" t="str"/>
      <x:c r="Q232" s="76" t="str"/>
      <x:c r="R232" s="76" t="str"/>
      <x:c r="S232" s="76" t="str"/>
      <x:c r="T232" s="76" t="str"/>
    </x:row>
    <x:row r="233" s="23" customFormat="1" ht="36" customHeight="1">
      <x:c r="A233" s="49" t="b">
        <x:v>0</x:v>
      </x:c>
      <x:c r="B233" s="50" t="str">
        <x:v>227</x:v>
      </x:c>
      <x:c r="C233" s="51" t="str">
        <x:v>Sequel era</x:v>
      </x:c>
      <x:c r="D233" s="51" t="str">
        <x:v>Battlefront II: Resurrection</x:v>
      </x:c>
      <x:c r="E233" s="50" t="str"/>
      <x:c r="F233" s="51" t="str">
        <x:v>December 13, 2017</x:v>
      </x:c>
      <x:c r="G233" s="51" t="str">
        <x:v>Canon</x:v>
      </x:c>
      <x:c r="H233" s="51" t="str">
        <x:v>Game movie</x:v>
      </x:c>
      <x:c r="I233" s="51" t="str">
        <x:v>YouTube</x:v>
      </x:c>
      <x:c r="J233" s="58" t="e">
        <x:f>HYPERLINK("https://www.youtube.com/watch?v=mhzAepud5k0","Open")</x:f>
        <x:v>HYPERLINK is not implemented. linkLocation=https://www.youtube.com/watch?v=mhzAepud5k0, friendlyName=Open</x:v>
      </x:c>
      <x:c r="K233" s="51" t="str">
        <x:v>Overlaps The Force Awakens and leads toward The Last Jedi</x:v>
      </x:c>
      <x:c r="L233" s="76" t="str"/>
      <x:c r="M233" s="76" t="str"/>
      <x:c r="N233" s="76" t="str"/>
      <x:c r="O233" s="76" t="str"/>
      <x:c r="P233" s="76" t="str"/>
      <x:c r="Q233" s="76" t="str"/>
      <x:c r="R233" s="76" t="str"/>
      <x:c r="S233" s="76" t="str"/>
      <x:c r="T233" s="76" t="str"/>
    </x:row>
    <x:row r="234" s="23" customFormat="1" ht="36" customHeight="1">
      <x:c r="A234" s="49" t="b">
        <x:v>0</x:v>
      </x:c>
      <x:c r="B234" s="50" t="str">
        <x:v>228</x:v>
      </x:c>
      <x:c r="C234" s="51" t="str">
        <x:v>Sequel era</x:v>
      </x:c>
      <x:c r="D234" s="51" t="str">
        <x:v>Episode VIII: The Last Jedi</x:v>
      </x:c>
      <x:c r="E234" s="50" t="str"/>
      <x:c r="F234" s="51" t="str">
        <x:v>December 15, 2017</x:v>
      </x:c>
      <x:c r="G234" s="51" t="str">
        <x:v>Canon</x:v>
      </x:c>
      <x:c r="H234" s="51" t="str">
        <x:v>Movie</x:v>
      </x:c>
      <x:c r="I234" s="51" t="str">
        <x:v>Disney+</x:v>
      </x:c>
      <x:c r="J234" s="58" t="str"/>
      <x:c r="K234" s="51" t="str"/>
      <x:c r="L234" s="76" t="str"/>
      <x:c r="M234" s="76" t="str"/>
      <x:c r="N234" s="76" t="str"/>
      <x:c r="O234" s="76" t="str"/>
      <x:c r="P234" s="76" t="str"/>
      <x:c r="Q234" s="76" t="str"/>
      <x:c r="R234" s="76" t="str"/>
      <x:c r="S234" s="76" t="str"/>
      <x:c r="T234" s="76" t="str"/>
    </x:row>
    <x:row r="235" s="23" customFormat="1" ht="36" customHeight="1">
      <x:c r="A235" s="49" t="b">
        <x:v>0</x:v>
      </x:c>
      <x:c r="B235" s="50" t="str">
        <x:v>229</x:v>
      </x:c>
      <x:c r="C235" s="51" t="str">
        <x:v>Sequel era</x:v>
      </x:c>
      <x:c r="D235" s="51" t="str">
        <x:v>Forces of Destiny: Shuttle Shock</x:v>
      </x:c>
      <x:c r="E235" s="50" t="str">
        <x:v>Season 2, Episode 3</x:v>
      </x:c>
      <x:c r="F235" s="51" t="str">
        <x:v>March 19, 2018</x:v>
      </x:c>
      <x:c r="G235" s="51" t="str">
        <x:v>Canon</x:v>
      </x:c>
      <x:c r="H235" s="51" t="str">
        <x:v>Short</x:v>
      </x:c>
      <x:c r="I235" s="51" t="str">
        <x:v>Disney+ / official YouTube</x:v>
      </x:c>
      <x:c r="J235" s="58" t="e">
        <x:f>HYPERLINK("https://www.youtube.com/results?search_query=Star%20Wars%20Forces%20of%20Destiny%20Shuttle%20Shock%20official","Open")</x:f>
        <x:v>HYPERLINK is not implemented. linkLocation=https://www.youtube.com/results?search_query=Star%20Wars%20Forces%20of%20Destiny%20Shuttle%20Shock%20official, friendlyName=Open</x:v>
      </x:c>
      <x:c r="K235" s="51" t="str">
        <x:v>During The Last Jedi</x:v>
      </x:c>
      <x:c r="L235" s="76" t="str"/>
      <x:c r="M235" s="76" t="str"/>
      <x:c r="N235" s="76" t="str"/>
      <x:c r="O235" s="76" t="str"/>
      <x:c r="P235" s="76" t="str"/>
      <x:c r="Q235" s="76" t="str"/>
      <x:c r="R235" s="76" t="str"/>
      <x:c r="S235" s="76" t="str"/>
      <x:c r="T235" s="76" t="str"/>
    </x:row>
    <x:row r="236" s="23" customFormat="1" ht="36" customHeight="1">
      <x:c r="A236" s="49" t="b">
        <x:v>0</x:v>
      </x:c>
      <x:c r="B236" s="50" t="str">
        <x:v>230</x:v>
      </x:c>
      <x:c r="C236" s="51" t="str">
        <x:v>Sequel era</x:v>
      </x:c>
      <x:c r="D236" s="51" t="str">
        <x:v>Forces of Destiny: Porg Problems</x:v>
      </x:c>
      <x:c r="E236" s="50" t="str">
        <x:v>Season 2, Episode 8</x:v>
      </x:c>
      <x:c r="F236" s="51" t="str">
        <x:v>March 19, 2018</x:v>
      </x:c>
      <x:c r="G236" s="51" t="str">
        <x:v>Canon</x:v>
      </x:c>
      <x:c r="H236" s="51" t="str">
        <x:v>Short</x:v>
      </x:c>
      <x:c r="I236" s="51" t="str">
        <x:v>Disney+ / official YouTube</x:v>
      </x:c>
      <x:c r="J236" s="58" t="e">
        <x:f>HYPERLINK("https://www.youtube.com/results?search_query=Star%20Wars%20Forces%20of%20Destiny%20Porg%20Problems%20official","Open")</x:f>
        <x:v>HYPERLINK is not implemented. linkLocation=https://www.youtube.com/results?search_query=Star%20Wars%20Forces%20of%20Destiny%20Porg%20Problems%20official, friendlyName=Open</x:v>
      </x:c>
      <x:c r="K236" s="51" t="str">
        <x:v>During The Last Jedi</x:v>
      </x:c>
      <x:c r="L236" s="76" t="str"/>
      <x:c r="M236" s="76" t="str"/>
      <x:c r="N236" s="76" t="str"/>
      <x:c r="O236" s="76" t="str"/>
      <x:c r="P236" s="76" t="str"/>
      <x:c r="Q236" s="76" t="str"/>
      <x:c r="R236" s="76" t="str"/>
      <x:c r="S236" s="76" t="str"/>
      <x:c r="T236" s="76" t="str"/>
    </x:row>
    <x:row r="237" s="23" customFormat="1" ht="36" customHeight="1">
      <x:c r="A237" s="49" t="b">
        <x:v>0</x:v>
      </x:c>
      <x:c r="B237" s="50" t="str">
        <x:v>231</x:v>
      </x:c>
      <x:c r="C237" s="51" t="str">
        <x:v>Sequel era</x:v>
      </x:c>
      <x:c r="D237" s="51" t="str">
        <x:v>Forces of Destiny: Porgs!</x:v>
      </x:c>
      <x:c r="E237" s="50" t="str">
        <x:v>Season 2, Episode 13</x:v>
      </x:c>
      <x:c r="F237" s="51" t="str">
        <x:v>May 4, 2018</x:v>
      </x:c>
      <x:c r="G237" s="51" t="str">
        <x:v>Canon</x:v>
      </x:c>
      <x:c r="H237" s="51" t="str">
        <x:v>Short</x:v>
      </x:c>
      <x:c r="I237" s="51" t="str">
        <x:v>Disney+ / official YouTube</x:v>
      </x:c>
      <x:c r="J237" s="58" t="e">
        <x:f>HYPERLINK("https://www.youtube.com/results?search_query=Star%20Wars%20Forces%20of%20Destiny%20Porgs!%20official","Open")</x:f>
        <x:v>HYPERLINK is not implemented. linkLocation=https://www.youtube.com/results?search_query=Star%20Wars%20Forces%20of%20Destiny%20Porgs!%20official, friendlyName=Open</x:v>
      </x:c>
      <x:c r="K237" s="51" t="str">
        <x:v>During The Last Jedi</x:v>
      </x:c>
      <x:c r="L237" s="76" t="str"/>
      <x:c r="M237" s="76" t="str"/>
      <x:c r="N237" s="76" t="str"/>
      <x:c r="O237" s="76" t="str"/>
      <x:c r="P237" s="76" t="str"/>
      <x:c r="Q237" s="76" t="str"/>
      <x:c r="R237" s="76" t="str"/>
      <x:c r="S237" s="76" t="str"/>
      <x:c r="T237" s="76" t="str"/>
    </x:row>
    <x:row r="238" s="23" customFormat="1" ht="36" customHeight="1">
      <x:c r="A238" s="49" t="b">
        <x:v>0</x:v>
      </x:c>
      <x:c r="B238" s="50" t="str">
        <x:v>232</x:v>
      </x:c>
      <x:c r="C238" s="51" t="str">
        <x:v>Sequel era</x:v>
      </x:c>
      <x:c r="D238" s="51" t="str">
        <x:v>Resistance Season 2</x:v>
      </x:c>
      <x:c r="E238" s="50" t="str"/>
      <x:c r="F238" s="51" t="str">
        <x:v>October 6, 2019–January 26, 2020</x:v>
      </x:c>
      <x:c r="G238" s="51" t="str">
        <x:v>Canon</x:v>
      </x:c>
      <x:c r="H238" s="51" t="str">
        <x:v>Season</x:v>
      </x:c>
      <x:c r="I238" s="51" t="str">
        <x:v>Disney+</x:v>
      </x:c>
      <x:c r="J238" s="58" t="str"/>
      <x:c r="K238" s="51" t="str"/>
      <x:c r="L238" s="76" t="str"/>
      <x:c r="M238" s="76" t="str"/>
      <x:c r="N238" s="76" t="str"/>
      <x:c r="O238" s="76" t="str"/>
      <x:c r="P238" s="76" t="str"/>
      <x:c r="Q238" s="76" t="str"/>
      <x:c r="R238" s="76" t="str"/>
      <x:c r="S238" s="76" t="str"/>
      <x:c r="T238" s="76" t="str"/>
    </x:row>
    <x:row r="239" s="23" customFormat="1" ht="36" customHeight="1">
      <x:c r="A239" s="49" t="b">
        <x:v>0</x:v>
      </x:c>
      <x:c r="B239" s="50" t="str">
        <x:v>233</x:v>
      </x:c>
      <x:c r="C239" s="51" t="str">
        <x:v>Sequel era</x:v>
      </x:c>
      <x:c r="D239" s="51" t="str">
        <x:v>Tales from the Galaxy's Edge</x:v>
      </x:c>
      <x:c r="E239" s="50" t="str"/>
      <x:c r="F239" s="51" t="str">
        <x:v>November 19, 2020</x:v>
      </x:c>
      <x:c r="G239" s="51" t="str">
        <x:v>Canon</x:v>
      </x:c>
      <x:c r="H239" s="51" t="str">
        <x:v>VR game movie</x:v>
      </x:c>
      <x:c r="I239" s="51" t="str">
        <x:v>YouTube</x:v>
      </x:c>
      <x:c r="J239" s="58" t="e">
        <x:f>HYPERLINK("https://www.youtube.com/results?search_query=Star+Wars+Tales+from+the+Galaxy%27s+Edge+full+game+movie+no+commentary","Open")</x:f>
        <x:v>HYPERLINK is not implemented. linkLocation=https://www.youtube.com/results?search_query=Star+Wars+Tales+from+the+Galaxy%27s+Edge+full+game+movie+no+commentary, friendlyName=Open</x:v>
      </x:c>
      <x:c r="K239" s="51" t="str">
        <x:v>Last Call Sept. 15, 2021; Enhanced Edition Feb. 22, 2023</x:v>
      </x:c>
      <x:c r="L239" s="76" t="str"/>
      <x:c r="M239" s="76" t="str"/>
      <x:c r="N239" s="76" t="str"/>
      <x:c r="O239" s="76" t="str"/>
      <x:c r="P239" s="76" t="str"/>
      <x:c r="Q239" s="76" t="str"/>
      <x:c r="R239" s="76" t="str"/>
      <x:c r="S239" s="76" t="str"/>
      <x:c r="T239" s="76" t="str"/>
    </x:row>
    <x:row r="240" s="23" customFormat="1" ht="36" customHeight="1">
      <x:c r="A240" s="49" t="b">
        <x:v>0</x:v>
      </x:c>
      <x:c r="B240" s="50" t="str">
        <x:v>234</x:v>
      </x:c>
      <x:c r="C240" s="51" t="str">
        <x:v>Sequel era</x:v>
      </x:c>
      <x:c r="D240" s="51" t="str">
        <x:v>Episode IX: The Rise of Skywalker</x:v>
      </x:c>
      <x:c r="E240" s="50" t="str"/>
      <x:c r="F240" s="51" t="str">
        <x:v>December 20, 2019</x:v>
      </x:c>
      <x:c r="G240" s="51" t="str">
        <x:v>Canon</x:v>
      </x:c>
      <x:c r="H240" s="51" t="str">
        <x:v>Movie</x:v>
      </x:c>
      <x:c r="I240" s="51" t="str">
        <x:v>Disney+</x:v>
      </x:c>
      <x:c r="J240" s="58" t="str"/>
      <x:c r="K240" s="51" t="str"/>
      <x:c r="L240" s="76" t="str"/>
      <x:c r="M240" s="76" t="str"/>
      <x:c r="N240" s="76" t="str"/>
      <x:c r="O240" s="76" t="str"/>
      <x:c r="P240" s="76" t="str"/>
      <x:c r="Q240" s="76" t="str"/>
      <x:c r="R240" s="76" t="str"/>
      <x:c r="S240" s="76" t="str"/>
      <x:c r="T240" s="76" t="str"/>
    </x:row>
    <x:row r="241" s="23" customFormat="1" ht="36" customHeight="1">
      <x:c r="A241" s="49" t="b">
        <x:v>0</x:v>
      </x:c>
      <x:c r="B241" s="50" t="str">
        <x:v>SWS-035</x:v>
      </x:c>
      <x:c r="C241" s="51" t="str">
        <x:v>Fan chronology — Old Republic</x:v>
      </x:c>
      <x:c r="D241" s="51" t="str">
        <x:v>Star Wars: Darth Revan Learns His True Identity</x:v>
      </x:c>
      <x:c r="E241" s="50" t="str"/>
      <x:c r="F241" s="51" t="str">
        <x:v>Displayed as “1y ago” on October 17, 2026</x:v>
      </x:c>
      <x:c r="G241" s="51" t="str">
        <x:v>Fan-made / non-canon</x:v>
      </x:c>
      <x:c r="H241" s="51" t="str">
        <x:v>AI fan film</x:v>
      </x:c>
      <x:c r="I241" s="51" t="str">
        <x:v>YouTube — Skywalker Stories</x:v>
      </x:c>
      <x:c r="J241" s="58" t="e">
        <x:f>HYPERLINK("https://www.youtube.com/watch?v=IcRO8M_msRo","Open")</x:f>
        <x:v>HYPERLINK is not implemented. linkLocation=https://www.youtube.com/watch?v=IcRO8M_msRo, friendlyName=Open</x:v>
      </x:c>
      <x:c r="K241" s="51" t="str">
        <x:v>Skywalker Stories. During Knights of the Old Republic, around Revan's identity revelation. Placement confidence: High.</x:v>
      </x:c>
      <x:c r="L241" s="76" t="str"/>
      <x:c r="M241" s="76" t="str">
        <x:v>Star Wars: Darth Revan Learns His True Identity</x:v>
      </x:c>
      <x:c r="N241" s="76" t="str"/>
      <x:c r="O241" s="76" t="str"/>
      <x:c r="P241" s="76" t="str"/>
      <x:c r="Q241" s="76" t="str">
        <x:v>Previously verified channel entry</x:v>
      </x:c>
      <x:c r="R241" s="76" t="str"/>
      <x:c r="S241" s="76" t="str"/>
      <x:c r="T241" s="76" t="str"/>
    </x:row>
    <x:row r="242" s="23" customFormat="1" ht="36" customHeight="1">
      <x:c r="A242" s="49" t="b">
        <x:v>0</x:v>
      </x:c>
      <x:c r="B242" s="50" t="str">
        <x:v>FV-0066</x:v>
      </x:c>
      <x:c r="C242" s="51" t="str">
        <x:v>Fan chronology — Old Republic</x:v>
      </x:c>
      <x:c r="D242" s="51" t="str">
        <x:v>Darth Revan vs. Exar Kun — Two Sith Legends Collide * | Episode 1</x:v>
      </x:c>
      <x:c r="E242" s="50" t="str">
        <x:v>Episode 1</x:v>
      </x:c>
      <x:c r="F242" s="51" t="str">
        <x:v>October 8, 2026</x:v>
      </x:c>
      <x:c r="G242" s="51" t="str">
        <x:v>Fan-made / non-canon</x:v>
      </x:c>
      <x:c r="H242" s="51" t="str">
        <x:v>Fan video</x:v>
      </x:c>
      <x:c r="I242" s="51" t="str">
        <x:v>YouTube — search by title</x:v>
      </x:c>
      <x:c r="J242" s="58" t="e">
        <x:f>HYPERLINK("https://www.youtube.com/results?search_query=Darth%20Revan%20vs.%20Exar%20Kun%20%E2%80%94%20Two%20Sith%20Legends%20Collide%20*%20%7C%20Episode%201","Search")</x:f>
        <x:v>HYPERLINK is not implemented. linkLocation=https://www.youtube.com/results?search_query=Darth%20Revan%20vs.%20Exar%20Kun%20%E2%80%94%20Two%20Sith%20Legends%20Collide%20*%20%7C%20Episode%201, friendlyName=Search</x:v>
      </x:c>
      <x:c r="K242" s="51" t="str">
        <x:v>Named ancient-era character, weapon, or fan continuity.</x:v>
      </x:c>
      <x:c r="L242" s="76" t="str">
        <x:v>Darth Revan vs. Exar Kun — Two Sith Legends Collide *</x:v>
      </x:c>
      <x:c r="M242" s="76" t="str">
        <x:v>Darth Revan vs. Exar Kun — Two Sith Legends Collide * | Episode 1</x:v>
      </x:c>
      <x:c r="N242" s="76"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242" s="76" t="str">
        <x:v>Old Republic — ancient Sith/Jedi era</x:v>
      </x:c>
      <x:c r="P242" s="76" t="str">
        <x:v>IMG_6249.PNG</x:v>
      </x:c>
      <x:c r="Q242" s="76" t="str">
        <x:v>OCR extracted / placement assigned</x:v>
      </x:c>
      <x:c r="R242" s="76" t="str">
        <x:v>Medium</x:v>
      </x:c>
      <x:c r="S242" s="76" t="str"/>
      <x:c r="T242" s="76" t="str">
        <x:v>Unique</x:v>
      </x:c>
    </x:row>
    <x:row r="243" s="23" customFormat="1" ht="36" customHeight="1">
      <x:c r="A243" s="49" t="b">
        <x:v>0</x:v>
      </x:c>
      <x:c r="B243" s="50" t="str">
        <x:v>FV-0130</x:v>
      </x:c>
      <x:c r="C243" s="51" t="str">
        <x:v>Fan chronology — Old Republic</x:v>
      </x:c>
      <x:c r="D243" s="51" t="str">
        <x:v>EXAR KUN VS ULIC QEL-DROMA — THE CITADEL BREAKS | UNLEASHED</x:v>
      </x:c>
      <x:c r="E243" s="50" t="str"/>
      <x:c r="F243" s="51" t="str">
        <x:v>October 1, 2026</x:v>
      </x:c>
      <x:c r="G243" s="51" t="str">
        <x:v>Fan-made / non-canon</x:v>
      </x:c>
      <x:c r="H243" s="51" t="str">
        <x:v>Fan video</x:v>
      </x:c>
      <x:c r="I243" s="51" t="str">
        <x:v>YouTube — search by title</x:v>
      </x:c>
      <x:c r="J243" s="58" t="e">
        <x:f>HYPERLINK("https://www.youtube.com/results?search_query=EXAR%20KUN%20VS%20ULIC%20QEL-DROMA%20%E2%80%94%20THE%20CITADEL%20BREAKS%20%7C%20UNLEASHED","Search")</x:f>
        <x:v>HYPERLINK is not implemented. linkLocation=https://www.youtube.com/results?search_query=EXAR%20KUN%20VS%20ULIC%20QEL-DROMA%20%E2%80%94%20THE%20CITADEL%20BREAKS%20%7C%20UNLEASHED, friendlyName=Search</x:v>
      </x:c>
      <x:c r="K243" s="51" t="str">
        <x:v>Named ancient-era character, weapon, or fan continuity.</x:v>
      </x:c>
      <x:c r="L243" s="76" t="str"/>
      <x:c r="M243" s="76" t="str">
        <x:v>EXAR KUN VS ULIC QEL-DROMA — THE CITADEL BREAKS | UNLEASHED</x:v>
      </x:c>
      <x:c r="N243" s="76" t="str">
        <x:v>Two fallen Jedi clash inside an ancient citadel.
Stone shatters, blades collide, and Exar Kun claims
the upper hand.
An imagined cinematic duel inspired by Star Wars
Legends: Tales of the Jedi.
#ExarKun #UlicQelDroma #StarWarsLegends
#TalesOfTheJedi UNLEASHED</x:v>
      </x:c>
      <x:c r="O243" s="76" t="str">
        <x:v>Old Republic — ancient Sith/Jedi era</x:v>
      </x:c>
      <x:c r="P243" s="76" t="str">
        <x:v>IMG_6313.PNG</x:v>
      </x:c>
      <x:c r="Q243" s="76" t="str">
        <x:v>OCR extracted / placement assigned</x:v>
      </x:c>
      <x:c r="R243" s="76" t="str">
        <x:v>Medium</x:v>
      </x:c>
      <x:c r="S243" s="76" t="str"/>
      <x:c r="T243" s="76" t="str">
        <x:v>Unique</x:v>
      </x:c>
    </x:row>
    <x:row r="244" s="23" customFormat="1" ht="36" customHeight="1">
      <x:c r="A244" s="49" t="b">
        <x:v>0</x:v>
      </x:c>
      <x:c r="B244" s="50" t="str">
        <x:v>FV-0133</x:v>
      </x:c>
      <x:c r="C244" s="51" t="str">
        <x:v>Fan chronology — Old Republic</x:v>
      </x:c>
      <x:c r="D244" s="51" t="str">
        <x:v>Exar Kun: They Chose the Wrong Sacrifice 🔥 | Star Wars Legends</x:v>
      </x:c>
      <x:c r="E244" s="50" t="str"/>
      <x:c r="F244" s="51" t="str">
        <x:v>October 1, 2026</x:v>
      </x:c>
      <x:c r="G244" s="51" t="str">
        <x:v>Fan-made / non-canon</x:v>
      </x:c>
      <x:c r="H244" s="51" t="str">
        <x:v>Fan video</x:v>
      </x:c>
      <x:c r="I244" s="51" t="str">
        <x:v>YouTube — search by title</x:v>
      </x:c>
      <x:c r="J244" s="58" t="e">
        <x:f>HYPERLINK("https://www.youtube.com/results?search_query=Exar%20Kun%3A%20They%20Chose%20the%20Wrong%20Sacrifice%20%F0%9F%94%A5%20%7C%20Star%20Wars%20Legends","Search")</x:f>
        <x:v>HYPERLINK is not implemented. linkLocation=https://www.youtube.com/results?search_query=Exar%20Kun%3A%20They%20Chose%20the%20Wrong%20Sacrifice%20%F0%9F%94%A5%20%7C%20Star%20Wars%20Legends, friendlyName=Search</x:v>
      </x:c>
      <x:c r="K244" s="51" t="str">
        <x:v>Named ancient-era character, weapon, or fan continuity.</x:v>
      </x:c>
      <x:c r="L244" s="76" t="str"/>
      <x:c r="M244" s="76" t="str">
        <x:v>Exar Kun: They Chose the Wrong Sacrifice 🔥 | Star Wars Legends</x:v>
      </x:c>
      <x:c r="N244" s="76"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244" s="76" t="str">
        <x:v>Old Republic — ancient Sith/Jedi era</x:v>
      </x:c>
      <x:c r="P244" s="76" t="str">
        <x:v>IMG_6316.PNG</x:v>
      </x:c>
      <x:c r="Q244" s="76" t="str">
        <x:v>OCR extracted / placement assigned</x:v>
      </x:c>
      <x:c r="R244" s="76" t="str">
        <x:v>Medium</x:v>
      </x:c>
      <x:c r="S244" s="76" t="str"/>
      <x:c r="T244" s="76" t="str">
        <x:v>Unique</x:v>
      </x:c>
    </x:row>
    <x:row r="245" s="23" customFormat="1" ht="36" customHeight="1">
      <x:c r="A245" s="49" t="b">
        <x:v>0</x:v>
      </x:c>
      <x:c r="B245" s="50" t="str">
        <x:v>FV-0154</x:v>
      </x:c>
      <x:c r="C245" s="51" t="str">
        <x:v>Fan chronology — Old Republic</x:v>
      </x:c>
      <x:c r="D245" s="51" t="str">
        <x:v>MARKA RAGNOS THE ANCIENT SITH KING | 30-Second Cinematic</x:v>
      </x:c>
      <x:c r="E245" s="50" t="str"/>
      <x:c r="F245" s="51" t="str">
        <x:v>September 29, 2026</x:v>
      </x:c>
      <x:c r="G245" s="51" t="str">
        <x:v>Fan-made / non-canon</x:v>
      </x:c>
      <x:c r="H245" s="51" t="str">
        <x:v>Fan video</x:v>
      </x:c>
      <x:c r="I245" s="51" t="str">
        <x:v>YouTube — search by title</x:v>
      </x:c>
      <x:c r="J245" s="58" t="e">
        <x:f>HYPERLINK("https://www.youtube.com/results?search_query=MARKA%20RAGNOS%20THE%20ANCIENT%20SITH%20KING%20%7C%2030-Second%20Cinematic","Search")</x:f>
        <x:v>HYPERLINK is not implemented. linkLocation=https://www.youtube.com/results?search_query=MARKA%20RAGNOS%20THE%20ANCIENT%20SITH%20KING%20%7C%2030-Second%20Cinematic, friendlyName=Search</x:v>
      </x:c>
      <x:c r="K245" s="51" t="str">
        <x:v>Named ancient-era character, weapon, or fan continuity.</x:v>
      </x:c>
      <x:c r="L245" s="76" t="str"/>
      <x:c r="M245" s="76" t="str">
        <x:v>MARKA RAGNOS THE ANCIENT SITH KING | 30-Second Cinematic</x:v>
      </x:c>
      <x:c r="N245" s="76"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245" s="76" t="str">
        <x:v>Old Republic — ancient Sith/Jedi era</x:v>
      </x:c>
      <x:c r="P245" s="76" t="str">
        <x:v>IMG_6337.PNG</x:v>
      </x:c>
      <x:c r="Q245" s="76" t="str">
        <x:v>OCR extracted / placement assigned</x:v>
      </x:c>
      <x:c r="R245" s="76" t="str">
        <x:v>Medium</x:v>
      </x:c>
      <x:c r="S245" s="76" t="str"/>
      <x:c r="T245" s="76" t="str">
        <x:v>Unique</x:v>
      </x:c>
    </x:row>
    <x:row r="246" s="23" customFormat="1" ht="36" customHeight="1">
      <x:c r="A246" s="49" t="b">
        <x:v>0</x:v>
      </x:c>
      <x:c r="B246" s="50" t="str">
        <x:v>FV-0187</x:v>
      </x:c>
      <x:c r="C246" s="51" t="str">
        <x:v>Fan chronology — Old Republic</x:v>
      </x:c>
      <x:c r="D246" s="51" t="str">
        <x:v>STAR WARS: THE AGE OF THE FORGE — THE SHIELD MASTER * THE UNBROKEN</x:v>
      </x:c>
      <x:c r="E246" s="50" t="str"/>
      <x:c r="F246" s="51" t="str">
        <x:v>September 24, 2026</x:v>
      </x:c>
      <x:c r="G246" s="51" t="str">
        <x:v>Fan-made / non-canon</x:v>
      </x:c>
      <x:c r="H246" s="51" t="str">
        <x:v>Fan video</x:v>
      </x:c>
      <x:c r="I246" s="51" t="str">
        <x:v>YouTube — search by title</x:v>
      </x:c>
      <x:c r="J246" s="58" t="e">
        <x:f>HYPERLINK("https://www.youtube.com/results?search_query=STAR%20WARS%3A%20THE%20AGE%20OF%20THE%20FORGE%20%E2%80%94%20THE%20SHIELD%20MASTER%20*%20THE%20UNBROKEN","Search")</x:f>
        <x:v>HYPERLINK is not implemented. linkLocation=https://www.youtube.com/results?search_query=STAR%20WARS%3A%20THE%20AGE%20OF%20THE%20FORGE%20%E2%80%94%20THE%20SHIELD%20MASTER%20*%20THE%20UNBROKEN, friendlyName=Search</x:v>
      </x:c>
      <x:c r="K246" s="51" t="str">
        <x:v>Named ancient-era character, weapon, or fan continuity.</x:v>
      </x:c>
      <x:c r="L246" s="76" t="str">
        <x:v>The Age of the Forge</x:v>
      </x:c>
      <x:c r="M246" s="76" t="str">
        <x:v>STAR WARS: THE AGE OF THE FORGE — THE SHIELD MASTER * THE UNBROKEN</x:v>
      </x:c>
      <x:c r="N246" s="76" t="str">
        <x:v>Before the lightsaber became a sword, the Force
had many weapons.
Meet THE SHIELD MASTER — an ancient Jedi who
turns defense into a devastating form of attack.
Armed with a circular kyber shield and a short blue
lightsaber, she faces three black-armored Sith
warriors inside a crumbling fortress.
Red blades strike. Stone falls. The shield always
returns.
And when the enemy finally breaks through her
defenses, they discover why she is called THE
UNBROKEN.</x:v>
      </x:c>
      <x:c r="O246" s="76" t="str">
        <x:v>Old Republic — ancient Sith/Jedi era</x:v>
      </x:c>
      <x:c r="P246" s="76" t="str">
        <x:v>IMG_6370.PNG</x:v>
      </x:c>
      <x:c r="Q246" s="76" t="str">
        <x:v>OCR extracted / placement assigned</x:v>
      </x:c>
      <x:c r="R246" s="76" t="str">
        <x:v>Medium</x:v>
      </x:c>
      <x:c r="S246" s="76" t="str"/>
      <x:c r="T246" s="76" t="str">
        <x:v>Unique</x:v>
      </x:c>
    </x:row>
    <x:row r="247" s="23" customFormat="1" ht="36" customHeight="1">
      <x:c r="A247" s="49" t="b">
        <x:v>0</x:v>
      </x:c>
      <x:c r="B247" s="50" t="str">
        <x:v>FV-0190</x:v>
      </x:c>
      <x:c r="C247" s="51" t="str">
        <x:v>Fan chronology — Old Republic</x:v>
      </x:c>
      <x:c r="D247" s="51" t="str">
        <x:v>STAR WARS: THE AGE OF THE FORGE — THE SPEAR MASTER *~</x:v>
      </x:c>
      <x:c r="E247" s="50" t="str"/>
      <x:c r="F247" s="51" t="str">
        <x:v>September 23, 2026</x:v>
      </x:c>
      <x:c r="G247" s="51" t="str">
        <x:v>Fan-made / non-canon</x:v>
      </x:c>
      <x:c r="H247" s="51" t="str">
        <x:v>Fan video</x:v>
      </x:c>
      <x:c r="I247" s="51" t="str">
        <x:v>YouTube — search by title</x:v>
      </x:c>
      <x:c r="J247" s="58" t="e">
        <x:f>HYPERLINK("https://www.youtube.com/results?search_query=STAR%20WARS%3A%20THE%20AGE%20OF%20THE%20FORGE%20%E2%80%94%20THE%20SPEAR%20MASTER%20*~","Search")</x:f>
        <x:v>HYPERLINK is not implemented. linkLocation=https://www.youtube.com/results?search_query=STAR%20WARS%3A%20THE%20AGE%20OF%20THE%20FORGE%20%E2%80%94%20THE%20SPEAR%20MASTER%20*~, friendlyName=Search</x:v>
      </x:c>
      <x:c r="K247" s="51" t="str">
        <x:v>Named ancient-era character, weapon, or fan continuity.</x:v>
      </x:c>
      <x:c r="L247" s="76" t="str">
        <x:v>The Age of the Forge</x:v>
      </x:c>
      <x:c r="M247" s="76" t="str">
        <x:v>STAR WARS: THE AGE OF THE FORGE — THE SPEAR MASTER *~</x:v>
      </x:c>
      <x:c r="N247" s="76" t="str">
        <x:v>Before every Jedi carried a lightsaber sword, there
were masters who forged the Force into weapons of
war.
On an ancient stone bridge, three Sith warriors
confront a Jedi armed with something they have
never faced before—a green lightsaber spear.
Reach. Precision. Speed. The Force.
Three red blades against one ancient Jedi weapon.
Welcome to THE AGE OF THE FORGE, a new
Unleashed series exploring legendary kyber
weapons and forgotten Jedi fighting disciplines.
Which ancient liaghtsaber weapon should we unleash</x:v>
      </x:c>
      <x:c r="O247" s="76" t="str">
        <x:v>Old Republic — ancient Sith/Jedi era</x:v>
      </x:c>
      <x:c r="P247" s="76" t="str">
        <x:v>IMG_6373.PNG</x:v>
      </x:c>
      <x:c r="Q247" s="76" t="str">
        <x:v>OCR extracted / placement assigned</x:v>
      </x:c>
      <x:c r="R247" s="76" t="str">
        <x:v>Medium</x:v>
      </x:c>
      <x:c r="S247" s="76" t="str"/>
      <x:c r="T247" s="76" t="str">
        <x:v>Unique</x:v>
      </x:c>
    </x:row>
    <x:row r="248" s="23" customFormat="1" ht="36" customHeight="1">
      <x:c r="A248" s="49" t="b">
        <x:v>0</x:v>
      </x:c>
      <x:c r="B248" s="50" t="str">
        <x:v>FV-0189</x:v>
      </x:c>
      <x:c r="C248" s="51" t="str">
        <x:v>Fan chronology — Old Republic</x:v>
      </x:c>
      <x:c r="D248" s="51" t="str">
        <x:v>STAR WARS: THE AGE OF THE FORGE — THE WARHAMMER MASTER “</x:v>
      </x:c>
      <x:c r="E248" s="50" t="str"/>
      <x:c r="F248" s="51" t="str">
        <x:v>September 23, 2026</x:v>
      </x:c>
      <x:c r="G248" s="51" t="str">
        <x:v>Fan-made / non-canon</x:v>
      </x:c>
      <x:c r="H248" s="51" t="str">
        <x:v>Fan video</x:v>
      </x:c>
      <x:c r="I248" s="51" t="str">
        <x:v>YouTube — search by title</x:v>
      </x:c>
      <x:c r="J248" s="58" t="e">
        <x:f>HYPERLINK("https://www.youtube.com/results?search_query=STAR%20WARS%3A%20THE%20AGE%20OF%20THE%20FORGE%20%E2%80%94%20THE%20WARHAMMER%20MASTER%20%E2%80%9C","Search")</x:f>
        <x:v>HYPERLINK is not implemented. linkLocation=https://www.youtube.com/results?search_query=STAR%20WARS%3A%20THE%20AGE%20OF%20THE%20FORGE%20%E2%80%94%20THE%20WARHAMMER%20MASTER%20%E2%80%9C, friendlyName=Search</x:v>
      </x:c>
      <x:c r="K248" s="51" t="str">
        <x:v>Named ancient-era character, weapon, or fan continuity.</x:v>
      </x:c>
      <x:c r="L248" s="76" t="str">
        <x:v>The Age of the Forge</x:v>
      </x:c>
      <x:c r="M248" s="76" t="str">
        <x:v>STAR WARS: THE AGE OF THE FORGE — THE WARHAMMER MASTER “</x:v>
      </x:c>
      <x:c r="N248" s="76" t="str">
        <x:v>Before the lightsaber became the weapon of choice,
ancient Jedi forged weapons for an entirely
different kind of war.
When an enormous siege droid tears through the
battlefield, one Jedi steps forward carrying a
weapon unlike anything the enemy has faced
before.
A two-handed kyber warhammer.
Every strike carries the power of the Force. Every
impact shakes the battlefield.
Steel meets plasma. Machines meet their match.
Welcome to THE AGE OF THE FORGE — an original</x:v>
      </x:c>
      <x:c r="O248" s="76" t="str">
        <x:v>Old Republic — ancient Sith/Jedi era</x:v>
      </x:c>
      <x:c r="P248" s="76" t="str">
        <x:v>IMG_6372.PNG</x:v>
      </x:c>
      <x:c r="Q248" s="76" t="str">
        <x:v>OCR extracted / placement assigned</x:v>
      </x:c>
      <x:c r="R248" s="76" t="str">
        <x:v>Medium</x:v>
      </x:c>
      <x:c r="S248" s="76" t="str"/>
      <x:c r="T248" s="76" t="str">
        <x:v>Unique</x:v>
      </x:c>
    </x:row>
    <x:row r="249" s="23" customFormat="1" ht="36" customHeight="1">
      <x:c r="A249" s="49" t="b">
        <x:v>0</x:v>
      </x:c>
      <x:c r="B249" s="50" t="str">
        <x:v>FV-0324</x:v>
      </x:c>
      <x:c r="C249" s="51" t="str">
        <x:v>Fan chronology — Old Republic</x:v>
      </x:c>
      <x:c r="D249" s="51" t="str">
        <x:v>The Forcesaber Has a Terrifying Price @ | Ancient Star Wars</x:v>
      </x:c>
      <x:c r="E249" s="50" t="str"/>
      <x:c r="F249" s="51" t="str">
        <x:v>August 29, 2026</x:v>
      </x:c>
      <x:c r="G249" s="51" t="str">
        <x:v>Fan-made / non-canon</x:v>
      </x:c>
      <x:c r="H249" s="51" t="str">
        <x:v>Fan video</x:v>
      </x:c>
      <x:c r="I249" s="51" t="str">
        <x:v>YouTube — search by title</x:v>
      </x:c>
      <x:c r="J249" s="58" t="e">
        <x:f>HYPERLINK("https://www.youtube.com/results?search_query=The%20Forcesaber%20Has%20a%20Terrifying%20Price%20%40%20%7C%20Ancient%20Star%20Wars","Search")</x:f>
        <x:v>HYPERLINK is not implemented. linkLocation=https://www.youtube.com/results?search_query=The%20Forcesaber%20Has%20a%20Terrifying%20Price%20%40%20%7C%20Ancient%20Star%20Wars, friendlyName=Search</x:v>
      </x:c>
      <x:c r="K249" s="51" t="str">
        <x:v>Named ancient-era character, weapon, or fan continuity.</x:v>
      </x:c>
      <x:c r="L249" s="76" t="str"/>
      <x:c r="M249" s="76" t="str">
        <x:v>The Forcesaber Has a Terrifying Price @ | Ancient Star Wars</x:v>
      </x:c>
      <x:c r="N249" s="76"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249" s="76" t="str">
        <x:v>Old Republic — ancient Sith/Jedi era</x:v>
      </x:c>
      <x:c r="P249" s="76" t="str">
        <x:v>IMG_6510.PNG</x:v>
      </x:c>
      <x:c r="Q249" s="76" t="str">
        <x:v>OCR extracted / placement assigned</x:v>
      </x:c>
      <x:c r="R249" s="76" t="str">
        <x:v>Medium</x:v>
      </x:c>
      <x:c r="S249" s="76" t="str"/>
      <x:c r="T249" s="76" t="str">
        <x:v>Unique</x:v>
      </x:c>
    </x:row>
    <x:row r="250" s="23" customFormat="1" ht="36" customHeight="1">
      <x:c r="A250" s="49" t="b">
        <x:v>0</x:v>
      </x:c>
      <x:c r="B250" s="50" t="str">
        <x:v>FV-0327</x:v>
      </x:c>
      <x:c r="C250" s="51" t="str">
        <x:v>Fan chronology — Old Republic</x:v>
      </x:c>
      <x:c r="D250" s="51" t="str">
        <x:v>The Forcesaber Needed the Dark Side to Awaken é | Ancient Star Wars</x:v>
      </x:c>
      <x:c r="E250" s="50" t="str"/>
      <x:c r="F250" s="51" t="str">
        <x:v>August 29, 2026</x:v>
      </x:c>
      <x:c r="G250" s="51" t="str">
        <x:v>Fan-made / non-canon</x:v>
      </x:c>
      <x:c r="H250" s="51" t="str">
        <x:v>Fan video</x:v>
      </x:c>
      <x:c r="I250" s="51" t="str">
        <x:v>YouTube — search by title</x:v>
      </x:c>
      <x:c r="J250" s="58" t="e">
        <x:f>HYPERLINK("https://www.youtube.com/results?search_query=The%20Forcesaber%20Needed%20the%20Dark%20Side%20to%20Awaken%20%C3%A9%20%7C%20Ancient%20Star%20Wars","Search")</x:f>
        <x:v>HYPERLINK is not implemented. linkLocation=https://www.youtube.com/results?search_query=The%20Forcesaber%20Needed%20the%20Dark%20Side%20to%20Awaken%20%C3%A9%20%7C%20Ancient%20Star%20Wars, friendlyName=Search</x:v>
      </x:c>
      <x:c r="K250" s="51" t="str">
        <x:v>Named ancient-era character, weapon, or fan continuity.</x:v>
      </x:c>
      <x:c r="L250" s="76" t="str"/>
      <x:c r="M250" s="76" t="str">
        <x:v>The Forcesaber Needed the Dark Side to Awaken é | Ancient Star Wars</x:v>
      </x:c>
      <x:c r="N250" s="76"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250" s="76" t="str">
        <x:v>Old Republic — ancient Sith/Jedi era</x:v>
      </x:c>
      <x:c r="P250" s="76" t="str">
        <x:v>IMG_6513.PNG</x:v>
      </x:c>
      <x:c r="Q250" s="76" t="str">
        <x:v>OCR extracted / placement assigned</x:v>
      </x:c>
      <x:c r="R250" s="76" t="str">
        <x:v>Medium</x:v>
      </x:c>
      <x:c r="S250" s="76" t="str"/>
      <x:c r="T250" s="76" t="str">
        <x:v>Unique</x:v>
      </x:c>
    </x:row>
    <x:row r="251" s="23" customFormat="1" ht="36" customHeight="1">
      <x:c r="A251" s="49" t="b">
        <x:v>0</x:v>
      </x:c>
      <x:c r="B251" s="50" t="str">
        <x:v>FV-0402</x:v>
      </x:c>
      <x:c r="C251" s="51" t="str">
        <x:v>Fan chronology — Old Republic</x:v>
      </x:c>
      <x:c r="D251" s="51" t="str">
        <x:v>Darth Bane — The Rule of Two</x:v>
      </x:c>
      <x:c r="E251" s="50" t="str"/>
      <x:c r="F251" s="51" t="str">
        <x:v>August 22, 2026</x:v>
      </x:c>
      <x:c r="G251" s="51" t="str">
        <x:v>Fan-made / non-canon</x:v>
      </x:c>
      <x:c r="H251" s="51" t="str">
        <x:v>Fan video</x:v>
      </x:c>
      <x:c r="I251" s="51" t="str">
        <x:v>YouTube — search by title</x:v>
      </x:c>
      <x:c r="J251" s="58" t="e">
        <x:f>HYPERLINK("https://www.youtube.com/results?search_query=Darth%20Bane%20%E2%80%94%20The%20Rule%20of%20Two","Search")</x:f>
        <x:v>HYPERLINK is not implemented. linkLocation=https://www.youtube.com/results?search_query=Darth%20Bane%20%E2%80%94%20The%20Rule%20of%20Two, friendlyName=Search</x:v>
      </x:c>
      <x:c r="K251" s="51" t="str">
        <x:v>Around 1,000 BBY, after the fall of the Brotherhood of Darkness.</x:v>
      </x:c>
      <x:c r="L251" s="76" t="str"/>
      <x:c r="M251" s="76" t="str">
        <x:v>Darth Bane — The Rule of Two</x:v>
      </x:c>
      <x:c r="N251" s="76"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251" s="76" t="str">
        <x:v>Old Republic — Darth Bane / Rule of Two transition</x:v>
      </x:c>
      <x:c r="P251" s="76" t="str">
        <x:v>IMG_6588.PNG, IMG_6765.PNG</x:v>
      </x:c>
      <x:c r="Q251" s="76" t="str">
        <x:v>OCR extracted / placement assigned</x:v>
      </x:c>
      <x:c r="R251" s="76" t="str">
        <x:v>High</x:v>
      </x:c>
      <x:c r="S251" s="76" t="str"/>
      <x:c r="T251" s="76" t="str">
        <x:v>Primary — DUP-008</x:v>
      </x:c>
    </x:row>
    <x:row r="252" s="23" customFormat="1" ht="36" customHeight="1">
      <x:c r="A252" s="49" t="b">
        <x:v>0</x:v>
      </x:c>
      <x:c r="B252" s="50" t="str">
        <x:v>FV-0549</x:v>
      </x:c>
      <x:c r="C252" s="51" t="str">
        <x:v>Fan chronology — Old Republic</x:v>
      </x:c>
      <x:c r="D252" s="51" t="str">
        <x:v>Darth Bane — They Surrounded the Wrong Sith | Cinematic</x:v>
      </x:c>
      <x:c r="E252" s="50" t="str"/>
      <x:c r="F252" s="51" t="str">
        <x:v>August 20, 2026</x:v>
      </x:c>
      <x:c r="G252" s="51" t="str">
        <x:v>Fan-made / non-canon</x:v>
      </x:c>
      <x:c r="H252" s="51" t="str">
        <x:v>Fan video</x:v>
      </x:c>
      <x:c r="I252" s="51" t="str">
        <x:v>YouTube — search by title</x:v>
      </x:c>
      <x:c r="J252" s="58" t="e">
        <x:f>HYPERLINK("https://www.youtube.com/results?search_query=Darth%20Bane%20%E2%80%94%20They%20Surrounded%20the%20Wrong%20Sith%20%7C%20Cinematic","Search")</x:f>
        <x:v>HYPERLINK is not implemented. linkLocation=https://www.youtube.com/results?search_query=Darth%20Bane%20%E2%80%94%20They%20Surrounded%20the%20Wrong%20Sith%20%7C%20Cinematic, friendlyName=Search</x:v>
      </x:c>
      <x:c r="K252" s="51" t="str">
        <x:v>Around 1,000 BBY, after the fall of the Brotherhood of Darkness.</x:v>
      </x:c>
      <x:c r="L252" s="76" t="str"/>
      <x:c r="M252" s="76" t="str">
        <x:v>Darth Bane — They Surrounded the Wrong Sith | Cinematic</x:v>
      </x:c>
      <x:c r="N252" s="76"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252" s="76" t="str">
        <x:v>Old Republic — Darth Bane / Rule of Two transition</x:v>
      </x:c>
      <x:c r="P252" s="76" t="str">
        <x:v>IMG_6739.PNG</x:v>
      </x:c>
      <x:c r="Q252" s="76" t="str">
        <x:v>OCR extracted / placement assigned</x:v>
      </x:c>
      <x:c r="R252" s="76" t="str">
        <x:v>High</x:v>
      </x:c>
      <x:c r="S252" s="76" t="str"/>
      <x:c r="T252" s="76" t="str">
        <x:v>Unique</x:v>
      </x:c>
    </x:row>
    <x:row r="253" s="23" customFormat="1" ht="36" customHeight="1">
      <x:c r="A253" s="49" t="b">
        <x:v>0</x:v>
      </x:c>
      <x:c r="B253" s="50" t="str">
        <x:v>FV-0339</x:v>
      </x:c>
      <x:c r="C253" s="51" t="str">
        <x:v>Fan chronology — Old Republic</x:v>
      </x:c>
      <x:c r="D253" s="51" t="str">
        <x:v>DARTH BANE &amp; DARTH ZANNAH -— The Rule of Two Begins | Episode 1</x:v>
      </x:c>
      <x:c r="E253" s="50" t="str">
        <x:v>Episode 1</x:v>
      </x:c>
      <x:c r="F253" s="51" t="str">
        <x:v>August 28, 2026</x:v>
      </x:c>
      <x:c r="G253" s="51" t="str">
        <x:v>Fan-made / non-canon</x:v>
      </x:c>
      <x:c r="H253" s="51" t="str">
        <x:v>Fan video</x:v>
      </x:c>
      <x:c r="I253" s="51" t="str">
        <x:v>YouTube — search by title</x:v>
      </x:c>
      <x:c r="J253" s="58" t="e">
        <x:f>HYPERLINK("https://www.youtube.com/results?search_query=DARTH%20BANE%20%26%20DARTH%20ZANNAH%20-%E2%80%94%20The%20Rule%20of%20Two%20Begins%20%7C%20Episode%201","Search")</x:f>
        <x:v>HYPERLINK is not implemented. linkLocation=https://www.youtube.com/results?search_query=DARTH%20BANE%20%26%20DARTH%20ZANNAH%20-%E2%80%94%20The%20Rule%20of%20Two%20Begins%20%7C%20Episode%201, friendlyName=Search</x:v>
      </x:c>
      <x:c r="K253" s="51" t="str">
        <x:v>Around 1,000 BBY, after the fall of the Brotherhood of Darkness.</x:v>
      </x:c>
      <x:c r="L253" s="76" t="str">
        <x:v>DARTH BANE &amp; DARTH ZANNAH -— The Rule of Two Begins</x:v>
      </x:c>
      <x:c r="M253" s="76" t="str">
        <x:v>DARTH BANE &amp; DARTH ZANNAH -— The Rule of Two Begins | Episode 1</x:v>
      </x:c>
      <x:c r="N253" s="76"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253" s="76" t="str">
        <x:v>Old Republic — Darth Bane / Rule of Two transition</x:v>
      </x:c>
      <x:c r="P253" s="76" t="str">
        <x:v>IMG_6525.PNG</x:v>
      </x:c>
      <x:c r="Q253" s="76" t="str">
        <x:v>OCR extracted / placement assigned</x:v>
      </x:c>
      <x:c r="R253" s="76" t="str">
        <x:v>High</x:v>
      </x:c>
      <x:c r="S253" s="76" t="str"/>
      <x:c r="T253" s="76" t="str">
        <x:v>Unique</x:v>
      </x:c>
    </x:row>
    <x:row r="254" s="23" customFormat="1" ht="36" customHeight="1">
      <x:c r="A254" s="49" t="b">
        <x:v>0</x:v>
      </x:c>
      <x:c r="B254" s="50" t="str">
        <x:v>FV-0062</x:v>
      </x:c>
      <x:c r="C254" s="51" t="str">
        <x:v>Fan chronology — Old Republic</x:v>
      </x:c>
      <x:c r="D254" s="51" t="str">
        <x:v>Darth Bane &amp; Darth Zannah — Episode 6 | She Turns Fear Into a Weapon</x:v>
      </x:c>
      <x:c r="E254" s="50" t="str">
        <x:v>Episode 6</x:v>
      </x:c>
      <x:c r="F254" s="51" t="str">
        <x:v>October 9, 2026</x:v>
      </x:c>
      <x:c r="G254" s="51" t="str">
        <x:v>Fan-made / non-canon</x:v>
      </x:c>
      <x:c r="H254" s="51" t="str">
        <x:v>Fan video</x:v>
      </x:c>
      <x:c r="I254" s="51" t="str">
        <x:v>YouTube — search by title</x:v>
      </x:c>
      <x:c r="J254" s="58" t="e">
        <x:f>HYPERLINK("https://www.youtube.com/results?search_query=Darth%20Bane%20%26%20Darth%20Zannah%20%E2%80%94%20Episode%206%20%7C%20She%20Turns%20Fear%20Into%20a%20Weapon","Search")</x:f>
        <x:v>HYPERLINK is not implemented. linkLocation=https://www.youtube.com/results?search_query=Darth%20Bane%20%26%20Darth%20Zannah%20%E2%80%94%20Episode%206%20%7C%20She%20Turns%20Fear%20Into%20a%20Weapon, friendlyName=Search</x:v>
      </x:c>
      <x:c r="K254" s="51" t="str">
        <x:v>Around 1,000 BBY, after the fall of the Brotherhood of Darkness.</x:v>
      </x:c>
      <x:c r="L254" s="76" t="str">
        <x:v>Darth Bane &amp; Darth Zannah</x:v>
      </x:c>
      <x:c r="M254" s="76" t="str">
        <x:v>Darth Bane &amp; Darth Zannah — Episode 6 | She Turns Fear Into a Weapon</x:v>
      </x:c>
      <x:c r="N254" s="76"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254" s="76" t="str">
        <x:v>Old Republic — Darth Bane / Rule of Two transition</x:v>
      </x:c>
      <x:c r="P254" s="76" t="str">
        <x:v>IMG_6245.PNG</x:v>
      </x:c>
      <x:c r="Q254" s="76" t="str">
        <x:v>OCR extracted / placement assigned</x:v>
      </x:c>
      <x:c r="R254" s="76" t="str">
        <x:v>High</x:v>
      </x:c>
      <x:c r="S254" s="76" t="str"/>
      <x:c r="T254" s="76" t="str">
        <x:v>Unique</x:v>
      </x:c>
    </x:row>
    <x:row r="255" s="23" customFormat="1" ht="36" customHeight="1">
      <x:c r="A255" s="49" t="b">
        <x:v>0</x:v>
      </x:c>
      <x:c r="B255" s="50" t="str">
        <x:v>FV-0076</x:v>
      </x:c>
      <x:c r="C255" s="51" t="str">
        <x:v>Fan chronology — Old Republic</x:v>
      </x:c>
      <x:c r="D255" s="51" t="str">
        <x:v>Darth Bane &amp; Darth Zannah | Drew Karpyshyn’s Darth Bane Trilogy Inspired | Episode 4</x:v>
      </x:c>
      <x:c r="E255" s="50" t="str">
        <x:v>Episode 4</x:v>
      </x:c>
      <x:c r="F255" s="51" t="str">
        <x:v>October 6, 2026</x:v>
      </x:c>
      <x:c r="G255" s="51" t="str">
        <x:v>Fan-made / non-canon</x:v>
      </x:c>
      <x:c r="H255" s="51" t="str">
        <x:v>Fan video</x:v>
      </x:c>
      <x:c r="I255" s="51" t="str">
        <x:v>YouTube — search by title</x:v>
      </x:c>
      <x:c r="J255" s="58" t="e">
        <x:f>HYPERLINK("https://www.youtube.com/results?search_query=Darth%20Bane%20%26%20Darth%20Zannah%20%7C%20Drew%20Karpyshyn%E2%80%99s%20Darth%20Bane%20Trilogy%20Inspired%20%7C%20Episode%204","Search")</x:f>
        <x:v>HYPERLINK is not implemented. linkLocation=https://www.youtube.com/results?search_query=Darth%20Bane%20%26%20Darth%20Zannah%20%7C%20Drew%20Karpyshyn%E2%80%99s%20Darth%20Bane%20Trilogy%20Inspired%20%7C%20Episode%204, friendlyName=Search</x:v>
      </x:c>
      <x:c r="K255" s="51" t="str">
        <x:v>Around 1,000 BBY, after the fall of the Brotherhood of Darkness.</x:v>
      </x:c>
      <x:c r="L255" s="76" t="str">
        <x:v>Darth Bane Trilogy</x:v>
      </x:c>
      <x:c r="M255" s="76" t="str">
        <x:v>Darth Bane &amp; Darth Zannah | Drew Karpyshyn’s Darth Bane Trilogy Inspired | Episode 4</x:v>
      </x:c>
      <x:c r="N255" s="76"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255" s="76" t="str">
        <x:v>Old Republic — Darth Bane / Rule of Two transition</x:v>
      </x:c>
      <x:c r="P255" s="76" t="str">
        <x:v>IMG_6259.PNG</x:v>
      </x:c>
      <x:c r="Q255" s="76" t="str">
        <x:v>OCR extracted / placement assigned</x:v>
      </x:c>
      <x:c r="R255" s="76" t="str">
        <x:v>High</x:v>
      </x:c>
      <x:c r="S255" s="76" t="str"/>
      <x:c r="T255" s="76" t="str">
        <x:v>Unique</x:v>
      </x:c>
    </x:row>
    <x:row r="256" s="23" customFormat="1" ht="36" customHeight="1">
      <x:c r="A256" s="49" t="b">
        <x:v>0</x:v>
      </x:c>
      <x:c r="B256" s="50" t="str">
        <x:v>FV-0046</x:v>
      </x:c>
      <x:c r="C256" s="51" t="str">
        <x:v>Fan chronology — Old Republic</x:v>
      </x:c>
      <x:c r="D256" s="51" t="str">
        <x:v>Darth Bane &amp; Darth Zannah | Episode 7: The Castle Trap</x:v>
      </x:c>
      <x:c r="E256" s="50" t="str">
        <x:v>Episode 7</x:v>
      </x:c>
      <x:c r="F256" s="51" t="str">
        <x:v>October 11, 2026</x:v>
      </x:c>
      <x:c r="G256" s="51" t="str">
        <x:v>Fan-made / non-canon</x:v>
      </x:c>
      <x:c r="H256" s="51" t="str">
        <x:v>Fan video</x:v>
      </x:c>
      <x:c r="I256" s="51" t="str">
        <x:v>YouTube — search by title</x:v>
      </x:c>
      <x:c r="J256" s="58" t="e">
        <x:f>HYPERLINK("https://www.youtube.com/results?search_query=Darth%20Bane%20%26%20Darth%20Zannah%20%7C%20Episode%207%3A%20The%20Castle%20Trap","Search")</x:f>
        <x:v>HYPERLINK is not implemented. linkLocation=https://www.youtube.com/results?search_query=Darth%20Bane%20%26%20Darth%20Zannah%20%7C%20Episode%207%3A%20The%20Castle%20Trap, friendlyName=Search</x:v>
      </x:c>
      <x:c r="K256" s="51" t="str">
        <x:v>Around 1,000 BBY, after the fall of the Brotherhood of Darkness.</x:v>
      </x:c>
      <x:c r="L256" s="76" t="str">
        <x:v>Darth Bane &amp; Darth Zannah</x:v>
      </x:c>
      <x:c r="M256" s="76" t="str">
        <x:v>Darth Bane &amp; Darth Zannah | Episode 7: The Castle Trap</x:v>
      </x:c>
      <x:c r="N256" s="76"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256" s="76" t="str">
        <x:v>Old Republic — Darth Bane / Rule of Two transition</x:v>
      </x:c>
      <x:c r="P256" s="76" t="str">
        <x:v>IMG_6229.PNG</x:v>
      </x:c>
      <x:c r="Q256" s="76" t="str">
        <x:v>OCR extracted / placement assigned</x:v>
      </x:c>
      <x:c r="R256" s="76" t="str">
        <x:v>High</x:v>
      </x:c>
      <x:c r="S256" s="76" t="str"/>
      <x:c r="T256" s="76" t="str">
        <x:v>Unique</x:v>
      </x:c>
    </x:row>
    <x:row r="257" s="23" customFormat="1" ht="36" customHeight="1">
      <x:c r="A257" s="49" t="b">
        <x:v>0</x:v>
      </x:c>
      <x:c r="B257" s="50" t="str">
        <x:v>FV-0272</x:v>
      </x:c>
      <x:c r="C257" s="51" t="str">
        <x:v>Fan chronology — Old Republic</x:v>
      </x:c>
      <x:c r="D257" s="51" t="str">
        <x:v>Darth Bane &amp; Darth Zannah: She Made Them See Their Own Death | Episode 2</x:v>
      </x:c>
      <x:c r="E257" s="50" t="str">
        <x:v>Episode 2</x:v>
      </x:c>
      <x:c r="F257" s="51" t="str">
        <x:v>September 3, 2026</x:v>
      </x:c>
      <x:c r="G257" s="51" t="str">
        <x:v>Fan-made / non-canon</x:v>
      </x:c>
      <x:c r="H257" s="51" t="str">
        <x:v>Fan video</x:v>
      </x:c>
      <x:c r="I257" s="51" t="str">
        <x:v>YouTube — search by title</x:v>
      </x:c>
      <x:c r="J257" s="58" t="e">
        <x:f>HYPERLINK("https://www.youtube.com/results?search_query=Darth%20Bane%20%26%20Darth%20Zannah%3A%20She%20Made%20Them%20See%20Their%20Own%20Death%20%7C%20Episode%202","Search")</x:f>
        <x:v>HYPERLINK is not implemented. linkLocation=https://www.youtube.com/results?search_query=Darth%20Bane%20%26%20Darth%20Zannah%3A%20She%20Made%20Them%20See%20Their%20Own%20Death%20%7C%20Episode%202, friendlyName=Search</x:v>
      </x:c>
      <x:c r="K257" s="51" t="str">
        <x:v>Around 1,000 BBY, after the fall of the Brotherhood of Darkness.</x:v>
      </x:c>
      <x:c r="L257" s="76" t="str">
        <x:v>Darth Bane &amp; Darth Zannah: She Made Them See Their Own Death</x:v>
      </x:c>
      <x:c r="M257" s="76" t="str">
        <x:v>Darth Bane &amp; Darth Zannah: She Made Them See Their Own Death | Episode 2</x:v>
      </x:c>
      <x:c r="N257" s="76"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257" s="76" t="str">
        <x:v>Old Republic — Darth Bane / Rule of Two transition</x:v>
      </x:c>
      <x:c r="P257" s="76" t="str">
        <x:v>IMG_6457.PNG</x:v>
      </x:c>
      <x:c r="Q257" s="76" t="str">
        <x:v>OCR extracted / placement assigned</x:v>
      </x:c>
      <x:c r="R257" s="76" t="str">
        <x:v>High</x:v>
      </x:c>
      <x:c r="S257" s="76" t="str"/>
      <x:c r="T257" s="76" t="str">
        <x:v>Unique</x:v>
      </x:c>
    </x:row>
    <x:row r="258" s="23" customFormat="1" ht="36" customHeight="1">
      <x:c r="A258" s="49" t="b">
        <x:v>0</x:v>
      </x:c>
      <x:c r="B258" s="50" t="str">
        <x:v>FV-0568</x:v>
      </x:c>
      <x:c r="C258" s="51" t="str">
        <x:v>Fan chronology — Old Republic</x:v>
      </x:c>
      <x:c r="D258" s="51" t="str">
        <x:v>Darth Bane Didn't Even Need His Lightsaber</x:v>
      </x:c>
      <x:c r="E258" s="50" t="str"/>
      <x:c r="F258" s="51" t="str">
        <x:v>August 21, 2026</x:v>
      </x:c>
      <x:c r="G258" s="51" t="str">
        <x:v>Fan-made / non-canon</x:v>
      </x:c>
      <x:c r="H258" s="51" t="str">
        <x:v>Fan video</x:v>
      </x:c>
      <x:c r="I258" s="51" t="str">
        <x:v>YouTube — search by title</x:v>
      </x:c>
      <x:c r="J258" s="58" t="e">
        <x:f>HYPERLINK("https://www.youtube.com/results?search_query=Darth%20Bane%20Didn't%20Even%20Need%20His%20Lightsaber","Search")</x:f>
        <x:v>HYPERLINK is not implemented. linkLocation=https://www.youtube.com/results?search_query=Darth%20Bane%20Didn't%20Even%20Need%20His%20Lightsaber, friendlyName=Search</x:v>
      </x:c>
      <x:c r="K258" s="51" t="str">
        <x:v>Around 1,000 BBY, after the fall of the Brotherhood of Darkness.</x:v>
      </x:c>
      <x:c r="L258" s="76" t="str"/>
      <x:c r="M258" s="76" t="str">
        <x:v>Darth Bane Didn't Even Need His Lightsaber</x:v>
      </x:c>
      <x:c r="N258" s="76"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258" s="76" t="str">
        <x:v>Old Republic — Darth Bane / Rule of Two transition</x:v>
      </x:c>
      <x:c r="P258" s="76" t="str">
        <x:v>IMG_6758.PNG</x:v>
      </x:c>
      <x:c r="Q258" s="76" t="str">
        <x:v>OCR extracted / placement assigned</x:v>
      </x:c>
      <x:c r="R258" s="76" t="str">
        <x:v>High</x:v>
      </x:c>
      <x:c r="S258" s="76" t="str"/>
      <x:c r="T258" s="76" t="str">
        <x:v>Unique</x:v>
      </x:c>
    </x:row>
    <x:row r="259" s="23" customFormat="1" ht="36" customHeight="1">
      <x:c r="A259" s="49" t="b">
        <x:v>0</x:v>
      </x:c>
      <x:c r="B259" s="50" t="str">
        <x:v>FV-0134</x:v>
      </x:c>
      <x:c r="C259" s="51" t="str">
        <x:v>Fan chronology — Old Republic</x:v>
      </x:c>
      <x:c r="D259" s="51" t="str">
        <x:v>Darth Bane vs. Darth Zannah — “Then Why Would | Try?”</x:v>
      </x:c>
      <x:c r="E259" s="50" t="str"/>
      <x:c r="F259" s="51" t="str">
        <x:v>October 1, 2026</x:v>
      </x:c>
      <x:c r="G259" s="51" t="str">
        <x:v>Fan-made / non-canon</x:v>
      </x:c>
      <x:c r="H259" s="51" t="str">
        <x:v>Fan video</x:v>
      </x:c>
      <x:c r="I259" s="51" t="str">
        <x:v>YouTube — search by title</x:v>
      </x:c>
      <x:c r="J259" s="58" t="e">
        <x:f>HYPERLINK("https://www.youtube.com/results?search_query=Darth%20Bane%20vs.%20Darth%20Zannah%20%E2%80%94%20%E2%80%9CThen%20Why%20Would%20%7C%20Try%3F%E2%80%9D","Search")</x:f>
        <x:v>HYPERLINK is not implemented. linkLocation=https://www.youtube.com/results?search_query=Darth%20Bane%20vs.%20Darth%20Zannah%20%E2%80%94%20%E2%80%9CThen%20Why%20Would%20%7C%20Try%3F%E2%80%9D, friendlyName=Search</x:v>
      </x:c>
      <x:c r="K259" s="51" t="str">
        <x:v>Around 1,000 BBY, after the fall of the Brotherhood of Darkness.</x:v>
      </x:c>
      <x:c r="L259" s="76" t="str"/>
      <x:c r="M259" s="76" t="str">
        <x:v>Darth Bane vs. Darth Zannah — “Then Why Would | Try?”</x:v>
      </x:c>
      <x:c r="N259" s="76"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259" s="76" t="str">
        <x:v>Old Republic — Darth Bane / Rule of Two transition</x:v>
      </x:c>
      <x:c r="P259" s="76" t="str">
        <x:v>IMG_6317.PNG</x:v>
      </x:c>
      <x:c r="Q259" s="76" t="str">
        <x:v>OCR extracted / placement assigned</x:v>
      </x:c>
      <x:c r="R259" s="76" t="str">
        <x:v>High</x:v>
      </x:c>
      <x:c r="S259" s="76" t="str"/>
      <x:c r="T259" s="76" t="str">
        <x:v>Unique</x:v>
      </x:c>
    </x:row>
    <x:row r="260" s="23" customFormat="1" ht="36" customHeight="1">
      <x:c r="A260" s="49" t="b">
        <x:v>0</x:v>
      </x:c>
      <x:c r="B260" s="50" t="str">
        <x:v>FV-0400</x:v>
      </x:c>
      <x:c r="C260" s="51" t="str">
        <x:v>Fan chronology — Old Republic</x:v>
      </x:c>
      <x:c r="D260" s="51" t="str">
        <x:v>Darth Bane vs. the War Machine — FORCE C</x:v>
      </x:c>
      <x:c r="E260" s="50" t="str"/>
      <x:c r="F260" s="51" t="str">
        <x:v>August 22, 2026</x:v>
      </x:c>
      <x:c r="G260" s="51" t="str">
        <x:v>Fan-made / non-canon</x:v>
      </x:c>
      <x:c r="H260" s="51" t="str">
        <x:v>Fan video</x:v>
      </x:c>
      <x:c r="I260" s="51" t="str">
        <x:v>YouTube — search by title</x:v>
      </x:c>
      <x:c r="J260" s="58" t="e">
        <x:f>HYPERLINK("https://www.youtube.com/results?search_query=Darth%20Bane%20vs.%20the%20War%20Machine%20%E2%80%94%20FORCE%20C","Search")</x:f>
        <x:v>HYPERLINK is not implemented. linkLocation=https://www.youtube.com/results?search_query=Darth%20Bane%20vs.%20the%20War%20Machine%20%E2%80%94%20FORCE%20C, friendlyName=Search</x:v>
      </x:c>
      <x:c r="K260" s="51" t="str">
        <x:v>Around 1,000 BBY, after the fall of the Brotherhood of Darkness.</x:v>
      </x:c>
      <x:c r="L260" s="76" t="str"/>
      <x:c r="M260" s="76" t="str">
        <x:v>Darth Bane vs. the War Machine — FORCE C</x:v>
      </x:c>
      <x:c r="N260" s="76"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260" s="76" t="str">
        <x:v>Old Republic — Darth Bane / Rule of Two transition</x:v>
      </x:c>
      <x:c r="P260" s="76" t="str">
        <x:v>IMG_6586.PNG, IMG_6766.PNG</x:v>
      </x:c>
      <x:c r="Q260" s="76" t="str">
        <x:v>OCR extracted / placement assigned</x:v>
      </x:c>
      <x:c r="R260" s="76" t="str">
        <x:v>High</x:v>
      </x:c>
      <x:c r="S260" s="76" t="str"/>
      <x:c r="T260" s="76" t="str">
        <x:v>Primary — DUP-007</x:v>
      </x:c>
    </x:row>
    <x:row r="261" s="23" customFormat="1" ht="36" customHeight="1">
      <x:c r="A261" s="49" t="b">
        <x:v>0</x:v>
      </x:c>
      <x:c r="B261" s="50" t="str">
        <x:v>FV-0564</x:v>
      </x:c>
      <x:c r="C261" s="51" t="str">
        <x:v>Fan chronology — Old Republic</x:v>
      </x:c>
      <x:c r="D261" s="51" t="str">
        <x:v>Darth Bane Walked In... Everyone Went Silent</x:v>
      </x:c>
      <x:c r="E261" s="50" t="str"/>
      <x:c r="F261" s="51" t="str">
        <x:v>August 21, 2026</x:v>
      </x:c>
      <x:c r="G261" s="51" t="str">
        <x:v>Fan-made / non-canon</x:v>
      </x:c>
      <x:c r="H261" s="51" t="str">
        <x:v>Fan video</x:v>
      </x:c>
      <x:c r="I261" s="51" t="str">
        <x:v>YouTube — search by title</x:v>
      </x:c>
      <x:c r="J261" s="58" t="e">
        <x:f>HYPERLINK("https://www.youtube.com/results?search_query=Darth%20Bane%20Walked%20In...%20Everyone%20Went%20Silent","Search")</x:f>
        <x:v>HYPERLINK is not implemented. linkLocation=https://www.youtube.com/results?search_query=Darth%20Bane%20Walked%20In...%20Everyone%20Went%20Silent, friendlyName=Search</x:v>
      </x:c>
      <x:c r="K261" s="51" t="str">
        <x:v>Around 1,000 BBY, after the fall of the Brotherhood of Darkness.</x:v>
      </x:c>
      <x:c r="L261" s="76" t="str"/>
      <x:c r="M261" s="76" t="str">
        <x:v>Darth Bane Walked In... Everyone Went Silent</x:v>
      </x:c>
      <x:c r="N261" s="76"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261" s="76" t="str">
        <x:v>Old Republic — Darth Bane / Rule of Two transition</x:v>
      </x:c>
      <x:c r="P261" s="76" t="str">
        <x:v>IMG_6754.PNG</x:v>
      </x:c>
      <x:c r="Q261" s="76" t="str">
        <x:v>OCR extracted / placement assigned</x:v>
      </x:c>
      <x:c r="R261" s="76" t="str">
        <x:v>High</x:v>
      </x:c>
      <x:c r="S261" s="76" t="str"/>
      <x:c r="T261" s="76" t="str">
        <x:v>Unique</x:v>
      </x:c>
    </x:row>
    <x:row r="262" s="23" customFormat="1" ht="36" customHeight="1">
      <x:c r="A262" s="49" t="b">
        <x:v>0</x:v>
      </x:c>
      <x:c r="B262" s="50" t="str">
        <x:v>FV-0357</x:v>
      </x:c>
      <x:c r="C262" s="51" t="str">
        <x:v>Fan chronology — Old Republic</x:v>
      </x:c>
      <x:c r="D262" s="51" t="str">
        <x:v>Darth Bane Wasn't Pushing the Jedi... He Was Pushing THIS @</x:v>
      </x:c>
      <x:c r="E262" s="50" t="str"/>
      <x:c r="F262" s="51" t="str">
        <x:v>August 26, 2026</x:v>
      </x:c>
      <x:c r="G262" s="51" t="str">
        <x:v>Fan-made / non-canon</x:v>
      </x:c>
      <x:c r="H262" s="51" t="str">
        <x:v>Fan video</x:v>
      </x:c>
      <x:c r="I262" s="51" t="str">
        <x:v>YouTube — search by title</x:v>
      </x:c>
      <x:c r="J262" s="58" t="e">
        <x:f>HYPERLINK("https://www.youtube.com/results?search_query=Darth%20Bane%20Wasn't%20Pushing%20the%20Jedi...%20He%20Was%20Pushing%20THIS%20%40","Search")</x:f>
        <x:v>HYPERLINK is not implemented. linkLocation=https://www.youtube.com/results?search_query=Darth%20Bane%20Wasn't%20Pushing%20the%20Jedi...%20He%20Was%20Pushing%20THIS%20%40, friendlyName=Search</x:v>
      </x:c>
      <x:c r="K262" s="51" t="str">
        <x:v>Around 1,000 BBY, after the fall of the Brotherhood of Darkness.</x:v>
      </x:c>
      <x:c r="L262" s="76" t="str"/>
      <x:c r="M262" s="76" t="str">
        <x:v>Darth Bane Wasn't Pushing the Jedi... He Was Pushing THIS @</x:v>
      </x:c>
      <x:c r="N262" s="76"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262" s="76" t="str">
        <x:v>Old Republic — Darth Bane / Rule of Two transition</x:v>
      </x:c>
      <x:c r="P262" s="76" t="str">
        <x:v>IMG_6543.PNG</x:v>
      </x:c>
      <x:c r="Q262" s="76" t="str">
        <x:v>OCR extracted / placement assigned</x:v>
      </x:c>
      <x:c r="R262" s="76" t="str">
        <x:v>High</x:v>
      </x:c>
      <x:c r="S262" s="76" t="str"/>
      <x:c r="T262" s="76" t="str">
        <x:v>Unique</x:v>
      </x:c>
    </x:row>
    <x:row r="263" s="23" customFormat="1" ht="36" customHeight="1">
      <x:c r="A263" s="49" t="b">
        <x:v>0</x:v>
      </x:c>
      <x:c r="B263" s="50" t="str">
        <x:v>FV-0257</x:v>
      </x:c>
      <x:c r="C263" s="51" t="str">
        <x:v>Fan chronology — Old Republic</x:v>
      </x:c>
      <x:c r="D263" s="51" t="str">
        <x:v>DARTH ZANNAH — HER DOUBLE-BLADED LIGHTSABER WASN'T HER DEADLIEST WEAPON</x:v>
      </x:c>
      <x:c r="E263" s="50" t="str"/>
      <x:c r="F263" s="51" t="str">
        <x:v>September 5, 2026</x:v>
      </x:c>
      <x:c r="G263" s="51" t="str">
        <x:v>Fan-made / non-canon</x:v>
      </x:c>
      <x:c r="H263" s="51" t="str">
        <x:v>Fan video</x:v>
      </x:c>
      <x:c r="I263" s="51" t="str">
        <x:v>YouTube — search by title</x:v>
      </x:c>
      <x:c r="J263" s="58" t="e">
        <x:f>HYPERLINK("https://www.youtube.com/results?search_query=DARTH%20ZANNAH%20%E2%80%94%20HER%20DOUBLE-BLADED%20LIGHTSABER%20WASN'T%20HER%20DEADLIEST%20WEAPON","Search")</x:f>
        <x:v>HYPERLINK is not implemented. linkLocation=https://www.youtube.com/results?search_query=DARTH%20ZANNAH%20%E2%80%94%20HER%20DOUBLE-BLADED%20LIGHTSABER%20WASN'T%20HER%20DEADLIEST%20WEAPON, friendlyName=Search</x:v>
      </x:c>
      <x:c r="K263" s="51" t="str">
        <x:v>Around 1,000 BBY, after the fall of the Brotherhood of Darkness.</x:v>
      </x:c>
      <x:c r="L263" s="76" t="str"/>
      <x:c r="M263" s="76" t="str">
        <x:v>DARTH ZANNAH — HER DOUBLE-BLADED LIGHTSABER WASN'T HER DEADLIEST WEAPON</x:v>
      </x:c>
      <x:c r="N263" s="76"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263" s="76" t="str">
        <x:v>Old Republic — Darth Bane / Rule of Two transition</x:v>
      </x:c>
      <x:c r="P263" s="76" t="str">
        <x:v>IMG_6442.PNG</x:v>
      </x:c>
      <x:c r="Q263" s="76" t="str">
        <x:v>OCR extracted / placement assigned</x:v>
      </x:c>
      <x:c r="R263" s="76" t="str">
        <x:v>High</x:v>
      </x:c>
      <x:c r="S263" s="76" t="str"/>
      <x:c r="T263" s="76" t="str">
        <x:v>Unique</x:v>
      </x:c>
    </x:row>
    <x:row r="264" s="23" customFormat="1" ht="36" customHeight="1">
      <x:c r="A264" s="49" t="b">
        <x:v>0</x:v>
      </x:c>
      <x:c r="B264" s="50" t="str">
        <x:v>FV-0265</x:v>
      </x:c>
      <x:c r="C264" s="51" t="str">
        <x:v>Fan chronology — Old Republic</x:v>
      </x:c>
      <x:c r="D264" s="51" t="str">
        <x:v>DARTH ZANNAH CLAIMS THE THRONE — BANE’S APPRENTICE RISES</x:v>
      </x:c>
      <x:c r="E264" s="50" t="str"/>
      <x:c r="F264" s="51" t="str">
        <x:v>September 4, 2026</x:v>
      </x:c>
      <x:c r="G264" s="51" t="str">
        <x:v>Fan-made / non-canon</x:v>
      </x:c>
      <x:c r="H264" s="51" t="str">
        <x:v>Fan video</x:v>
      </x:c>
      <x:c r="I264" s="51" t="str">
        <x:v>YouTube — search by title</x:v>
      </x:c>
      <x:c r="J264" s="58" t="e">
        <x:f>HYPERLINK("https://www.youtube.com/results?search_query=DARTH%20ZANNAH%20CLAIMS%20THE%20THRONE%20%E2%80%94%20BANE%E2%80%99S%20APPRENTICE%20RISES","Search")</x:f>
        <x:v>HYPERLINK is not implemented. linkLocation=https://www.youtube.com/results?search_query=DARTH%20ZANNAH%20CLAIMS%20THE%20THRONE%20%E2%80%94%20BANE%E2%80%99S%20APPRENTICE%20RISES, friendlyName=Search</x:v>
      </x:c>
      <x:c r="K264" s="51" t="str">
        <x:v>Around 1,000 BBY, after the fall of the Brotherhood of Darkness.</x:v>
      </x:c>
      <x:c r="L264" s="76" t="str"/>
      <x:c r="M264" s="76" t="str">
        <x:v>DARTH ZANNAH CLAIMS THE THRONE — BANE’S APPRENTICE RISES</x:v>
      </x:c>
      <x:c r="N264" s="76"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264" s="76" t="str">
        <x:v>Old Republic — Darth Bane / Rule of Two transition</x:v>
      </x:c>
      <x:c r="P264" s="76" t="str">
        <x:v>IMG_6450.PNG</x:v>
      </x:c>
      <x:c r="Q264" s="76" t="str">
        <x:v>OCR extracted / placement assigned</x:v>
      </x:c>
      <x:c r="R264" s="76" t="str">
        <x:v>High</x:v>
      </x:c>
      <x:c r="S264" s="76" t="str"/>
      <x:c r="T264" s="76" t="str">
        <x:v>Unique</x:v>
      </x:c>
    </x:row>
    <x:row r="265" s="23" customFormat="1" ht="36" customHeight="1">
      <x:c r="A265" s="49" t="b">
        <x:v>0</x:v>
      </x:c>
      <x:c r="B265" s="50" t="str">
        <x:v>FV-0344</x:v>
      </x:c>
      <x:c r="C265" s="51" t="str">
        <x:v>Fan chronology — Old Republic</x:v>
      </x:c>
      <x:c r="D265" s="51" t="str">
        <x:v>Darth Zannah Doesn't Fight Your Body... She Breaks Your Mind</x:v>
      </x:c>
      <x:c r="E265" s="50" t="str"/>
      <x:c r="F265" s="51" t="str">
        <x:v>August 27, 2026</x:v>
      </x:c>
      <x:c r="G265" s="51" t="str">
        <x:v>Fan-made / non-canon</x:v>
      </x:c>
      <x:c r="H265" s="51" t="str">
        <x:v>Fan video</x:v>
      </x:c>
      <x:c r="I265" s="51" t="str">
        <x:v>YouTube — search by title</x:v>
      </x:c>
      <x:c r="J265" s="58" t="e">
        <x:f>HYPERLINK("https://www.youtube.com/results?search_query=Darth%20Zannah%20Doesn't%20Fight%20Your%20Body...%20She%20Breaks%20Your%20Mind","Search")</x:f>
        <x:v>HYPERLINK is not implemented. linkLocation=https://www.youtube.com/results?search_query=Darth%20Zannah%20Doesn't%20Fight%20Your%20Body...%20She%20Breaks%20Your%20Mind, friendlyName=Search</x:v>
      </x:c>
      <x:c r="K265" s="51" t="str">
        <x:v>Around 1,000 BBY, after the fall of the Brotherhood of Darkness.</x:v>
      </x:c>
      <x:c r="L265" s="76" t="str"/>
      <x:c r="M265" s="76" t="str">
        <x:v>Darth Zannah Doesn't Fight Your Body... She Breaks Your Mind</x:v>
      </x:c>
      <x:c r="N265" s="76"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265" s="76" t="str">
        <x:v>Old Republic — Darth Bane / Rule of Two transition</x:v>
      </x:c>
      <x:c r="P265" s="76" t="str">
        <x:v>IMG_6530.PNG</x:v>
      </x:c>
      <x:c r="Q265" s="76" t="str">
        <x:v>OCR extracted / placement assigned</x:v>
      </x:c>
      <x:c r="R265" s="76" t="str">
        <x:v>High</x:v>
      </x:c>
      <x:c r="S265" s="76" t="str"/>
      <x:c r="T265" s="76" t="str">
        <x:v>Unique</x:v>
      </x:c>
    </x:row>
    <x:row r="266" s="23" customFormat="1" ht="36" customHeight="1">
      <x:c r="A266" s="49" t="b">
        <x:v>0</x:v>
      </x:c>
      <x:c r="B266" s="50" t="str">
        <x:v>FV-0256</x:v>
      </x:c>
      <x:c r="C266" s="51" t="str">
        <x:v>Fan chronology — Old Republic</x:v>
      </x:c>
      <x:c r="D266" s="51" t="str">
        <x:v>DARTH ZANNAH VS. AN ARMY — “WHO IS NEXT?”</x:v>
      </x:c>
      <x:c r="E266" s="50" t="str"/>
      <x:c r="F266" s="51" t="str">
        <x:v>September 5, 2026</x:v>
      </x:c>
      <x:c r="G266" s="51" t="str">
        <x:v>Fan-made / non-canon</x:v>
      </x:c>
      <x:c r="H266" s="51" t="str">
        <x:v>Fan video</x:v>
      </x:c>
      <x:c r="I266" s="51" t="str">
        <x:v>YouTube — search by title</x:v>
      </x:c>
      <x:c r="J266" s="58" t="e">
        <x:f>HYPERLINK("https://www.youtube.com/results?search_query=DARTH%20ZANNAH%20VS.%20AN%20ARMY%20%E2%80%94%20%E2%80%9CWHO%20IS%20NEXT%3F%E2%80%9D","Search")</x:f>
        <x:v>HYPERLINK is not implemented. linkLocation=https://www.youtube.com/results?search_query=DARTH%20ZANNAH%20VS.%20AN%20ARMY%20%E2%80%94%20%E2%80%9CWHO%20IS%20NEXT%3F%E2%80%9D, friendlyName=Search</x:v>
      </x:c>
      <x:c r="K266" s="51" t="str">
        <x:v>Around 1,000 BBY, after the fall of the Brotherhood of Darkness.</x:v>
      </x:c>
      <x:c r="L266" s="76" t="str"/>
      <x:c r="M266" s="76" t="str">
        <x:v>DARTH ZANNAH VS. AN ARMY — “WHO IS NEXT?”</x:v>
      </x:c>
      <x:c r="N266" s="76"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266" s="76" t="str">
        <x:v>Old Republic — Darth Bane / Rule of Two transition</x:v>
      </x:c>
      <x:c r="P266" s="76" t="str">
        <x:v>IMG_6441.PNG</x:v>
      </x:c>
      <x:c r="Q266" s="76" t="str">
        <x:v>OCR extracted / placement assigned</x:v>
      </x:c>
      <x:c r="R266" s="76" t="str">
        <x:v>High</x:v>
      </x:c>
      <x:c r="S266" s="76" t="str"/>
      <x:c r="T266" s="76" t="str">
        <x:v>Unique</x:v>
      </x:c>
    </x:row>
    <x:row r="267" s="23" customFormat="1" ht="36" customHeight="1">
      <x:c r="A267" s="49" t="b">
        <x:v>0</x:v>
      </x:c>
      <x:c r="B267" s="50" t="str">
        <x:v>FV-0100</x:v>
      </x:c>
      <x:c r="C267" s="51" t="str">
        <x:v>Fan chronology — Old Republic</x:v>
      </x:c>
      <x:c r="D267" s="51" t="str">
        <x:v>Drew Karpyshyn’s Darth Bane Trilogy: Path of Destruction - Rule of Two | Episode 1</x:v>
      </x:c>
      <x:c r="E267" s="50" t="str">
        <x:v>Episode 1</x:v>
      </x:c>
      <x:c r="F267" s="51" t="str">
        <x:v>October 4, 2026</x:v>
      </x:c>
      <x:c r="G267" s="51" t="str">
        <x:v>Fan-made / non-canon</x:v>
      </x:c>
      <x:c r="H267" s="51" t="str">
        <x:v>Fan video</x:v>
      </x:c>
      <x:c r="I267" s="51" t="str">
        <x:v>YouTube — search by title</x:v>
      </x:c>
      <x:c r="J267" s="58" t="e">
        <x:f>HYPERLINK("https://www.youtube.com/results?search_query=Drew%20Karpyshyn%E2%80%99s%20Darth%20Bane%20Trilogy%3A%20Path%20of%20Destruction%20-%20Rule%20of%20Two%20%7C%20Episode%201","Search")</x:f>
        <x:v>HYPERLINK is not implemented. linkLocation=https://www.youtube.com/results?search_query=Drew%20Karpyshyn%E2%80%99s%20Darth%20Bane%20Trilogy%3A%20Path%20of%20Destruction%20-%20Rule%20of%20Two%20%7C%20Episode%201, friendlyName=Search</x:v>
      </x:c>
      <x:c r="K267" s="51" t="str">
        <x:v>Around 1,000 BBY, after the fall of the Brotherhood of Darkness.</x:v>
      </x:c>
      <x:c r="L267" s="76" t="str">
        <x:v>Darth Bane Trilogy</x:v>
      </x:c>
      <x:c r="M267" s="76" t="str">
        <x:v>Drew Karpyshyn’s Darth Bane Trilogy: Path of Destruction - Rule of Two | Episode 1</x:v>
      </x:c>
      <x:c r="N267" s="76"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267" s="76" t="str">
        <x:v>Old Republic — Darth Bane / Rule of Two transition</x:v>
      </x:c>
      <x:c r="P267" s="76" t="str">
        <x:v>IMG_6283.PNG</x:v>
      </x:c>
      <x:c r="Q267" s="76" t="str">
        <x:v>OCR extracted / placement assigned</x:v>
      </x:c>
      <x:c r="R267" s="76" t="str">
        <x:v>High</x:v>
      </x:c>
      <x:c r="S267" s="76" t="str"/>
      <x:c r="T267" s="76" t="str">
        <x:v>Unique</x:v>
      </x:c>
    </x:row>
    <x:row r="268" s="23" customFormat="1" ht="36" customHeight="1">
      <x:c r="A268" s="49" t="b">
        <x:v>0</x:v>
      </x:c>
      <x:c r="B268" s="50" t="str">
        <x:v>FV-0094</x:v>
      </x:c>
      <x:c r="C268" s="51" t="str">
        <x:v>Fan chronology — Old Republic</x:v>
      </x:c>
      <x:c r="D268" s="51" t="str">
        <x:v>Drew Karpyshyn’s Darth Bane Trilogy: Rule of Two | Episode 2 — The Apprentice Turns the Trap</x:v>
      </x:c>
      <x:c r="E268" s="50" t="str">
        <x:v>Episode 2</x:v>
      </x:c>
      <x:c r="F268" s="51" t="str">
        <x:v>October 4, 2026</x:v>
      </x:c>
      <x:c r="G268" s="51" t="str">
        <x:v>Fan-made / non-canon</x:v>
      </x:c>
      <x:c r="H268" s="51" t="str">
        <x:v>Fan video</x:v>
      </x:c>
      <x:c r="I268" s="51" t="str">
        <x:v>YouTube — search by title</x:v>
      </x:c>
      <x:c r="J268" s="58" t="e">
        <x:f>HYPERLINK("https://www.youtube.com/results?search_query=Drew%20Karpyshyn%E2%80%99s%20Darth%20Bane%20Trilogy%3A%20Rule%20of%20Two%20%7C%20Episode%202%20%E2%80%94%20The%20Apprentice%20Turns%20the%20Trap","Search")</x:f>
        <x:v>HYPERLINK is not implemented. linkLocation=https://www.youtube.com/results?search_query=Drew%20Karpyshyn%E2%80%99s%20Darth%20Bane%20Trilogy%3A%20Rule%20of%20Two%20%7C%20Episode%202%20%E2%80%94%20The%20Apprentice%20Turns%20the%20Trap, friendlyName=Search</x:v>
      </x:c>
      <x:c r="K268" s="51" t="str">
        <x:v>Around 1,000 BBY, after the fall of the Brotherhood of Darkness.</x:v>
      </x:c>
      <x:c r="L268" s="76" t="str">
        <x:v>Darth Bane Trilogy</x:v>
      </x:c>
      <x:c r="M268" s="76" t="str">
        <x:v>Drew Karpyshyn’s Darth Bane Trilogy: Rule of Two | Episode 2 — The Apprentice Turns the Trap</x:v>
      </x:c>
      <x:c r="N268" s="76"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268" s="76" t="str">
        <x:v>Old Republic — Darth Bane / Rule of Two transition</x:v>
      </x:c>
      <x:c r="P268" s="76" t="str">
        <x:v>IMG_6277.PNG</x:v>
      </x:c>
      <x:c r="Q268" s="76" t="str">
        <x:v>OCR extracted / placement assigned</x:v>
      </x:c>
      <x:c r="R268" s="76" t="str">
        <x:v>High</x:v>
      </x:c>
      <x:c r="S268" s="76" t="str"/>
      <x:c r="T268" s="76" t="str">
        <x:v>Unique</x:v>
      </x:c>
    </x:row>
    <x:row r="269" s="23" customFormat="1" ht="36" customHeight="1">
      <x:c r="A269" s="49" t="b">
        <x:v>0</x:v>
      </x:c>
      <x:c r="B269" s="50" t="str">
        <x:v>FV-0091</x:v>
      </x:c>
      <x:c r="C269" s="51" t="str">
        <x:v>Fan chronology — Old Republic</x:v>
      </x:c>
      <x:c r="D269" s="51" t="str">
        <x:v>Drew Karpyshyn’s Darth Bane Trilogy: Rule of Two | Episode 3 — “Now You Need Me.”</x:v>
      </x:c>
      <x:c r="E269" s="50" t="str">
        <x:v>Episode 3</x:v>
      </x:c>
      <x:c r="F269" s="51" t="str">
        <x:v>October 4, 2026</x:v>
      </x:c>
      <x:c r="G269" s="51" t="str">
        <x:v>Fan-made / non-canon</x:v>
      </x:c>
      <x:c r="H269" s="51" t="str">
        <x:v>Fan video</x:v>
      </x:c>
      <x:c r="I269" s="51" t="str">
        <x:v>YouTube — search by title</x:v>
      </x:c>
      <x:c r="J269" s="58" t="e">
        <x:f>HYPERLINK("https://www.youtube.com/results?search_query=Drew%20Karpyshyn%E2%80%99s%20Darth%20Bane%20Trilogy%3A%20Rule%20of%20Two%20%7C%20Episode%203%20%E2%80%94%20%E2%80%9CNow%20You%20Need%20Me.%E2%80%9D","Search")</x:f>
        <x:v>HYPERLINK is not implemented. linkLocation=https://www.youtube.com/results?search_query=Drew%20Karpyshyn%E2%80%99s%20Darth%20Bane%20Trilogy%3A%20Rule%20of%20Two%20%7C%20Episode%203%20%E2%80%94%20%E2%80%9CNow%20You%20Need%20Me.%E2%80%9D, friendlyName=Search</x:v>
      </x:c>
      <x:c r="K269" s="51" t="str">
        <x:v>Around 1,000 BBY, after the fall of the Brotherhood of Darkness.</x:v>
      </x:c>
      <x:c r="L269" s="76" t="str">
        <x:v>Darth Bane Trilogy</x:v>
      </x:c>
      <x:c r="M269" s="76" t="str">
        <x:v>Drew Karpyshyn’s Darth Bane Trilogy: Rule of Two | Episode 3 — “Now You Need Me.”</x:v>
      </x:c>
      <x:c r="N269" s="76"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269" s="76" t="str">
        <x:v>Old Republic — Darth Bane / Rule of Two transition</x:v>
      </x:c>
      <x:c r="P269" s="76" t="str">
        <x:v>IMG_6274.PNG</x:v>
      </x:c>
      <x:c r="Q269" s="76" t="str">
        <x:v>OCR extracted / placement assigned</x:v>
      </x:c>
      <x:c r="R269" s="76" t="str">
        <x:v>High</x:v>
      </x:c>
      <x:c r="S269" s="76" t="str"/>
      <x:c r="T269" s="76" t="str">
        <x:v>Unique</x:v>
      </x:c>
    </x:row>
    <x:row r="270" s="23" customFormat="1" ht="36" customHeight="1">
      <x:c r="A270" s="49" t="b">
        <x:v>0</x:v>
      </x:c>
      <x:c r="B270" s="50" t="str">
        <x:v>FV-0068</x:v>
      </x:c>
      <x:c r="C270" s="51" t="str">
        <x:v>Fan chronology — Old Republic</x:v>
      </x:c>
      <x:c r="D270" s="51" t="str">
        <x:v>He Never Saw Zannah Coming... Darth Bane Did | Episode 5</x:v>
      </x:c>
      <x:c r="E270" s="50" t="str">
        <x:v>Episode 5</x:v>
      </x:c>
      <x:c r="F270" s="51" t="str">
        <x:v>October 8, 2026</x:v>
      </x:c>
      <x:c r="G270" s="51" t="str">
        <x:v>Fan-made / non-canon</x:v>
      </x:c>
      <x:c r="H270" s="51" t="str">
        <x:v>Fan video</x:v>
      </x:c>
      <x:c r="I270" s="51" t="str">
        <x:v>YouTube — search by title</x:v>
      </x:c>
      <x:c r="J270" s="58" t="e">
        <x:f>HYPERLINK("https://www.youtube.com/results?search_query=He%20Never%20Saw%20Zannah%20Coming...%20Darth%20Bane%20Did%20%7C%20Episode%205","Search")</x:f>
        <x:v>HYPERLINK is not implemented. linkLocation=https://www.youtube.com/results?search_query=He%20Never%20Saw%20Zannah%20Coming...%20Darth%20Bane%20Did%20%7C%20Episode%205, friendlyName=Search</x:v>
      </x:c>
      <x:c r="K270" s="51" t="str">
        <x:v>Around 1,000 BBY, after the fall of the Brotherhood of Darkness.</x:v>
      </x:c>
      <x:c r="L270" s="76" t="str">
        <x:v>He Never Saw Zannah Coming... Darth Bane Did</x:v>
      </x:c>
      <x:c r="M270" s="76" t="str">
        <x:v>He Never Saw Zannah Coming... Darth Bane Did | Episode 5</x:v>
      </x:c>
      <x:c r="N270" s="76"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270" s="76" t="str">
        <x:v>Old Republic — Darth Bane / Rule of Two transition</x:v>
      </x:c>
      <x:c r="P270" s="76" t="str">
        <x:v>IMG_6251.PNG</x:v>
      </x:c>
      <x:c r="Q270" s="76" t="str">
        <x:v>OCR extracted / placement assigned</x:v>
      </x:c>
      <x:c r="R270" s="76" t="str">
        <x:v>High</x:v>
      </x:c>
      <x:c r="S270" s="76" t="str"/>
      <x:c r="T270" s="76" t="str">
        <x:v>Unique</x:v>
      </x:c>
    </x:row>
    <x:row r="271" s="23" customFormat="1" ht="36" customHeight="1">
      <x:c r="A271" s="49" t="b">
        <x:v>0</x:v>
      </x:c>
      <x:c r="B271" s="50" t="str">
        <x:v>FV-0032</x:v>
      </x:c>
      <x:c r="C271" s="51" t="str">
        <x:v>Fan chronology — Old Republic</x:v>
      </x:c>
      <x:c r="D271" s="51" t="str">
        <x:v>Star Wars Legends Inspired | Bane &amp; Zannah Episode 8 — The Secret Beneath the Throne</x:v>
      </x:c>
      <x:c r="E271" s="50" t="str">
        <x:v>Episode 8</x:v>
      </x:c>
      <x:c r="F271" s="51" t="str">
        <x:v>October 12, 2026</x:v>
      </x:c>
      <x:c r="G271" s="51" t="str">
        <x:v>Fan-made / non-canon</x:v>
      </x:c>
      <x:c r="H271" s="51" t="str">
        <x:v>Fan video</x:v>
      </x:c>
      <x:c r="I271" s="51" t="str">
        <x:v>YouTube — search by title</x:v>
      </x:c>
      <x:c r="J271" s="58" t="e">
        <x:f>HYPERLINK("https://www.youtube.com/results?search_query=Star%20Wars%20Legends%20Inspired%20%7C%20Bane%20%26%20Zannah%20Episode%208%20%E2%80%94%20The%20Secret%20Beneath%20the%20Throne","Search")</x:f>
        <x:v>HYPERLINK is not implemented. linkLocation=https://www.youtube.com/results?search_query=Star%20Wars%20Legends%20Inspired%20%7C%20Bane%20%26%20Zannah%20Episode%208%20%E2%80%94%20The%20Secret%20Beneath%20the%20Throne, friendlyName=Search</x:v>
      </x:c>
      <x:c r="K271" s="51" t="str">
        <x:v>Around 1,000 BBY, after the fall of the Brotherhood of Darkness.</x:v>
      </x:c>
      <x:c r="L271" s="76" t="str">
        <x:v>Bane &amp; Zannah</x:v>
      </x:c>
      <x:c r="M271" s="76" t="str">
        <x:v>Star Wars Legends Inspired | Bane &amp; Zannah Episode 8 — The Secret Beneath the Throne</x:v>
      </x:c>
      <x:c r="N271" s="76"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271" s="76" t="str">
        <x:v>Old Republic — Darth Bane / Rule of Two transition</x:v>
      </x:c>
      <x:c r="P271" s="76" t="str">
        <x:v>IMG_6215.PNG</x:v>
      </x:c>
      <x:c r="Q271" s="76" t="str">
        <x:v>OCR extracted / placement assigned</x:v>
      </x:c>
      <x:c r="R271" s="76" t="str">
        <x:v>High</x:v>
      </x:c>
      <x:c r="S271" s="76" t="str"/>
      <x:c r="T271" s="76" t="str">
        <x:v>Unique</x:v>
      </x:c>
    </x:row>
    <x:row r="272" s="23" customFormat="1" ht="36" customHeight="1">
      <x:c r="A272" s="49" t="b">
        <x:v>0</x:v>
      </x:c>
      <x:c r="B272" s="50" t="str">
        <x:v>FV-0125</x:v>
      </x:c>
      <x:c r="C272" s="51" t="str">
        <x:v>Fan chronology — Old Republic</x:v>
      </x:c>
      <x:c r="D272" s="51" t="str">
        <x:v>Bastila Shan — “You Locked Us In” | Star Wars: Knights of the Old Republic</x:v>
      </x:c>
      <x:c r="E272" s="50" t="str"/>
      <x:c r="F272" s="51" t="str">
        <x:v>October 2, 2026</x:v>
      </x:c>
      <x:c r="G272" s="51" t="str">
        <x:v>Fan-made / non-canon</x:v>
      </x:c>
      <x:c r="H272" s="51" t="str">
        <x:v>Fan video</x:v>
      </x:c>
      <x:c r="I272" s="51" t="str">
        <x:v>YouTube — search by title</x:v>
      </x:c>
      <x:c r="J272" s="58" t="e">
        <x:f>HYPERLINK("https://www.youtube.com/results?search_query=Bastila%20Shan%20%E2%80%94%20%E2%80%9CYou%20Locked%20Us%20In%E2%80%9D%20%7C%20Star%20Wars%3A%20Knights%20of%20the%20Old%20Republic","Search")</x:f>
        <x:v>HYPERLINK is not implemented. linkLocation=https://www.youtube.com/results?search_query=Bastila%20Shan%20%E2%80%94%20%E2%80%9CYou%20Locked%20Us%20In%E2%80%9D%20%7C%20Star%20Wars%3A%20Knights%20of%20the%20Old%20Republic, friendlyName=Search</x:v>
      </x:c>
      <x:c r="K272" s="51" t="str">
        <x:v>Placed around the events and aftermath of Knights of the Old Republic.</x:v>
      </x:c>
      <x:c r="L272" s="76" t="str">
        <x:v>Knights of the Old Republic</x:v>
      </x:c>
      <x:c r="M272" s="76" t="str">
        <x:v>Bastila Shan — “You Locked Us In” | Star Wars: Knights of the Old Republic</x:v>
      </x:c>
      <x:c r="N272" s="76"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272" s="76" t="str">
        <x:v>Old Republic — Revan / Knights of the Old Republic era</x:v>
      </x:c>
      <x:c r="P272" s="76" t="str">
        <x:v>IMG_6308.PNG</x:v>
      </x:c>
      <x:c r="Q272" s="76" t="str">
        <x:v>OCR extracted / placement assigned</x:v>
      </x:c>
      <x:c r="R272" s="76" t="str">
        <x:v>High</x:v>
      </x:c>
      <x:c r="S272" s="76" t="str"/>
      <x:c r="T272" s="76" t="str">
        <x:v>Unique</x:v>
      </x:c>
    </x:row>
    <x:row r="273" s="23" customFormat="1" ht="36" customHeight="1">
      <x:c r="A273" s="49" t="b">
        <x:v>0</x:v>
      </x:c>
      <x:c r="B273" s="50" t="str">
        <x:v>FV-0061</x:v>
      </x:c>
      <x:c r="C273" s="51" t="str">
        <x:v>Fan chronology — Old Republic</x:v>
      </x:c>
      <x:c r="D273" s="51" t="str">
        <x:v>Darth Revan — “Security Has Improved.” &amp; | Sith-Level Sarcasm</x:v>
      </x:c>
      <x:c r="E273" s="50" t="str"/>
      <x:c r="F273" s="51" t="str">
        <x:v>October 9, 2026</x:v>
      </x:c>
      <x:c r="G273" s="51" t="str">
        <x:v>Fan-made / non-canon</x:v>
      </x:c>
      <x:c r="H273" s="51" t="str">
        <x:v>Fan video</x:v>
      </x:c>
      <x:c r="I273" s="51" t="str">
        <x:v>YouTube — search by title</x:v>
      </x:c>
      <x:c r="J273" s="58" t="e">
        <x:f>HYPERLINK("https://www.youtube.com/results?search_query=Darth%20Revan%20%E2%80%94%20%E2%80%9CSecurity%20Has%20Improved.%E2%80%9D%20%26%20%7C%20Sith-Level%20Sarcasm","Search")</x:f>
        <x:v>HYPERLINK is not implemented. linkLocation=https://www.youtube.com/results?search_query=Darth%20Revan%20%E2%80%94%20%E2%80%9CSecurity%20Has%20Improved.%E2%80%9D%20%26%20%7C%20Sith-Level%20Sarcasm, friendlyName=Search</x:v>
      </x:c>
      <x:c r="K273" s="51" t="str">
        <x:v>Placed around the events and aftermath of Knights of the Old Republic.</x:v>
      </x:c>
      <x:c r="L273" s="76" t="str"/>
      <x:c r="M273" s="76" t="str">
        <x:v>Darth Revan — “Security Has Improved.” &amp; | Sith-Level Sarcasm</x:v>
      </x:c>
      <x:c r="N273" s="76"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273" s="76" t="str">
        <x:v>Old Republic — Revan / Knights of the Old Republic era</x:v>
      </x:c>
      <x:c r="P273" s="76" t="str">
        <x:v>IMG_6244.PNG</x:v>
      </x:c>
      <x:c r="Q273" s="76" t="str">
        <x:v>OCR extracted / placement assigned</x:v>
      </x:c>
      <x:c r="R273" s="76" t="str">
        <x:v>High</x:v>
      </x:c>
      <x:c r="S273" s="76" t="str"/>
      <x:c r="T273" s="76" t="str">
        <x:v>Unique</x:v>
      </x:c>
    </x:row>
    <x:row r="274" s="23" customFormat="1" ht="36" customHeight="1">
      <x:c r="A274" s="49" t="b">
        <x:v>0</x:v>
      </x:c>
      <x:c r="B274" s="50" t="str">
        <x:v>FV-0123</x:v>
      </x:c>
      <x:c r="C274" s="51" t="str">
        <x:v>Fan chronology — Old Republic</x:v>
      </x:c>
      <x:c r="D274" s="51" t="str">
        <x:v>Darth Revan — “You Followed Instructions” | Star Wars Legends</x:v>
      </x:c>
      <x:c r="E274" s="50" t="str"/>
      <x:c r="F274" s="51" t="str">
        <x:v>October 2, 2026</x:v>
      </x:c>
      <x:c r="G274" s="51" t="str">
        <x:v>Fan-made / non-canon</x:v>
      </x:c>
      <x:c r="H274" s="51" t="str">
        <x:v>Fan video</x:v>
      </x:c>
      <x:c r="I274" s="51" t="str">
        <x:v>YouTube — search by title</x:v>
      </x:c>
      <x:c r="J274" s="58" t="e">
        <x:f>HYPERLINK("https://www.youtube.com/results?search_query=Darth%20Revan%20%E2%80%94%20%E2%80%9CYou%20Followed%20Instructions%E2%80%9D%20%7C%20Star%20Wars%20Legends","Search")</x:f>
        <x:v>HYPERLINK is not implemented. linkLocation=https://www.youtube.com/results?search_query=Darth%20Revan%20%E2%80%94%20%E2%80%9CYou%20Followed%20Instructions%E2%80%9D%20%7C%20Star%20Wars%20Legends, friendlyName=Search</x:v>
      </x:c>
      <x:c r="K274" s="51" t="str">
        <x:v>Placed around the events and aftermath of Knights of the Old Republic.</x:v>
      </x:c>
      <x:c r="L274" s="76" t="str"/>
      <x:c r="M274" s="76" t="str">
        <x:v>Darth Revan — “You Followed Instructions” | Star Wars Legends</x:v>
      </x:c>
      <x:c r="N274" s="76"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274" s="76" t="str">
        <x:v>Old Republic — Revan / Knights of the Old Republic era</x:v>
      </x:c>
      <x:c r="P274" s="76" t="str">
        <x:v>IMG_6306.PNG</x:v>
      </x:c>
      <x:c r="Q274" s="76" t="str">
        <x:v>OCR extracted / placement assigned</x:v>
      </x:c>
      <x:c r="R274" s="76" t="str">
        <x:v>High</x:v>
      </x:c>
      <x:c r="S274" s="76" t="str"/>
      <x:c r="T274" s="76" t="str">
        <x:v>Unique</x:v>
      </x:c>
    </x:row>
    <x:row r="275" s="23" customFormat="1" ht="36" customHeight="1">
      <x:c r="A275" s="49" t="b">
        <x:v>0</x:v>
      </x:c>
      <x:c r="B275" s="50" t="str">
        <x:v>FV-0197</x:v>
      </x:c>
      <x:c r="C275" s="51" t="str">
        <x:v>Fan chronology — Old Republic</x:v>
      </x:c>
      <x:c r="D275" s="51" t="str">
        <x:v>DARTH REVAN — EPISODE 2: THE BATTLEFIELD BENDS</x:v>
      </x:c>
      <x:c r="E275" s="50" t="str">
        <x:v>EPISODE 2</x:v>
      </x:c>
      <x:c r="F275" s="51" t="str">
        <x:v>September 22, 2026</x:v>
      </x:c>
      <x:c r="G275" s="51" t="str">
        <x:v>Fan-made / non-canon</x:v>
      </x:c>
      <x:c r="H275" s="51" t="str">
        <x:v>Fan video</x:v>
      </x:c>
      <x:c r="I275" s="51" t="str">
        <x:v>YouTube — search by title</x:v>
      </x:c>
      <x:c r="J275" s="58" t="e">
        <x:f>HYPERLINK("https://www.youtube.com/results?search_query=DARTH%20REVAN%20%E2%80%94%20EPISODE%202%3A%20THE%20BATTLEFIELD%20BENDS","Search")</x:f>
        <x:v>HYPERLINK is not implemented. linkLocation=https://www.youtube.com/results?search_query=DARTH%20REVAN%20%E2%80%94%20EPISODE%202%3A%20THE%20BATTLEFIELD%20BENDS, friendlyName=Search</x:v>
      </x:c>
      <x:c r="K275" s="51" t="str">
        <x:v>Placed around the events and aftermath of Knights of the Old Republic.</x:v>
      </x:c>
      <x:c r="L275" s="76" t="str">
        <x:v>DARTH REVAN</x:v>
      </x:c>
      <x:c r="M275" s="76" t="str">
        <x:v>DARTH REVAN — EPISODE 2: THE BATTLEFIELD BENDS</x:v>
      </x:c>
      <x:c r="N275" s="76"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275" s="76" t="str">
        <x:v>Old Republic — Revan / Knights of the Old Republic era</x:v>
      </x:c>
      <x:c r="P275" s="76" t="str">
        <x:v>IMG_6380.PNG</x:v>
      </x:c>
      <x:c r="Q275" s="76" t="str">
        <x:v>OCR extracted / placement assigned</x:v>
      </x:c>
      <x:c r="R275" s="76" t="str">
        <x:v>High</x:v>
      </x:c>
      <x:c r="S275" s="76" t="str"/>
      <x:c r="T275" s="76" t="str">
        <x:v>Unique</x:v>
      </x:c>
    </x:row>
    <x:row r="276" s="23" customFormat="1" ht="36" customHeight="1">
      <x:c r="A276" s="49" t="b">
        <x:v>0</x:v>
      </x:c>
      <x:c r="B276" s="50" t="str">
        <x:v>FV-0548</x:v>
      </x:c>
      <x:c r="C276" s="51" t="str">
        <x:v>Fan chronology — Old Republic</x:v>
      </x:c>
      <x:c r="D276" s="51" t="str">
        <x:v>Darth Revan — He Turned Off a Jedi’s Lightsaber With One Finger</x:v>
      </x:c>
      <x:c r="E276" s="50" t="str"/>
      <x:c r="F276" s="51" t="str">
        <x:v>August 20, 2026</x:v>
      </x:c>
      <x:c r="G276" s="51" t="str">
        <x:v>Fan-made / non-canon</x:v>
      </x:c>
      <x:c r="H276" s="51" t="str">
        <x:v>Fan video</x:v>
      </x:c>
      <x:c r="I276" s="51" t="str">
        <x:v>YouTube — search by title</x:v>
      </x:c>
      <x:c r="J276" s="58" t="e">
        <x:f>HYPERLINK("https://www.youtube.com/results?search_query=Darth%20Revan%20%E2%80%94%20He%20Turned%20Off%20a%20Jedi%E2%80%99s%20Lightsaber%20With%20One%20Finger","Search")</x:f>
        <x:v>HYPERLINK is not implemented. linkLocation=https://www.youtube.com/results?search_query=Darth%20Revan%20%E2%80%94%20He%20Turned%20Off%20a%20Jedi%E2%80%99s%20Lightsaber%20With%20One%20Finger, friendlyName=Search</x:v>
      </x:c>
      <x:c r="K276" s="51" t="str">
        <x:v>Placed around the events and aftermath of Knights of the Old Republic.</x:v>
      </x:c>
      <x:c r="L276" s="76" t="str"/>
      <x:c r="M276" s="76" t="str">
        <x:v>Darth Revan — He Turned Off a Jedi’s Lightsaber With One Finger</x:v>
      </x:c>
      <x:c r="N276" s="76"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276" s="76" t="str">
        <x:v>Old Republic — Revan / Knights of the Old Republic era</x:v>
      </x:c>
      <x:c r="P276" s="76" t="str">
        <x:v>IMG_6738.PNG</x:v>
      </x:c>
      <x:c r="Q276" s="76" t="str">
        <x:v>OCR extracted / placement assigned</x:v>
      </x:c>
      <x:c r="R276" s="76" t="str">
        <x:v>High</x:v>
      </x:c>
      <x:c r="S276" s="76" t="str"/>
      <x:c r="T276" s="76" t="str">
        <x:v>Unique</x:v>
      </x:c>
    </x:row>
    <x:row r="277" s="23" customFormat="1" ht="36" customHeight="1">
      <x:c r="A277" s="49" t="b">
        <x:v>0</x:v>
      </x:c>
      <x:c r="B277" s="50" t="str">
        <x:v>FV-0155</x:v>
      </x:c>
      <x:c r="C277" s="51" t="str">
        <x:v>Fan chronology — Old Republic</x:v>
      </x:c>
      <x:c r="D277" s="51" t="str">
        <x:v>Darth Revan — The Hunter's Mistake é | Star Wars: Old Republic</x:v>
      </x:c>
      <x:c r="E277" s="50" t="str"/>
      <x:c r="F277" s="51" t="str">
        <x:v>September 29, 2026</x:v>
      </x:c>
      <x:c r="G277" s="51" t="str">
        <x:v>Fan-made / non-canon</x:v>
      </x:c>
      <x:c r="H277" s="51" t="str">
        <x:v>Fan video</x:v>
      </x:c>
      <x:c r="I277" s="51" t="str">
        <x:v>YouTube — search by title</x:v>
      </x:c>
      <x:c r="J277" s="58" t="e">
        <x:f>HYPERLINK("https://www.youtube.com/results?search_query=Darth%20Revan%20%E2%80%94%20The%20Hunter's%20Mistake%20%C3%A9%20%7C%20Star%20Wars%3A%20Old%20Republic","Search")</x:f>
        <x:v>HYPERLINK is not implemented. linkLocation=https://www.youtube.com/results?search_query=Darth%20Revan%20%E2%80%94%20The%20Hunter's%20Mistake%20%C3%A9%20%7C%20Star%20Wars%3A%20Old%20Republic, friendlyName=Search</x:v>
      </x:c>
      <x:c r="K277" s="51" t="str">
        <x:v>Placed around the events and aftermath of Knights of the Old Republic.</x:v>
      </x:c>
      <x:c r="L277" s="76" t="str"/>
      <x:c r="M277" s="76" t="str">
        <x:v>Darth Revan — The Hunter's Mistake é | Star Wars: Old Republic</x:v>
      </x:c>
      <x:c r="N277" s="76"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277" s="76" t="str">
        <x:v>Old Republic — Revan / Knights of the Old Republic era</x:v>
      </x:c>
      <x:c r="P277" s="76" t="str">
        <x:v>IMG_6338.PNG</x:v>
      </x:c>
      <x:c r="Q277" s="76" t="str">
        <x:v>OCR extracted / placement assigned</x:v>
      </x:c>
      <x:c r="R277" s="76" t="str">
        <x:v>High</x:v>
      </x:c>
      <x:c r="S277" s="76" t="str"/>
      <x:c r="T277" s="76" t="str">
        <x:v>Unique</x:v>
      </x:c>
    </x:row>
    <x:row r="278" s="23" customFormat="1" ht="36" customHeight="1">
      <x:c r="A278" s="49" t="b">
        <x:v>0</x:v>
      </x:c>
      <x:c r="B278" s="50" t="str">
        <x:v>FV-0136</x:v>
      </x:c>
      <x:c r="C278" s="51" t="str">
        <x:v>Fan chronology — Old Republic</x:v>
      </x:c>
      <x:c r="D278" s="51" t="str">
        <x:v>Darth Revan — They Blocked the Force, Forgot the Handle</x:v>
      </x:c>
      <x:c r="E278" s="50" t="str"/>
      <x:c r="F278" s="51" t="str">
        <x:v>October 1, 2026</x:v>
      </x:c>
      <x:c r="G278" s="51" t="str">
        <x:v>Fan-made / non-canon</x:v>
      </x:c>
      <x:c r="H278" s="51" t="str">
        <x:v>Fan video</x:v>
      </x:c>
      <x:c r="I278" s="51" t="str">
        <x:v>YouTube — search by title</x:v>
      </x:c>
      <x:c r="J278" s="58" t="e">
        <x:f>HYPERLINK("https://www.youtube.com/results?search_query=Darth%20Revan%20%E2%80%94%20They%20Blocked%20the%20Force%2C%20Forgot%20the%20Handle","Search")</x:f>
        <x:v>HYPERLINK is not implemented. linkLocation=https://www.youtube.com/results?search_query=Darth%20Revan%20%E2%80%94%20They%20Blocked%20the%20Force%2C%20Forgot%20the%20Handle, friendlyName=Search</x:v>
      </x:c>
      <x:c r="K278" s="51" t="str">
        <x:v>Placed around the events and aftermath of Knights of the Old Republic.</x:v>
      </x:c>
      <x:c r="L278" s="76" t="str"/>
      <x:c r="M278" s="76" t="str">
        <x:v>Darth Revan — They Blocked the Force, Forgot the Handle</x:v>
      </x:c>
      <x:c r="N278" s="76"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278" s="76" t="str">
        <x:v>Old Republic — Revan / Knights of the Old Republic era</x:v>
      </x:c>
      <x:c r="P278" s="76" t="str">
        <x:v>IMG_6319.PNG</x:v>
      </x:c>
      <x:c r="Q278" s="76" t="str">
        <x:v>OCR extracted / placement assigned</x:v>
      </x:c>
      <x:c r="R278" s="76" t="str">
        <x:v>High</x:v>
      </x:c>
      <x:c r="S278" s="76" t="str"/>
      <x:c r="T278" s="76" t="str">
        <x:v>Unique</x:v>
      </x:c>
    </x:row>
    <x:row r="279" s="23" customFormat="1" ht="36" customHeight="1">
      <x:c r="A279" s="49" t="b">
        <x:v>0</x:v>
      </x:c>
      <x:c r="B279" s="50" t="str">
        <x:v>FV-0156</x:v>
      </x:c>
      <x:c r="C279" s="51" t="str">
        <x:v>Fan chronology — Old Republic</x:v>
      </x:c>
      <x:c r="D279" s="51" t="str">
        <x:v>Darth Revan — You Brought Everything | Needed @ | Star Wars</x:v>
      </x:c>
      <x:c r="E279" s="50" t="str"/>
      <x:c r="F279" s="51" t="str">
        <x:v>September 29, 2026</x:v>
      </x:c>
      <x:c r="G279" s="51" t="str">
        <x:v>Fan-made / non-canon</x:v>
      </x:c>
      <x:c r="H279" s="51" t="str">
        <x:v>Fan video</x:v>
      </x:c>
      <x:c r="I279" s="51" t="str">
        <x:v>YouTube — search by title</x:v>
      </x:c>
      <x:c r="J279" s="58" t="e">
        <x:f>HYPERLINK("https://www.youtube.com/results?search_query=Darth%20Revan%20%E2%80%94%20You%20Brought%20Everything%20%7C%20Needed%20%40%20%7C%20Star%20Wars","Search")</x:f>
        <x:v>HYPERLINK is not implemented. linkLocation=https://www.youtube.com/results?search_query=Darth%20Revan%20%E2%80%94%20You%20Brought%20Everything%20%7C%20Needed%20%40%20%7C%20Star%20Wars, friendlyName=Search</x:v>
      </x:c>
      <x:c r="K279" s="51" t="str">
        <x:v>Placed around the events and aftermath of Knights of the Old Republic.</x:v>
      </x:c>
      <x:c r="L279" s="76" t="str"/>
      <x:c r="M279" s="76" t="str">
        <x:v>Darth Revan — You Brought Everything | Needed @ | Star Wars</x:v>
      </x:c>
      <x:c r="N279" s="76"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279" s="76" t="str">
        <x:v>Old Republic — Revan / Knights of the Old Republic era</x:v>
      </x:c>
      <x:c r="P279" s="76" t="str">
        <x:v>IMG_6339.PNG</x:v>
      </x:c>
      <x:c r="Q279" s="76" t="str">
        <x:v>OCR extracted / placement assigned</x:v>
      </x:c>
      <x:c r="R279" s="76" t="str">
        <x:v>High</x:v>
      </x:c>
      <x:c r="S279" s="76" t="str"/>
      <x:c r="T279" s="76" t="str">
        <x:v>Unique</x:v>
      </x:c>
    </x:row>
    <x:row r="280" s="23" customFormat="1" ht="36" customHeight="1">
      <x:c r="A280" s="49" t="b">
        <x:v>0</x:v>
      </x:c>
      <x:c r="B280" s="50" t="str">
        <x:v>FV-0301</x:v>
      </x:c>
      <x:c r="C280" s="51" t="str">
        <x:v>Fan chronology — Old Republic</x:v>
      </x:c>
      <x:c r="D280" s="51" t="str">
        <x:v>DARTH REVAN — YOU TRUSTED THE WEAPON</x:v>
      </x:c>
      <x:c r="E280" s="50" t="str"/>
      <x:c r="F280" s="51" t="str">
        <x:v>August 31, 2026</x:v>
      </x:c>
      <x:c r="G280" s="51" t="str">
        <x:v>Fan-made / non-canon</x:v>
      </x:c>
      <x:c r="H280" s="51" t="str">
        <x:v>Fan video</x:v>
      </x:c>
      <x:c r="I280" s="51" t="str">
        <x:v>YouTube — search by title</x:v>
      </x:c>
      <x:c r="J280" s="58" t="e">
        <x:f>HYPERLINK("https://www.youtube.com/results?search_query=DARTH%20REVAN%20%E2%80%94%20YOU%20TRUSTED%20THE%20WEAPON","Search")</x:f>
        <x:v>HYPERLINK is not implemented. linkLocation=https://www.youtube.com/results?search_query=DARTH%20REVAN%20%E2%80%94%20YOU%20TRUSTED%20THE%20WEAPON, friendlyName=Search</x:v>
      </x:c>
      <x:c r="K280" s="51" t="str">
        <x:v>Placed around the events and aftermath of Knights of the Old Republic.</x:v>
      </x:c>
      <x:c r="L280" s="76" t="str"/>
      <x:c r="M280" s="76" t="str">
        <x:v>DARTH REVAN — YOU TRUSTED THE WEAPON</x:v>
      </x:c>
      <x:c r="N280" s="76"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280" s="76" t="str">
        <x:v>Old Republic — Revan / Knights of the Old Republic era</x:v>
      </x:c>
      <x:c r="P280" s="76" t="str">
        <x:v>IMG_6487.PNG</x:v>
      </x:c>
      <x:c r="Q280" s="76" t="str">
        <x:v>OCR extracted / placement assigned</x:v>
      </x:c>
      <x:c r="R280" s="76" t="str">
        <x:v>High</x:v>
      </x:c>
      <x:c r="S280" s="76" t="str"/>
      <x:c r="T280" s="76" t="str">
        <x:v>Unique</x:v>
      </x:c>
    </x:row>
    <x:row r="281" s="23" customFormat="1" ht="36" customHeight="1">
      <x:c r="A281" s="49" t="b">
        <x:v>0</x:v>
      </x:c>
      <x:c r="B281" s="50" t="str">
        <x:v>FV-0191</x:v>
      </x:c>
      <x:c r="C281" s="51" t="str">
        <x:v>Fan chronology — Old Republic</x:v>
      </x:c>
      <x:c r="D281" s="51" t="str">
        <x:v>DARTH REVAN &amp; DARTH MALAK — THE STAR FORGE | EPISODE 2</x:v>
      </x:c>
      <x:c r="E281" s="50" t="str">
        <x:v>EPISODE 2</x:v>
      </x:c>
      <x:c r="F281" s="51" t="str">
        <x:v>September 23, 2026</x:v>
      </x:c>
      <x:c r="G281" s="51" t="str">
        <x:v>Fan-made / non-canon</x:v>
      </x:c>
      <x:c r="H281" s="51" t="str">
        <x:v>Fan video</x:v>
      </x:c>
      <x:c r="I281" s="51" t="str">
        <x:v>YouTube — search by title</x:v>
      </x:c>
      <x:c r="J281" s="58" t="e">
        <x:f>HYPERLINK("https://www.youtube.com/results?search_query=DARTH%20REVAN%20%26%20DARTH%20MALAK%20%E2%80%94%20THE%20STAR%20FORGE%20%7C%20EPISODE%202","Search")</x:f>
        <x:v>HYPERLINK is not implemented. linkLocation=https://www.youtube.com/results?search_query=DARTH%20REVAN%20%26%20DARTH%20MALAK%20%E2%80%94%20THE%20STAR%20FORGE%20%7C%20EPISODE%202, friendlyName=Search</x:v>
      </x:c>
      <x:c r="K281" s="51" t="str">
        <x:v>Placed around the events and aftermath of Knights of the Old Republic.</x:v>
      </x:c>
      <x:c r="L281" s="76" t="str">
        <x:v>DARTH REVAN &amp; DARTH MALAK — THE STAR FORGE</x:v>
      </x:c>
      <x:c r="M281" s="76" t="str">
        <x:v>DARTH REVAN &amp; DARTH MALAK — THE STAR FORGE | EPISODE 2</x:v>
      </x:c>
      <x:c r="N281" s="76"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281" s="76" t="str">
        <x:v>Old Republic — Revan / Knights of the Old Republic era</x:v>
      </x:c>
      <x:c r="P281" s="76" t="str">
        <x:v>IMG_6374.PNG</x:v>
      </x:c>
      <x:c r="Q281" s="76" t="str">
        <x:v>OCR extracted / placement assigned</x:v>
      </x:c>
      <x:c r="R281" s="76" t="str">
        <x:v>High</x:v>
      </x:c>
      <x:c r="S281" s="76" t="str"/>
      <x:c r="T281" s="76" t="str">
        <x:v>Unique</x:v>
      </x:c>
    </x:row>
    <x:row r="282" s="23" customFormat="1" ht="36" customHeight="1">
      <x:c r="A282" s="49" t="b">
        <x:v>0</x:v>
      </x:c>
      <x:c r="B282" s="50" t="str">
        <x:v>FV-0184</x:v>
      </x:c>
      <x:c r="C282" s="51" t="str">
        <x:v>Fan chronology — Old Republic</x:v>
      </x:c>
      <x:c r="D282" s="51" t="str">
        <x:v>DARTH REVAN &amp; DARTH MALAK — THE STAR FORGE AWAKENS &gt;» | Episode 3</x:v>
      </x:c>
      <x:c r="E282" s="50" t="str">
        <x:v>Episode 3</x:v>
      </x:c>
      <x:c r="F282" s="51" t="str">
        <x:v>September 24, 2026</x:v>
      </x:c>
      <x:c r="G282" s="51" t="str">
        <x:v>Fan-made / non-canon</x:v>
      </x:c>
      <x:c r="H282" s="51" t="str">
        <x:v>Fan video</x:v>
      </x:c>
      <x:c r="I282" s="51" t="str">
        <x:v>YouTube — search by title</x:v>
      </x:c>
      <x:c r="J282" s="58" t="e">
        <x:f>HYPERLINK("https://www.youtube.com/results?search_query=DARTH%20REVAN%20%26%20DARTH%20MALAK%20%E2%80%94%20THE%20STAR%20FORGE%20AWAKENS%20%3E%C2%BB%20%7C%20Episode%203","Search")</x:f>
        <x:v>HYPERLINK is not implemented. linkLocation=https://www.youtube.com/results?search_query=DARTH%20REVAN%20%26%20DARTH%20MALAK%20%E2%80%94%20THE%20STAR%20FORGE%20AWAKENS%20%3E%C2%BB%20%7C%20Episode%203, friendlyName=Search</x:v>
      </x:c>
      <x:c r="K282" s="51" t="str">
        <x:v>Placed around the events and aftermath of Knights of the Old Republic.</x:v>
      </x:c>
      <x:c r="L282" s="76" t="str">
        <x:v>DARTH REVAN &amp; DARTH MALAK — THE STAR FORGE AWAKENS &gt;»</x:v>
      </x:c>
      <x:c r="M282" s="76" t="str">
        <x:v>DARTH REVAN &amp; DARTH MALAK — THE STAR FORGE AWAKENS &gt;» | Episode 3</x:v>
      </x:c>
      <x:c r="N282" s="76"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282" s="76" t="str">
        <x:v>Old Republic — Revan / Knights of the Old Republic era</x:v>
      </x:c>
      <x:c r="P282" s="76" t="str">
        <x:v>IMG_6367.PNG</x:v>
      </x:c>
      <x:c r="Q282" s="76" t="str">
        <x:v>OCR extracted / placement assigned</x:v>
      </x:c>
      <x:c r="R282" s="76" t="str">
        <x:v>High</x:v>
      </x:c>
      <x:c r="S282" s="76" t="str"/>
      <x:c r="T282" s="76" t="str">
        <x:v>Unique</x:v>
      </x:c>
    </x:row>
    <x:row r="283" s="23" customFormat="1" ht="36" customHeight="1">
      <x:c r="A283" s="49" t="b">
        <x:v>0</x:v>
      </x:c>
      <x:c r="B283" s="50" t="str">
        <x:v>FV-0159</x:v>
      </x:c>
      <x:c r="C283" s="51" t="str">
        <x:v>Fan chronology — Old Republic</x:v>
      </x:c>
      <x:c r="D283" s="51" t="str">
        <x:v>DARTH REVAN &amp; DARTH MALAK ry THE STAR FORGE HUNGERS | Episode 4</x:v>
      </x:c>
      <x:c r="E283" s="50" t="str">
        <x:v>Episode 4</x:v>
      </x:c>
      <x:c r="F283" s="51" t="str">
        <x:v>September 28, 2026</x:v>
      </x:c>
      <x:c r="G283" s="51" t="str">
        <x:v>Fan-made / non-canon</x:v>
      </x:c>
      <x:c r="H283" s="51" t="str">
        <x:v>Fan video</x:v>
      </x:c>
      <x:c r="I283" s="51" t="str">
        <x:v>YouTube — search by title</x:v>
      </x:c>
      <x:c r="J283" s="58" t="e">
        <x:f>HYPERLINK("https://www.youtube.com/results?search_query=DARTH%20REVAN%20%26%20DARTH%20MALAK%20ry%20THE%20STAR%20FORGE%20HUNGERS%20%7C%20Episode%204","Search")</x:f>
        <x:v>HYPERLINK is not implemented. linkLocation=https://www.youtube.com/results?search_query=DARTH%20REVAN%20%26%20DARTH%20MALAK%20ry%20THE%20STAR%20FORGE%20HUNGERS%20%7C%20Episode%204, friendlyName=Search</x:v>
      </x:c>
      <x:c r="K283" s="51" t="str">
        <x:v>Placed around the events and aftermath of Knights of the Old Republic.</x:v>
      </x:c>
      <x:c r="L283" s="76" t="str">
        <x:v>DARTH REVAN &amp; DARTH MALAK ry THE STAR FORGE HUNGERS</x:v>
      </x:c>
      <x:c r="M283" s="76" t="str">
        <x:v>DARTH REVAN &amp; DARTH MALAK ry THE STAR FORGE HUNGERS | Episode 4</x:v>
      </x:c>
      <x:c r="N283" s="76"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283" s="76" t="str">
        <x:v>Old Republic — Revan / Knights of the Old Republic era</x:v>
      </x:c>
      <x:c r="P283" s="76" t="str">
        <x:v>IMG_6342.PNG</x:v>
      </x:c>
      <x:c r="Q283" s="76" t="str">
        <x:v>OCR extracted / placement assigned</x:v>
      </x:c>
      <x:c r="R283" s="76" t="str">
        <x:v>High</x:v>
      </x:c>
      <x:c r="S283" s="76" t="str"/>
      <x:c r="T283" s="76" t="str">
        <x:v>Unique</x:v>
      </x:c>
    </x:row>
    <x:row r="284" s="23" customFormat="1" ht="36" customHeight="1">
      <x:c r="A284" s="49" t="b">
        <x:v>0</x:v>
      </x:c>
      <x:c r="B284" s="50" t="str">
        <x:v>FV-0221</x:v>
      </x:c>
      <x:c r="C284" s="51" t="str">
        <x:v>Fan chronology — Old Republic</x:v>
      </x:c>
      <x:c r="D284" s="51" t="str">
        <x:v>Darth Revan &amp; Malak — Episode 3: The World Malak Burned</x:v>
      </x:c>
      <x:c r="E284" s="50" t="str">
        <x:v>Episode 3</x:v>
      </x:c>
      <x:c r="F284" s="51" t="str">
        <x:v>September 13, 2026</x:v>
      </x:c>
      <x:c r="G284" s="51" t="str">
        <x:v>Fan-made / non-canon</x:v>
      </x:c>
      <x:c r="H284" s="51" t="str">
        <x:v>Fan video</x:v>
      </x:c>
      <x:c r="I284" s="51" t="str">
        <x:v>YouTube — search by title</x:v>
      </x:c>
      <x:c r="J284" s="58" t="e">
        <x:f>HYPERLINK("https://www.youtube.com/results?search_query=Darth%20Revan%20%26%20Malak%20%E2%80%94%20Episode%203%3A%20The%20World%20Malak%20Burned","Search")</x:f>
        <x:v>HYPERLINK is not implemented. linkLocation=https://www.youtube.com/results?search_query=Darth%20Revan%20%26%20Malak%20%E2%80%94%20Episode%203%3A%20The%20World%20Malak%20Burned, friendlyName=Search</x:v>
      </x:c>
      <x:c r="K284" s="51" t="str">
        <x:v>Placed around the events and aftermath of Knights of the Old Republic.</x:v>
      </x:c>
      <x:c r="L284" s="76" t="str">
        <x:v>Darth Revan &amp; Malak</x:v>
      </x:c>
      <x:c r="M284" s="76" t="str">
        <x:v>Darth Revan &amp; Malak — Episode 3: The World Malak Burned</x:v>
      </x:c>
      <x:c r="N284" s="76"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284" s="76" t="str">
        <x:v>Old Republic — Revan / Knights of the Old Republic era</x:v>
      </x:c>
      <x:c r="P284" s="76" t="str">
        <x:v>IMG_6404.PNG</x:v>
      </x:c>
      <x:c r="Q284" s="76" t="str">
        <x:v>OCR extracted / placement assigned</x:v>
      </x:c>
      <x:c r="R284" s="76" t="str">
        <x:v>High</x:v>
      </x:c>
      <x:c r="S284" s="76" t="str"/>
      <x:c r="T284" s="76" t="str">
        <x:v>Unique</x:v>
      </x:c>
    </x:row>
    <x:row r="285" s="23" customFormat="1" ht="36" customHeight="1">
      <x:c r="A285" s="49" t="b">
        <x:v>0</x:v>
      </x:c>
      <x:c r="B285" s="50" t="str">
        <x:v>FV-0229</x:v>
      </x:c>
      <x:c r="C285" s="51" t="str">
        <x:v>Fan chronology — Old Republic</x:v>
      </x:c>
      <x:c r="D285" s="51" t="str">
        <x:v>DARTH REVAN &amp; ROBOT JEDI VS. THE VONG — EPISODE 2: THE CITY THAT GREW</x:v>
      </x:c>
      <x:c r="E285" s="50" t="str">
        <x:v>EPISODE 2</x:v>
      </x:c>
      <x:c r="F285" s="51" t="str">
        <x:v>September 10, 2026</x:v>
      </x:c>
      <x:c r="G285" s="51" t="str">
        <x:v>Fan-made / non-canon</x:v>
      </x:c>
      <x:c r="H285" s="51" t="str">
        <x:v>Fan video</x:v>
      </x:c>
      <x:c r="I285" s="51" t="str">
        <x:v>YouTube — search by title</x:v>
      </x:c>
      <x:c r="J285" s="58" t="e">
        <x:f>HYPERLINK("https://www.youtube.com/results?search_query=DARTH%20REVAN%20%26%20ROBOT%20JEDI%20VS.%20THE%20VONG%20%E2%80%94%20EPISODE%202%3A%20THE%20CITY%20THAT%20GREW","Search")</x:f>
        <x:v>HYPERLINK is not implemented. linkLocation=https://www.youtube.com/results?search_query=DARTH%20REVAN%20%26%20ROBOT%20JEDI%20VS.%20THE%20VONG%20%E2%80%94%20EPISODE%202%3A%20THE%20CITY%20THAT%20GREW, friendlyName=Search</x:v>
      </x:c>
      <x:c r="K285" s="51" t="str">
        <x:v>Placed around the events and aftermath of Knights of the Old Republic.</x:v>
      </x:c>
      <x:c r="L285" s="76" t="str">
        <x:v>DARTH REVAN &amp; ROBOT JEDI VS. THE VONG</x:v>
      </x:c>
      <x:c r="M285" s="76" t="str">
        <x:v>DARTH REVAN &amp; ROBOT JEDI VS. THE VONG — EPISODE 2: THE CITY THAT GREW</x:v>
      </x:c>
      <x:c r="N285" s="76" t="str">
        <x:v>Support Unleashed:
Cash App: $brednew
PayPal: @blainehenry688
Manhattan is no longer merely under attack—it is
alive.
As the Yuuzhan Vong transform Earth with their
terrifying organic technology, Darth Revan and
Robot Jedi discover an enormous living intelligence
growing beneath the city. With civilians trapped and
hundreds of warriors closing in, Revan realizes the
horrifying truth:
The Vong aren't invading the city. They're growing a
new one.</x:v>
      </x:c>
      <x:c r="O285" s="76" t="str">
        <x:v>Old Republic — Revan / Knights of the Old Republic era</x:v>
      </x:c>
      <x:c r="P285" s="76" t="str">
        <x:v>IMG_6412.PNG</x:v>
      </x:c>
      <x:c r="Q285" s="76" t="str">
        <x:v>OCR extracted / placement assigned</x:v>
      </x:c>
      <x:c r="R285" s="76" t="str">
        <x:v>High</x:v>
      </x:c>
      <x:c r="S285" s="76" t="str"/>
      <x:c r="T285" s="76" t="str">
        <x:v>Unique</x:v>
      </x:c>
    </x:row>
    <x:row r="286" s="23" customFormat="1" ht="36" customHeight="1">
      <x:c r="A286" s="49" t="b">
        <x:v>0</x:v>
      </x:c>
      <x:c r="B286" s="50" t="str">
        <x:v>FV-0216</x:v>
      </x:c>
      <x:c r="C286" s="51" t="str">
        <x:v>Fan chronology — Old Republic</x:v>
      </x:c>
      <x:c r="D286" s="51" t="str">
        <x:v>Darth Revan &amp; Robot Jedi vs. the Vong Titan | Earthfall</x:v>
      </x:c>
      <x:c r="E286" s="50" t="str"/>
      <x:c r="F286" s="51" t="str">
        <x:v>September 13, 2026</x:v>
      </x:c>
      <x:c r="G286" s="51" t="str">
        <x:v>Fan-made / non-canon</x:v>
      </x:c>
      <x:c r="H286" s="51" t="str">
        <x:v>Fan video</x:v>
      </x:c>
      <x:c r="I286" s="51" t="str">
        <x:v>YouTube — search by title</x:v>
      </x:c>
      <x:c r="J286" s="58" t="e">
        <x:f>HYPERLINK("https://www.youtube.com/results?search_query=Darth%20Revan%20%26%20Robot%20Jedi%20vs.%20the%20Vong%20Titan%20%7C%20Earthfall","Search")</x:f>
        <x:v>HYPERLINK is not implemented. linkLocation=https://www.youtube.com/results?search_query=Darth%20Revan%20%26%20Robot%20Jedi%20vs.%20the%20Vong%20Titan%20%7C%20Earthfall, friendlyName=Search</x:v>
      </x:c>
      <x:c r="K286" s="51" t="str">
        <x:v>Placed around the events and aftermath of Knights of the Old Republic.</x:v>
      </x:c>
      <x:c r="L286" s="76" t="str"/>
      <x:c r="M286" s="76" t="str">
        <x:v>Darth Revan &amp; Robot Jedi vs. the Vong Titan | Earthfall</x:v>
      </x:c>
      <x:c r="N286" s="76" t="str">
        <x:v>Cash App: $brednew
PayPal: @blainehenry688
The gravity bubble is gone. The giant waiting
beyond it is just getting started.
Darth Revan and Robot Jedi face a towering Vong
enemy on Earth's shattered streets. Purple and blue
blades meet living armor as precise teamwork turns
a wrecked car into their opening.
“Now we have its attention.”
#DarthRevan #RobotJedi #YuuzhanVong #StarWars
#Earthfall #Unleashed
Fan-made storytelling.</x:v>
      </x:c>
      <x:c r="O286" s="76" t="str">
        <x:v>Old Republic — Revan / Knights of the Old Republic era</x:v>
      </x:c>
      <x:c r="P286" s="76" t="str">
        <x:v>IMG_6399.PNG</x:v>
      </x:c>
      <x:c r="Q286" s="76" t="str">
        <x:v>OCR extracted / placement assigned</x:v>
      </x:c>
      <x:c r="R286" s="76" t="str">
        <x:v>High</x:v>
      </x:c>
      <x:c r="S286" s="76" t="str"/>
      <x:c r="T286" s="76" t="str">
        <x:v>Unique</x:v>
      </x:c>
    </x:row>
    <x:row r="287" s="23" customFormat="1" ht="36" customHeight="1">
      <x:c r="A287" s="49" t="b">
        <x:v>0</x:v>
      </x:c>
      <x:c r="B287" s="50" t="str">
        <x:v>FV-0240</x:v>
      </x:c>
      <x:c r="C287" s="51" t="str">
        <x:v>Fan chronology — Old Republic</x:v>
      </x:c>
      <x:c r="D287" s="51" t="str">
        <x:v>Darth Revan &amp; Robot Jedi: EARTHFALL | The Yuuzhan Vong Invasion — Episode 1</x:v>
      </x:c>
      <x:c r="E287" s="50" t="str">
        <x:v>Episode 1</x:v>
      </x:c>
      <x:c r="F287" s="51" t="str">
        <x:v>September 8, 2026</x:v>
      </x:c>
      <x:c r="G287" s="51" t="str">
        <x:v>Fan-made / non-canon</x:v>
      </x:c>
      <x:c r="H287" s="51" t="str">
        <x:v>Fan video</x:v>
      </x:c>
      <x:c r="I287" s="51" t="str">
        <x:v>YouTube — search by title</x:v>
      </x:c>
      <x:c r="J287" s="58" t="e">
        <x:f>HYPERLINK("https://www.youtube.com/results?search_query=Darth%20Revan%20%26%20Robot%20Jedi%3A%20EARTHFALL%20%7C%20The%20Yuuzhan%20Vong%20Invasion%20%E2%80%94%20Episode%201","Search")</x:f>
        <x:v>HYPERLINK is not implemented. linkLocation=https://www.youtube.com/results?search_query=Darth%20Revan%20%26%20Robot%20Jedi%3A%20EARTHFALL%20%7C%20The%20Yuuzhan%20Vong%20Invasion%20%E2%80%94%20Episode%201, friendlyName=Search</x:v>
      </x:c>
      <x:c r="K287" s="51" t="str">
        <x:v>Placed around the events and aftermath of Knights of the Old Republic.</x:v>
      </x:c>
      <x:c r="L287" s="76" t="str">
        <x:v>The Yuuzhan Vong Invasion</x:v>
      </x:c>
      <x:c r="M287" s="76" t="str">
        <x:v>Darth Revan &amp; Robot Jedi: EARTHFALL | The Yuuzhan Vong Invasion — Episode 1</x:v>
      </x:c>
      <x:c r="N287" s="76" t="str">
        <x:v>Earth has fallen to the Yuuzhan Vong—but two
defenders have arrived from another realm.
When a dimensional portal tears open above the
battlefield, Darth Revan and Robot Jedi enter a war
unlike anything humanity has ever faced. The Vong
cannot be sensed through the Force, their living
weapons resist lightsabers, and their invasion has
only begun.
DARTH REVAN &amp; ROBOT JEDI: EARTHFALL —
Episode 1.
Al-generated cinematic created by Blaine Henry.</x:v>
      </x:c>
      <x:c r="O287" s="76" t="str">
        <x:v>Old Republic — Revan / Knights of the Old Republic era</x:v>
      </x:c>
      <x:c r="P287" s="76" t="str">
        <x:v>IMG_6423.PNG</x:v>
      </x:c>
      <x:c r="Q287" s="76" t="str">
        <x:v>OCR extracted / placement assigned</x:v>
      </x:c>
      <x:c r="R287" s="76" t="str">
        <x:v>High</x:v>
      </x:c>
      <x:c r="S287" s="76" t="str"/>
      <x:c r="T287" s="76" t="str">
        <x:v>Unique</x:v>
      </x:c>
    </x:row>
    <x:row r="288" s="23" customFormat="1" ht="36" customHeight="1">
      <x:c r="A288" s="49" t="b">
        <x:v>0</x:v>
      </x:c>
      <x:c r="B288" s="50" t="str">
        <x:v>FV-0206</x:v>
      </x:c>
      <x:c r="C288" s="51" t="str">
        <x:v>Fan chronology — Old Republic</x:v>
      </x:c>
      <x:c r="D288" s="51" t="str">
        <x:v>Darth Revan &amp; Robot Jedi: Earthfall Episode 3 | lt Was Buying Time</x:v>
      </x:c>
      <x:c r="E288" s="50" t="str">
        <x:v>Episode 3</x:v>
      </x:c>
      <x:c r="F288" s="51" t="str">
        <x:v>September 15, 2026</x:v>
      </x:c>
      <x:c r="G288" s="51" t="str">
        <x:v>Fan-made / non-canon</x:v>
      </x:c>
      <x:c r="H288" s="51" t="str">
        <x:v>Fan video</x:v>
      </x:c>
      <x:c r="I288" s="51" t="str">
        <x:v>YouTube — search by title</x:v>
      </x:c>
      <x:c r="J288" s="58" t="e">
        <x:f>HYPERLINK("https://www.youtube.com/results?search_query=Darth%20Revan%20%26%20Robot%20Jedi%3A%20Earthfall%20Episode%203%20%7C%20lt%20Was%20Buying%20Time","Search")</x:f>
        <x:v>HYPERLINK is not implemented. linkLocation=https://www.youtube.com/results?search_query=Darth%20Revan%20%26%20Robot%20Jedi%3A%20Earthfall%20Episode%203%20%7C%20lt%20Was%20Buying%20Time, friendlyName=Search</x:v>
      </x:c>
      <x:c r="K288" s="51" t="str">
        <x:v>Placed around the events and aftermath of Knights of the Old Republic.</x:v>
      </x:c>
      <x:c r="L288" s="76" t="str">
        <x:v>Darth Revan &amp; Robot Jedi: Earthfall</x:v>
      </x:c>
      <x:c r="M288" s="76" t="str">
        <x:v>Darth Revan &amp; Robot Jedi: Earthfall Episode 3 | lt Was Buying Time</x:v>
      </x:c>
      <x:c r="N288" s="76" t="str">
        <x:v>Cash App: $brednew
PayPal: @blainehenry688
Darth Revan and Robot Jedi finally turn the Vong
Titan’s living amphistaff against the biological heart
beneath Manhattan—but their victory activates
something far worse.
The Titan wasn’t fighting to win. It was keeping
them occupied until the Vong invasion fleet could
reach Earth.
Now the sky belongs to the enemy.
Who should Revan and Robot Jedi confront in
Episode 4?</x:v>
      </x:c>
      <x:c r="O288" s="76" t="str">
        <x:v>Old Republic — Revan / Knights of the Old Republic era</x:v>
      </x:c>
      <x:c r="P288" s="76" t="str">
        <x:v>IMG_6389.PNG</x:v>
      </x:c>
      <x:c r="Q288" s="76" t="str">
        <x:v>OCR extracted / placement assigned</x:v>
      </x:c>
      <x:c r="R288" s="76" t="str">
        <x:v>High</x:v>
      </x:c>
      <x:c r="S288" s="76" t="str"/>
      <x:c r="T288" s="76" t="str">
        <x:v>Unique</x:v>
      </x:c>
    </x:row>
    <x:row r="289" s="23" customFormat="1" ht="36" customHeight="1">
      <x:c r="A289" s="49" t="b">
        <x:v>0</x:v>
      </x:c>
      <x:c r="B289" s="50" t="str">
        <x:v>FV-0144</x:v>
      </x:c>
      <x:c r="C289" s="51" t="str">
        <x:v>Fan chronology — Old Republic</x:v>
      </x:c>
      <x:c r="D289" s="51" t="str">
        <x:v>Darth Revan | Even the Ocean Couldn't Stop Himself</x:v>
      </x:c>
      <x:c r="E289" s="50" t="str"/>
      <x:c r="F289" s="51" t="str">
        <x:v>September 30, 2026</x:v>
      </x:c>
      <x:c r="G289" s="51" t="str">
        <x:v>Fan-made / non-canon</x:v>
      </x:c>
      <x:c r="H289" s="51" t="str">
        <x:v>Fan video</x:v>
      </x:c>
      <x:c r="I289" s="51" t="str">
        <x:v>YouTube — search by title</x:v>
      </x:c>
      <x:c r="J289" s="58" t="e">
        <x:f>HYPERLINK("https://www.youtube.com/results?search_query=Darth%20Revan%20%7C%20Even%20the%20Ocean%20Couldn't%20Stop%20Himself","Search")</x:f>
        <x:v>HYPERLINK is not implemented. linkLocation=https://www.youtube.com/results?search_query=Darth%20Revan%20%7C%20Even%20the%20Ocean%20Couldn't%20Stop%20Himself, friendlyName=Search</x:v>
      </x:c>
      <x:c r="K289" s="51" t="str">
        <x:v>Placed around the events and aftermath of Knights of the Old Republic.</x:v>
      </x:c>
      <x:c r="L289" s="76" t="str"/>
      <x:c r="M289" s="76" t="str">
        <x:v>Darth Revan | Even the Ocean Couldn't Stop Himself</x:v>
      </x:c>
      <x:c r="N289" s="76"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289" s="76" t="str">
        <x:v>Old Republic — Revan / Knights of the Old Republic era</x:v>
      </x:c>
      <x:c r="P289" s="76" t="str">
        <x:v>IMG_6327.PNG</x:v>
      </x:c>
      <x:c r="Q289" s="76" t="str">
        <x:v>OCR extracted / placement assigned</x:v>
      </x:c>
      <x:c r="R289" s="76" t="str">
        <x:v>High</x:v>
      </x:c>
      <x:c r="S289" s="76" t="str"/>
      <x:c r="T289" s="76" t="str">
        <x:v>Unique</x:v>
      </x:c>
    </x:row>
    <x:row r="290" s="23" customFormat="1" ht="36" customHeight="1">
      <x:c r="A290" s="49" t="b">
        <x:v>0</x:v>
      </x:c>
      <x:c r="B290" s="50" t="str">
        <x:v>FV-0099</x:v>
      </x:c>
      <x:c r="C290" s="51" t="str">
        <x:v>Fan chronology — Old Republic</x:v>
      </x:c>
      <x:c r="D290" s="51" t="str">
        <x:v>Darth Revan Booted the Parking Officer &amp; | “Neither Are You.”</x:v>
      </x:c>
      <x:c r="E290" s="50" t="str"/>
      <x:c r="F290" s="51" t="str">
        <x:v>October 4, 2026</x:v>
      </x:c>
      <x:c r="G290" s="51" t="str">
        <x:v>Fan-made / non-canon</x:v>
      </x:c>
      <x:c r="H290" s="51" t="str">
        <x:v>Fan video</x:v>
      </x:c>
      <x:c r="I290" s="51" t="str">
        <x:v>YouTube — search by title</x:v>
      </x:c>
      <x:c r="J290" s="58" t="e">
        <x:f>HYPERLINK("https://www.youtube.com/results?search_query=Darth%20Revan%20Booted%20the%20Parking%20Officer%20%26%20%7C%20%E2%80%9CNeither%20Are%20You.%E2%80%9D","Search")</x:f>
        <x:v>HYPERLINK is not implemented. linkLocation=https://www.youtube.com/results?search_query=Darth%20Revan%20Booted%20the%20Parking%20Officer%20%26%20%7C%20%E2%80%9CNeither%20Are%20You.%E2%80%9D, friendlyName=Search</x:v>
      </x:c>
      <x:c r="K290" s="51" t="str">
        <x:v>Placed around the events and aftermath of Knights of the Old Republic.</x:v>
      </x:c>
      <x:c r="L290" s="76" t="str"/>
      <x:c r="M290" s="76" t="str">
        <x:v>Darth Revan Booted the Parking Officer &amp; | “Neither Are You.”</x:v>
      </x:c>
      <x:c r="N290" s="76"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290" s="76" t="str">
        <x:v>Old Republic — Revan / Knights of the Old Republic era</x:v>
      </x:c>
      <x:c r="P290" s="76" t="str">
        <x:v>IMG_6282.PNG</x:v>
      </x:c>
      <x:c r="Q290" s="76" t="str">
        <x:v>OCR extracted / placement assigned</x:v>
      </x:c>
      <x:c r="R290" s="76" t="str">
        <x:v>High</x:v>
      </x:c>
      <x:c r="S290" s="76" t="str"/>
      <x:c r="T290" s="76" t="str">
        <x:v>Unique</x:v>
      </x:c>
    </x:row>
    <x:row r="291" s="23" customFormat="1" ht="36" customHeight="1">
      <x:c r="A291" s="49" t="b">
        <x:v>0</x:v>
      </x:c>
      <x:c r="B291" s="50" t="str">
        <x:v>FV-0101</x:v>
      </x:c>
      <x:c r="C291" s="51" t="str">
        <x:v>Fan chronology — Old Republic</x:v>
      </x:c>
      <x:c r="D291" s="51" t="str">
        <x:v>Darth Revan Cashed In His Own Bounty Hunter &amp; | “You're Worth Store Credit.”</x:v>
      </x:c>
      <x:c r="E291" s="50" t="str"/>
      <x:c r="F291" s="51" t="str">
        <x:v>October 3, 2026</x:v>
      </x:c>
      <x:c r="G291" s="51" t="str">
        <x:v>Fan-made / non-canon</x:v>
      </x:c>
      <x:c r="H291" s="51" t="str">
        <x:v>Fan video</x:v>
      </x:c>
      <x:c r="I291" s="51" t="str">
        <x:v>YouTube — search by title</x:v>
      </x:c>
      <x:c r="J291" s="58" t="e">
        <x:f>HYPERLINK("https://www.youtube.com/results?search_query=Darth%20Revan%20Cashed%20In%20His%20Own%20Bounty%20Hunter%20%26%20%7C%20%E2%80%9CYou're%20Worth%20Store%20Credit.%E2%80%9D","Search")</x:f>
        <x:v>HYPERLINK is not implemented. linkLocation=https://www.youtube.com/results?search_query=Darth%20Revan%20Cashed%20In%20His%20Own%20Bounty%20Hunter%20%26%20%7C%20%E2%80%9CYou're%20Worth%20Store%20Credit.%E2%80%9D, friendlyName=Search</x:v>
      </x:c>
      <x:c r="K291" s="51" t="str">
        <x:v>Placed around the events and aftermath of Knights of the Old Republic.</x:v>
      </x:c>
      <x:c r="L291" s="76" t="str"/>
      <x:c r="M291" s="76" t="str">
        <x:v>Darth Revan Cashed In His Own Bounty Hunter &amp; | “You're Worth Store Credit.”</x:v>
      </x:c>
      <x:c r="N291" s="76"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291" s="76" t="str">
        <x:v>Old Republic — Revan / Knights of the Old Republic era</x:v>
      </x:c>
      <x:c r="P291" s="76" t="str">
        <x:v>IMG_6284.PNG</x:v>
      </x:c>
      <x:c r="Q291" s="76" t="str">
        <x:v>OCR extracted / placement assigned</x:v>
      </x:c>
      <x:c r="R291" s="76" t="str">
        <x:v>High</x:v>
      </x:c>
      <x:c r="S291" s="76" t="str"/>
      <x:c r="T291" s="76" t="str">
        <x:v>Unique</x:v>
      </x:c>
    </x:row>
    <x:row r="292" s="23" customFormat="1" ht="36" customHeight="1">
      <x:c r="A292" s="49" t="b">
        <x:v>0</x:v>
      </x:c>
      <x:c r="B292" s="50" t="str">
        <x:v>FV-0359</x:v>
      </x:c>
      <x:c r="C292" s="51" t="str">
        <x:v>Fan chronology — Old Republic</x:v>
      </x:c>
      <x:c r="D292" s="51" t="str">
        <x:v>Darth Revan Catches Force Lightning With His Bare Hands</x:v>
      </x:c>
      <x:c r="E292" s="50" t="str"/>
      <x:c r="F292" s="51" t="str">
        <x:v>August 25, 2026</x:v>
      </x:c>
      <x:c r="G292" s="51" t="str">
        <x:v>Fan-made / non-canon</x:v>
      </x:c>
      <x:c r="H292" s="51" t="str">
        <x:v>Fan video</x:v>
      </x:c>
      <x:c r="I292" s="51" t="str">
        <x:v>YouTube — search by title</x:v>
      </x:c>
      <x:c r="J292" s="58" t="e">
        <x:f>HYPERLINK("https://www.youtube.com/results?search_query=Darth%20Revan%20Catches%20Force%20Lightning%20With%20His%20Bare%20Hands","Search")</x:f>
        <x:v>HYPERLINK is not implemented. linkLocation=https://www.youtube.com/results?search_query=Darth%20Revan%20Catches%20Force%20Lightning%20With%20His%20Bare%20Hands, friendlyName=Search</x:v>
      </x:c>
      <x:c r="K292" s="51" t="str">
        <x:v>Placed around the events and aftermath of Knights of the Old Republic.</x:v>
      </x:c>
      <x:c r="L292" s="76" t="str"/>
      <x:c r="M292" s="76" t="str">
        <x:v>Darth Revan Catches Force Lightning With His Bare Hands</x:v>
      </x:c>
      <x:c r="N292" s="76"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292" s="76" t="str">
        <x:v>Old Republic — Revan / Knights of the Old Republic era</x:v>
      </x:c>
      <x:c r="P292" s="76" t="str">
        <x:v>IMG_6545.PNG</x:v>
      </x:c>
      <x:c r="Q292" s="76" t="str">
        <x:v>OCR extracted / placement assigned</x:v>
      </x:c>
      <x:c r="R292" s="76" t="str">
        <x:v>High</x:v>
      </x:c>
      <x:c r="S292" s="76" t="str"/>
      <x:c r="T292" s="76" t="str">
        <x:v>Unique</x:v>
      </x:c>
    </x:row>
    <x:row r="293" s="23" customFormat="1" ht="36" customHeight="1">
      <x:c r="A293" s="49" t="b">
        <x:v>0</x:v>
      </x:c>
      <x:c r="B293" s="50" t="str">
        <x:v>FV-0037</x:v>
      </x:c>
      <x:c r="C293" s="51" t="str">
        <x:v>Fan chronology — Old Republic</x:v>
      </x:c>
      <x:c r="D293" s="51" t="str">
        <x:v>Darth Revan Didn’t Open the Vault... He Stole It 🔥</x:v>
      </x:c>
      <x:c r="E293" s="50" t="str"/>
      <x:c r="F293" s="51" t="str">
        <x:v>October 11, 2026</x:v>
      </x:c>
      <x:c r="G293" s="51" t="str">
        <x:v>Fan-made / non-canon</x:v>
      </x:c>
      <x:c r="H293" s="51" t="str">
        <x:v>Fan video</x:v>
      </x:c>
      <x:c r="I293" s="51" t="str">
        <x:v>YouTube — search by title</x:v>
      </x:c>
      <x:c r="J293" s="58" t="e">
        <x:f>HYPERLINK("https://www.youtube.com/results?search_query=Darth%20Revan%20Didn%E2%80%99t%20Open%20the%20Vault...%20He%20Stole%20It%20%F0%9F%94%A5","Search")</x:f>
        <x:v>HYPERLINK is not implemented. linkLocation=https://www.youtube.com/results?search_query=Darth%20Revan%20Didn%E2%80%99t%20Open%20the%20Vault...%20He%20Stole%20It%20%F0%9F%94%A5, friendlyName=Search</x:v>
      </x:c>
      <x:c r="K293" s="51" t="str">
        <x:v>Placed around the events and aftermath of Knights of the Old Republic.</x:v>
      </x:c>
      <x:c r="L293" s="76" t="str"/>
      <x:c r="M293" s="76" t="str">
        <x:v>Darth Revan Didn’t Open the Vault... He Stole It 🔥</x:v>
      </x:c>
      <x:c r="N293" s="76"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293" s="76" t="str">
        <x:v>Old Republic — Revan / Knights of the Old Republic era</x:v>
      </x:c>
      <x:c r="P293" s="76" t="str">
        <x:v>IMG_6220.PNG</x:v>
      </x:c>
      <x:c r="Q293" s="76" t="str">
        <x:v>OCR extracted / placement assigned</x:v>
      </x:c>
      <x:c r="R293" s="76" t="str">
        <x:v>High</x:v>
      </x:c>
      <x:c r="S293" s="76" t="str"/>
      <x:c r="T293" s="76" t="str">
        <x:v>Unique</x:v>
      </x:c>
    </x:row>
    <x:row r="294" s="23" customFormat="1" ht="36" customHeight="1">
      <x:c r="A294" s="49" t="b">
        <x:v>0</x:v>
      </x:c>
      <x:c r="B294" s="50" t="str">
        <x:v>FV-0372</x:v>
      </x:c>
      <x:c r="C294" s="51" t="str">
        <x:v>Fan chronology — Old Republic</x:v>
      </x:c>
      <x:c r="D294" s="51" t="str">
        <x:v>Darth Revan Doesn’t Need to Raise His Voice 😈 | Jedi Unleashed</x:v>
      </x:c>
      <x:c r="E294" s="50" t="str"/>
      <x:c r="F294" s="51" t="str">
        <x:v>August 24, 2026</x:v>
      </x:c>
      <x:c r="G294" s="51" t="str">
        <x:v>Fan-made / non-canon</x:v>
      </x:c>
      <x:c r="H294" s="51" t="str">
        <x:v>Fan video</x:v>
      </x:c>
      <x:c r="I294" s="51" t="str">
        <x:v>YouTube — search by title</x:v>
      </x:c>
      <x:c r="J294" s="58" t="e">
        <x:f>HYPERLINK("https://www.youtube.com/results?search_query=Darth%20Revan%20Doesn%E2%80%99t%20Need%20to%20Raise%20His%20Voice%20%F0%9F%98%88%20%7C%20Jedi%20Unleashed","Search")</x:f>
        <x:v>HYPERLINK is not implemented. linkLocation=https://www.youtube.com/results?search_query=Darth%20Revan%20Doesn%E2%80%99t%20Need%20to%20Raise%20His%20Voice%20%F0%9F%98%88%20%7C%20Jedi%20Unleashed, friendlyName=Search</x:v>
      </x:c>
      <x:c r="K294" s="51" t="str">
        <x:v>Placed around the events and aftermath of Knights of the Old Republic.</x:v>
      </x:c>
      <x:c r="L294" s="76" t="str"/>
      <x:c r="M294" s="76" t="str">
        <x:v>Darth Revan Doesn’t Need to Raise His Voice 😈 | Jedi Unleashed</x:v>
      </x:c>
      <x:c r="N294" s="76"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294" s="76" t="str">
        <x:v>Old Republic — Revan / Knights of the Old Republic era</x:v>
      </x:c>
      <x:c r="P294" s="76" t="str">
        <x:v>IMG_6558.PNG</x:v>
      </x:c>
      <x:c r="Q294" s="76" t="str">
        <x:v>OCR extracted / placement assigned</x:v>
      </x:c>
      <x:c r="R294" s="76" t="str">
        <x:v>High</x:v>
      </x:c>
      <x:c r="S294" s="76" t="str"/>
      <x:c r="T294" s="76" t="str">
        <x:v>Unique</x:v>
      </x:c>
    </x:row>
    <x:row r="295" s="23" customFormat="1" ht="36" customHeight="1">
      <x:c r="A295" s="49" t="b">
        <x:v>0</x:v>
      </x:c>
      <x:c r="B295" s="50" t="str">
        <x:v>FV-0141</x:v>
      </x:c>
      <x:c r="C295" s="51" t="str">
        <x:v>Fan chronology — Old Republic</x:v>
      </x:c>
      <x:c r="D295" s="51" t="str">
        <x:v>Darth Revan Fooled the Jedi With a Fake Holocron</x:v>
      </x:c>
      <x:c r="E295" s="50" t="str"/>
      <x:c r="F295" s="51" t="str">
        <x:v>September 30, 2026</x:v>
      </x:c>
      <x:c r="G295" s="51" t="str">
        <x:v>Fan-made / non-canon</x:v>
      </x:c>
      <x:c r="H295" s="51" t="str">
        <x:v>Fan video</x:v>
      </x:c>
      <x:c r="I295" s="51" t="str">
        <x:v>YouTube — search by title</x:v>
      </x:c>
      <x:c r="J295" s="58" t="e">
        <x:f>HYPERLINK("https://www.youtube.com/results?search_query=Darth%20Revan%20Fooled%20the%20Jedi%20With%20a%20Fake%20Holocron","Search")</x:f>
        <x:v>HYPERLINK is not implemented. linkLocation=https://www.youtube.com/results?search_query=Darth%20Revan%20Fooled%20the%20Jedi%20With%20a%20Fake%20Holocron, friendlyName=Search</x:v>
      </x:c>
      <x:c r="K295" s="51" t="str">
        <x:v>Placed around the events and aftermath of Knights of the Old Republic.</x:v>
      </x:c>
      <x:c r="L295" s="76" t="str"/>
      <x:c r="M295" s="76" t="str">
        <x:v>Darth Revan Fooled the Jedi With a Fake Holocron</x:v>
      </x:c>
      <x:c r="N295" s="76"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295" s="76" t="str">
        <x:v>Old Republic — Revan / Knights of the Old Republic era</x:v>
      </x:c>
      <x:c r="P295" s="76" t="str">
        <x:v>IMG_6324.PNG</x:v>
      </x:c>
      <x:c r="Q295" s="76" t="str">
        <x:v>OCR extracted / placement assigned</x:v>
      </x:c>
      <x:c r="R295" s="76" t="str">
        <x:v>High</x:v>
      </x:c>
      <x:c r="S295" s="76" t="str"/>
      <x:c r="T295" s="76" t="str">
        <x:v>Unique</x:v>
      </x:c>
    </x:row>
    <x:row r="296" s="23" customFormat="1" ht="36" customHeight="1">
      <x:c r="A296" s="49" t="b">
        <x:v>0</x:v>
      </x:c>
      <x:c r="B296" s="50" t="str">
        <x:v>FV-0074</x:v>
      </x:c>
      <x:c r="C296" s="51" t="str">
        <x:v>Fan chronology — Old Republic</x:v>
      </x:c>
      <x:c r="D296" s="51" t="str">
        <x:v>Darth Revan Has Notes for the Jedi Council | The Value of Counsel | UNLEASHED</x:v>
      </x:c>
      <x:c r="E296" s="50" t="str"/>
      <x:c r="F296" s="51" t="str">
        <x:v>October 7, 2026</x:v>
      </x:c>
      <x:c r="G296" s="51" t="str">
        <x:v>Fan-made / non-canon</x:v>
      </x:c>
      <x:c r="H296" s="51" t="str">
        <x:v>Fan video</x:v>
      </x:c>
      <x:c r="I296" s="51" t="str">
        <x:v>YouTube — search by title</x:v>
      </x:c>
      <x:c r="J296" s="58" t="e">
        <x:f>HYPERLINK("https://www.youtube.com/results?search_query=Darth%20Revan%20Has%20Notes%20for%20the%20Jedi%20Council%20%7C%20The%20Value%20of%20Counsel%20%7C%20UNLEASHED","Search")</x:f>
        <x:v>HYPERLINK is not implemented. linkLocation=https://www.youtube.com/results?search_query=Darth%20Revan%20Has%20Notes%20for%20the%20Jedi%20Council%20%7C%20The%20Value%20of%20Counsel%20%7C%20UNLEASHED, friendlyName=Search</x:v>
      </x:c>
      <x:c r="K296" s="51" t="str">
        <x:v>Placed around the events and aftermath of Knights of the Old Republic.</x:v>
      </x:c>
      <x:c r="L296" s="76" t="str"/>
      <x:c r="M296" s="76" t="str">
        <x:v>Darth Revan Has Notes for the Jedi Council | The Value of Counsel | UNLEASHED</x:v>
      </x:c>
      <x:c r="N296" s="76"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296" s="76" t="str">
        <x:v>Old Republic — Revan / Knights of the Old Republic era</x:v>
      </x:c>
      <x:c r="P296" s="76" t="str">
        <x:v>IMG_6257.PNG</x:v>
      </x:c>
      <x:c r="Q296" s="76" t="str">
        <x:v>OCR extracted / placement assigned</x:v>
      </x:c>
      <x:c r="R296" s="76" t="str">
        <x:v>High</x:v>
      </x:c>
      <x:c r="S296" s="76" t="str"/>
      <x:c r="T296" s="76" t="str">
        <x:v>Unique</x:v>
      </x:c>
    </x:row>
    <x:row r="297" s="23" customFormat="1" ht="36" customHeight="1">
      <x:c r="A297" s="49" t="b">
        <x:v>0</x:v>
      </x:c>
      <x:c r="B297" s="50" t="str">
        <x:v>FV-0545</x:v>
      </x:c>
      <x:c r="C297" s="51" t="str">
        <x:v>Fan chronology — Old Republic</x:v>
      </x:c>
      <x:c r="D297" s="51" t="str">
        <x:v>Darth Revan Has One Request for Tomorrow... Bring a Nickel @</x:v>
      </x:c>
      <x:c r="E297" s="50" t="str"/>
      <x:c r="F297" s="51" t="str">
        <x:v>August 20, 2026</x:v>
      </x:c>
      <x:c r="G297" s="51" t="str">
        <x:v>Fan-made / non-canon</x:v>
      </x:c>
      <x:c r="H297" s="51" t="str">
        <x:v>Fan video</x:v>
      </x:c>
      <x:c r="I297" s="51" t="str">
        <x:v>YouTube — search by title</x:v>
      </x:c>
      <x:c r="J297" s="58" t="e">
        <x:f>HYPERLINK("https://www.youtube.com/results?search_query=Darth%20Revan%20Has%20One%20Request%20for%20Tomorrow...%20Bring%20a%20Nickel%20%40","Search")</x:f>
        <x:v>HYPERLINK is not implemented. linkLocation=https://www.youtube.com/results?search_query=Darth%20Revan%20Has%20One%20Request%20for%20Tomorrow...%20Bring%20a%20Nickel%20%40, friendlyName=Search</x:v>
      </x:c>
      <x:c r="K297" s="51" t="str">
        <x:v>Placed around the events and aftermath of Knights of the Old Republic.</x:v>
      </x:c>
      <x:c r="L297" s="76" t="str"/>
      <x:c r="M297" s="76" t="str">
        <x:v>Darth Revan Has One Request for Tomorrow... Bring a Nickel @</x:v>
      </x:c>
      <x:c r="N297" s="76" t="str">
        <x:v>@3 Cash App: $brednew
© PayPal: @blainehenry688
Darth Revan doesn't ask for much.
No explanation.
No warning.
Just one message:
“Tomorrow... bring a nickel.”
That's it.
You'll understand tomorrow. @ @
NICKEL FRIDAY IS COMING.</x:v>
      </x:c>
      <x:c r="O297" s="76" t="str">
        <x:v>Old Republic — Revan / Knights of the Old Republic era</x:v>
      </x:c>
      <x:c r="P297" s="76" t="str">
        <x:v>IMG_6734.PNG</x:v>
      </x:c>
      <x:c r="Q297" s="76" t="str">
        <x:v>OCR extracted / placement assigned</x:v>
      </x:c>
      <x:c r="R297" s="76" t="str">
        <x:v>High</x:v>
      </x:c>
      <x:c r="S297" s="76" t="str"/>
      <x:c r="T297" s="76" t="str">
        <x:v>Unique</x:v>
      </x:c>
    </x:row>
    <x:row r="298" s="23" customFormat="1" ht="36" customHeight="1">
      <x:c r="A298" s="49" t="b">
        <x:v>0</x:v>
      </x:c>
      <x:c r="B298" s="50" t="str">
        <x:v>FV-0096</x:v>
      </x:c>
      <x:c r="C298" s="51" t="str">
        <x:v>Fan chronology — Old Republic</x:v>
      </x:c>
      <x:c r="D298" s="51" t="str">
        <x:v>Darth Revan Hates Hidden Fees &amp; | The Door Was the Estimate</x:v>
      </x:c>
      <x:c r="E298" s="50" t="str"/>
      <x:c r="F298" s="51" t="str">
        <x:v>October 4, 2026</x:v>
      </x:c>
      <x:c r="G298" s="51" t="str">
        <x:v>Fan-made / non-canon</x:v>
      </x:c>
      <x:c r="H298" s="51" t="str">
        <x:v>Fan video</x:v>
      </x:c>
      <x:c r="I298" s="51" t="str">
        <x:v>YouTube — search by title</x:v>
      </x:c>
      <x:c r="J298" s="58" t="e">
        <x:f>HYPERLINK("https://www.youtube.com/results?search_query=Darth%20Revan%20Hates%20Hidden%20Fees%20%26%20%7C%20The%20Door%20Was%20the%20Estimate","Search")</x:f>
        <x:v>HYPERLINK is not implemented. linkLocation=https://www.youtube.com/results?search_query=Darth%20Revan%20Hates%20Hidden%20Fees%20%26%20%7C%20The%20Door%20Was%20the%20Estimate, friendlyName=Search</x:v>
      </x:c>
      <x:c r="K298" s="51" t="str">
        <x:v>Placed around the events and aftermath of Knights of the Old Republic.</x:v>
      </x:c>
      <x:c r="L298" s="76" t="str"/>
      <x:c r="M298" s="76" t="str">
        <x:v>Darth Revan Hates Hidden Fees &amp; | The Door Was the Estimate</x:v>
      </x:c>
      <x:c r="N298" s="76"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298" s="76" t="str">
        <x:v>Old Republic — Revan / Knights of the Old Republic era</x:v>
      </x:c>
      <x:c r="P298" s="76" t="str">
        <x:v>IMG_6279.PNG</x:v>
      </x:c>
      <x:c r="Q298" s="76" t="str">
        <x:v>OCR extracted / placement assigned</x:v>
      </x:c>
      <x:c r="R298" s="76" t="str">
        <x:v>High</x:v>
      </x:c>
      <x:c r="S298" s="76" t="str"/>
      <x:c r="T298" s="76" t="str">
        <x:v>Unique</x:v>
      </x:c>
    </x:row>
    <x:row r="299" s="23" customFormat="1" ht="36" customHeight="1">
      <x:c r="A299" s="49" t="b">
        <x:v>0</x:v>
      </x:c>
      <x:c r="B299" s="50" t="str">
        <x:v>FV-0115</x:v>
      </x:c>
      <x:c r="C299" s="51" t="str">
        <x:v>Fan chronology — Old Republic</x:v>
      </x:c>
      <x:c r="D299" s="51" t="str">
        <x:v>Darth Revan Hijacks His Own Prison Transport Sg</x:v>
      </x:c>
      <x:c r="E299" s="50" t="str"/>
      <x:c r="F299" s="51" t="str">
        <x:v>October 3, 2026</x:v>
      </x:c>
      <x:c r="G299" s="51" t="str">
        <x:v>Fan-made / non-canon</x:v>
      </x:c>
      <x:c r="H299" s="51" t="str">
        <x:v>Fan video</x:v>
      </x:c>
      <x:c r="I299" s="51" t="str">
        <x:v>YouTube — search by title</x:v>
      </x:c>
      <x:c r="J299" s="58" t="e">
        <x:f>HYPERLINK("https://www.youtube.com/results?search_query=Darth%20Revan%20Hijacks%20His%20Own%20Prison%20Transport%20Sg","Search")</x:f>
        <x:v>HYPERLINK is not implemented. linkLocation=https://www.youtube.com/results?search_query=Darth%20Revan%20Hijacks%20His%20Own%20Prison%20Transport%20Sg, friendlyName=Search</x:v>
      </x:c>
      <x:c r="K299" s="51" t="str">
        <x:v>Placed around the events and aftermath of Knights of the Old Republic.</x:v>
      </x:c>
      <x:c r="L299" s="76" t="str"/>
      <x:c r="M299" s="76" t="str">
        <x:v>Darth Revan Hijacks His Own Prison Transport Sg</x:v>
      </x:c>
      <x:c r="N299" s="76"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299" s="76" t="str">
        <x:v>Old Republic — Revan / Knights of the Old Republic era</x:v>
      </x:c>
      <x:c r="P299" s="76" t="str">
        <x:v>IMG_6298.PNG</x:v>
      </x:c>
      <x:c r="Q299" s="76" t="str">
        <x:v>OCR extracted / placement assigned</x:v>
      </x:c>
      <x:c r="R299" s="76" t="str">
        <x:v>High</x:v>
      </x:c>
      <x:c r="S299" s="76" t="str"/>
      <x:c r="T299" s="76" t="str">
        <x:v>Unique</x:v>
      </x:c>
    </x:row>
    <x:row r="300" s="23" customFormat="1" ht="36" customHeight="1">
      <x:c r="A300" s="49" t="b">
        <x:v>0</x:v>
      </x:c>
      <x:c r="B300" s="50" t="str">
        <x:v>FV-0563</x:v>
      </x:c>
      <x:c r="C300" s="51" t="str">
        <x:v>Fan chronology — Old Republic</x:v>
      </x:c>
      <x:c r="D300" s="51" t="str">
        <x:v>Darth Revan Knew What Was Waiting in the Chamber *</x:v>
      </x:c>
      <x:c r="E300" s="50" t="str"/>
      <x:c r="F300" s="51" t="str">
        <x:v>August 21, 2026</x:v>
      </x:c>
      <x:c r="G300" s="51" t="str">
        <x:v>Fan-made / non-canon</x:v>
      </x:c>
      <x:c r="H300" s="51" t="str">
        <x:v>Fan video</x:v>
      </x:c>
      <x:c r="I300" s="51" t="str">
        <x:v>YouTube — search by title</x:v>
      </x:c>
      <x:c r="J300" s="58" t="e">
        <x:f>HYPERLINK("https://www.youtube.com/results?search_query=Darth%20Revan%20Knew%20What%20Was%20Waiting%20in%20the%20Chamber%20*","Search")</x:f>
        <x:v>HYPERLINK is not implemented. linkLocation=https://www.youtube.com/results?search_query=Darth%20Revan%20Knew%20What%20Was%20Waiting%20in%20the%20Chamber%20*, friendlyName=Search</x:v>
      </x:c>
      <x:c r="K300" s="51" t="str">
        <x:v>Placed around the events and aftermath of Knights of the Old Republic.</x:v>
      </x:c>
      <x:c r="L300" s="76" t="str"/>
      <x:c r="M300" s="76" t="str">
        <x:v>Darth Revan Knew What Was Waiting in the Chamber *</x:v>
      </x:c>
      <x:c r="N300" s="76"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300" s="76" t="str">
        <x:v>Old Republic — Revan / Knights of the Old Republic era</x:v>
      </x:c>
      <x:c r="P300" s="76" t="str">
        <x:v>IMG_6753.PNG</x:v>
      </x:c>
      <x:c r="Q300" s="76" t="str">
        <x:v>OCR extracted / placement assigned</x:v>
      </x:c>
      <x:c r="R300" s="76" t="str">
        <x:v>High</x:v>
      </x:c>
      <x:c r="S300" s="76" t="str"/>
      <x:c r="T300" s="76" t="str">
        <x:v>Unique</x:v>
      </x:c>
    </x:row>
    <x:row r="301" s="23" customFormat="1" ht="36" customHeight="1">
      <x:c r="A301" s="49" t="b">
        <x:v>0</x:v>
      </x:c>
      <x:c r="B301" s="50" t="str">
        <x:v>FV-0349</x:v>
      </x:c>
      <x:c r="C301" s="51" t="str">
        <x:v>Fan chronology — Old Republic</x:v>
      </x:c>
      <x:c r="D301" s="51" t="str">
        <x:v>Darth Revan Let the Entire Bridge Fall... Then Did THIS</x:v>
      </x:c>
      <x:c r="E301" s="50" t="str"/>
      <x:c r="F301" s="51" t="str">
        <x:v>August 26, 2026</x:v>
      </x:c>
      <x:c r="G301" s="51" t="str">
        <x:v>Fan-made / non-canon</x:v>
      </x:c>
      <x:c r="H301" s="51" t="str">
        <x:v>Fan video</x:v>
      </x:c>
      <x:c r="I301" s="51" t="str">
        <x:v>YouTube — search by title</x:v>
      </x:c>
      <x:c r="J301" s="58" t="e">
        <x:f>HYPERLINK("https://www.youtube.com/results?search_query=Darth%20Revan%20Let%20the%20Entire%20Bridge%20Fall...%20Then%20Did%20THIS","Search")</x:f>
        <x:v>HYPERLINK is not implemented. linkLocation=https://www.youtube.com/results?search_query=Darth%20Revan%20Let%20the%20Entire%20Bridge%20Fall...%20Then%20Did%20THIS, friendlyName=Search</x:v>
      </x:c>
      <x:c r="K301" s="51" t="str">
        <x:v>Placed around the events and aftermath of Knights of the Old Republic.</x:v>
      </x:c>
      <x:c r="L301" s="76" t="str"/>
      <x:c r="M301" s="76" t="str">
        <x:v>Darth Revan Let the Entire Bridge Fall... Then Did THIS</x:v>
      </x:c>
      <x:c r="N301" s="76"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301" s="76" t="str">
        <x:v>Old Republic — Revan / Knights of the Old Republic era</x:v>
      </x:c>
      <x:c r="P301" s="76" t="str">
        <x:v>IMG_6535.PNG</x:v>
      </x:c>
      <x:c r="Q301" s="76" t="str">
        <x:v>OCR extracted / placement assigned</x:v>
      </x:c>
      <x:c r="R301" s="76" t="str">
        <x:v>High</x:v>
      </x:c>
      <x:c r="S301" s="76" t="str"/>
      <x:c r="T301" s="76" t="str">
        <x:v>Unique</x:v>
      </x:c>
    </x:row>
    <x:row r="302" s="23" customFormat="1" ht="36" customHeight="1">
      <x:c r="A302" s="49" t="b">
        <x:v>0</x:v>
      </x:c>
      <x:c r="B302" s="50" t="str">
        <x:v>FV-0355</x:v>
      </x:c>
      <x:c r="C302" s="51" t="str">
        <x:v>Fan chronology — Old Republic</x:v>
      </x:c>
      <x:c r="D302" s="51" t="str">
        <x:v>Darth Revan Let the Jedi Steal His Lightsaber... Big Mistake @</x:v>
      </x:c>
      <x:c r="E302" s="50" t="str"/>
      <x:c r="F302" s="51" t="str">
        <x:v>August 26, 2026</x:v>
      </x:c>
      <x:c r="G302" s="51" t="str">
        <x:v>Fan-made / non-canon</x:v>
      </x:c>
      <x:c r="H302" s="51" t="str">
        <x:v>Fan video</x:v>
      </x:c>
      <x:c r="I302" s="51" t="str">
        <x:v>YouTube — search by title</x:v>
      </x:c>
      <x:c r="J302" s="58" t="e">
        <x:f>HYPERLINK("https://www.youtube.com/results?search_query=Darth%20Revan%20Let%20the%20Jedi%20Steal%20His%20Lightsaber...%20Big%20Mistake%20%40","Search")</x:f>
        <x:v>HYPERLINK is not implemented. linkLocation=https://www.youtube.com/results?search_query=Darth%20Revan%20Let%20the%20Jedi%20Steal%20His%20Lightsaber...%20Big%20Mistake%20%40, friendlyName=Search</x:v>
      </x:c>
      <x:c r="K302" s="51" t="str">
        <x:v>Placed around the events and aftermath of Knights of the Old Republic.</x:v>
      </x:c>
      <x:c r="L302" s="76" t="str"/>
      <x:c r="M302" s="76" t="str">
        <x:v>Darth Revan Let the Jedi Steal His Lightsaber... Big Mistake @</x:v>
      </x:c>
      <x:c r="N302" s="76" t="str">
        <x:v>Cash App: $brednew
PayPal: @blainehenry688
The Jedi thought he had finally disarmed Darth
Revan.
Revan had other plans.
“You wanted it. Keep it.”
Then the purple blade ignited—and suddenly the
Jedi couldn't let go.
Revan never lost control.
“Now give it back.” &amp; @</x:v>
      </x:c>
      <x:c r="O302" s="76" t="str">
        <x:v>Old Republic — Revan / Knights of the Old Republic era</x:v>
      </x:c>
      <x:c r="P302" s="76" t="str">
        <x:v>IMG_6541.PNG</x:v>
      </x:c>
      <x:c r="Q302" s="76" t="str">
        <x:v>OCR extracted / placement assigned</x:v>
      </x:c>
      <x:c r="R302" s="76" t="str">
        <x:v>High</x:v>
      </x:c>
      <x:c r="S302" s="76" t="str"/>
      <x:c r="T302" s="76" t="str">
        <x:v>Unique</x:v>
      </x:c>
    </x:row>
    <x:row r="303" s="23" customFormat="1" ht="36" customHeight="1">
      <x:c r="A303" s="49" t="b">
        <x:v>0</x:v>
      </x:c>
      <x:c r="B303" s="50" t="str">
        <x:v>FV-0128</x:v>
      </x:c>
      <x:c r="C303" s="51" t="str">
        <x:v>Fan chronology — Old Republic</x:v>
      </x:c>
      <x:c r="D303" s="51" t="str">
        <x:v>Darth Revan Made His Captor Send the Signal | Star Wars Legends</x:v>
      </x:c>
      <x:c r="E303" s="50" t="str"/>
      <x:c r="F303" s="51" t="str">
        <x:v>October 2, 2026</x:v>
      </x:c>
      <x:c r="G303" s="51" t="str">
        <x:v>Fan-made / non-canon</x:v>
      </x:c>
      <x:c r="H303" s="51" t="str">
        <x:v>Fan video</x:v>
      </x:c>
      <x:c r="I303" s="51" t="str">
        <x:v>YouTube — search by title</x:v>
      </x:c>
      <x:c r="J303" s="58" t="e">
        <x:f>HYPERLINK("https://www.youtube.com/results?search_query=Darth%20Revan%20Made%20His%20Captor%20Send%20the%20Signal%20%7C%20Star%20Wars%20Legends","Search")</x:f>
        <x:v>HYPERLINK is not implemented. linkLocation=https://www.youtube.com/results?search_query=Darth%20Revan%20Made%20His%20Captor%20Send%20the%20Signal%20%7C%20Star%20Wars%20Legends, friendlyName=Search</x:v>
      </x:c>
      <x:c r="K303" s="51" t="str">
        <x:v>Placed around the events and aftermath of Knights of the Old Republic.</x:v>
      </x:c>
      <x:c r="L303" s="76" t="str"/>
      <x:c r="M303" s="76" t="str">
        <x:v>Darth Revan Made His Captor Send the Signal | Star Wars Legends</x:v>
      </x:c>
      <x:c r="N303" s="76"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303" s="76" t="str">
        <x:v>Old Republic — Revan / Knights of the Old Republic era</x:v>
      </x:c>
      <x:c r="P303" s="76" t="str">
        <x:v>IMG_6311.PNG</x:v>
      </x:c>
      <x:c r="Q303" s="76" t="str">
        <x:v>OCR extracted / placement assigned</x:v>
      </x:c>
      <x:c r="R303" s="76" t="str">
        <x:v>High</x:v>
      </x:c>
      <x:c r="S303" s="76" t="str"/>
      <x:c r="T303" s="76" t="str">
        <x:v>Unique</x:v>
      </x:c>
    </x:row>
    <x:row r="304" s="23" customFormat="1" ht="36" customHeight="1">
      <x:c r="A304" s="49" t="b">
        <x:v>0</x:v>
      </x:c>
      <x:c r="B304" s="50" t="str">
        <x:v>FV-0251</x:v>
      </x:c>
      <x:c r="C304" s="51" t="str">
        <x:v>Fan chronology — Old Republic</x:v>
      </x:c>
      <x:c r="D304" s="51" t="str">
        <x:v>DARTH REVAN NEVER MISSES — THE FIFTH TARGET | Skills Test</x:v>
      </x:c>
      <x:c r="E304" s="50" t="str"/>
      <x:c r="F304" s="51" t="str">
        <x:v>September 7, 2026</x:v>
      </x:c>
      <x:c r="G304" s="51" t="str">
        <x:v>Fan-made / non-canon</x:v>
      </x:c>
      <x:c r="H304" s="51" t="str">
        <x:v>Fan video</x:v>
      </x:c>
      <x:c r="I304" s="51" t="str">
        <x:v>YouTube — search by title</x:v>
      </x:c>
      <x:c r="J304" s="58" t="e">
        <x:f>HYPERLINK("https://www.youtube.com/results?search_query=DARTH%20REVAN%20NEVER%20MISSES%20%E2%80%94%20THE%20FIFTH%20TARGET%20%7C%20Skills%20Test","Search")</x:f>
        <x:v>HYPERLINK is not implemented. linkLocation=https://www.youtube.com/results?search_query=DARTH%20REVAN%20NEVER%20MISSES%20%E2%80%94%20THE%20FIFTH%20TARGET%20%7C%20Skills%20Test, friendlyName=Search</x:v>
      </x:c>
      <x:c r="K304" s="51" t="str">
        <x:v>Placed around the events and aftermath of Knights of the Old Republic.</x:v>
      </x:c>
      <x:c r="L304" s="76" t="str"/>
      <x:c r="M304" s="76" t="str">
        <x:v>DARTH REVAN NEVER MISSES — THE FIFTH TARGET | Skills Test</x:v>
      </x:c>
      <x:c r="N304" s="76"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304" s="76" t="str">
        <x:v>Old Republic — Revan / Knights of the Old Republic era</x:v>
      </x:c>
      <x:c r="P304" s="76" t="str">
        <x:v>IMG_6434.PNG</x:v>
      </x:c>
      <x:c r="Q304" s="76" t="str">
        <x:v>OCR extracted / placement assigned</x:v>
      </x:c>
      <x:c r="R304" s="76" t="str">
        <x:v>High</x:v>
      </x:c>
      <x:c r="S304" s="76" t="str"/>
      <x:c r="T304" s="76" t="str">
        <x:v>Unique</x:v>
      </x:c>
    </x:row>
    <x:row r="305" s="23" customFormat="1" ht="36" customHeight="1">
      <x:c r="A305" s="49" t="b">
        <x:v>0</x:v>
      </x:c>
      <x:c r="B305" s="50" t="str">
        <x:v>FV-0030</x:v>
      </x:c>
      <x:c r="C305" s="51" t="str">
        <x:v>Fan chronology — Old Republic</x:v>
      </x:c>
      <x:c r="D305" s="51" t="str">
        <x:v>Darth Revan Obeys the Jedi Council... They Immediately Regret It @</x:v>
      </x:c>
      <x:c r="E305" s="50" t="str"/>
      <x:c r="F305" s="51" t="str">
        <x:v>October 13, 2026</x:v>
      </x:c>
      <x:c r="G305" s="51" t="str">
        <x:v>Fan-made / non-canon</x:v>
      </x:c>
      <x:c r="H305" s="51" t="str">
        <x:v>Fan video</x:v>
      </x:c>
      <x:c r="I305" s="51" t="str">
        <x:v>YouTube — search by title</x:v>
      </x:c>
      <x:c r="J305" s="58" t="e">
        <x:f>HYPERLINK("https://www.youtube.com/results?search_query=Darth%20Revan%20Obeys%20the%20Jedi%20Council...%20They%20Immediately%20Regret%20It%20%40","Search")</x:f>
        <x:v>HYPERLINK is not implemented. linkLocation=https://www.youtube.com/results?search_query=Darth%20Revan%20Obeys%20the%20Jedi%20Council...%20They%20Immediately%20Regret%20It%20%40, friendlyName=Search</x:v>
      </x:c>
      <x:c r="K305" s="51" t="str">
        <x:v>Placed around the events and aftermath of Knights of the Old Republic.</x:v>
      </x:c>
      <x:c r="L305" s="76" t="str"/>
      <x:c r="M305" s="76" t="str">
        <x:v>Darth Revan Obeys the Jedi Council... They Immediately Regret It @</x:v>
      </x:c>
      <x:c r="N305" s="76"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305" s="76" t="str">
        <x:v>Old Republic — Revan / Knights of the Old Republic era</x:v>
      </x:c>
      <x:c r="P305" s="76" t="str">
        <x:v>IMG_6213.PNG</x:v>
      </x:c>
      <x:c r="Q305" s="76" t="str">
        <x:v>OCR extracted / placement assigned</x:v>
      </x:c>
      <x:c r="R305" s="76" t="str">
        <x:v>High</x:v>
      </x:c>
      <x:c r="S305" s="76" t="str"/>
      <x:c r="T305" s="76" t="str">
        <x:v>Unique</x:v>
      </x:c>
    </x:row>
    <x:row r="306" s="23" customFormat="1" ht="36" customHeight="1">
      <x:c r="A306" s="49" t="b">
        <x:v>0</x:v>
      </x:c>
      <x:c r="B306" s="50" t="str">
        <x:v>FV-0239</x:v>
      </x:c>
      <x:c r="C306" s="51" t="str">
        <x:v>Fan chronology — Old Republic</x:v>
      </x:c>
      <x:c r="D306" s="51" t="str">
        <x:v>Darth Revan Returns—And Malak Wants Him Dead | Broken Brotherhood Ep. 1</x:v>
      </x:c>
      <x:c r="E306" s="50" t="str">
        <x:v>Ep. 1</x:v>
      </x:c>
      <x:c r="F306" s="51" t="str">
        <x:v>September 8, 2026</x:v>
      </x:c>
      <x:c r="G306" s="51" t="str">
        <x:v>Fan-made / non-canon</x:v>
      </x:c>
      <x:c r="H306" s="51" t="str">
        <x:v>Fan video</x:v>
      </x:c>
      <x:c r="I306" s="51" t="str">
        <x:v>YouTube — search by title</x:v>
      </x:c>
      <x:c r="J306" s="58" t="e">
        <x:f>HYPERLINK("https://www.youtube.com/results?search_query=Darth%20Revan%20Returns%E2%80%94And%20Malak%20Wants%20Him%20Dead%20%7C%20Broken%20Brotherhood%20Ep.%201","Search")</x:f>
        <x:v>HYPERLINK is not implemented. linkLocation=https://www.youtube.com/results?search_query=Darth%20Revan%20Returns%E2%80%94And%20Malak%20Wants%20Him%20Dead%20%7C%20Broken%20Brotherhood%20Ep.%201, friendlyName=Search</x:v>
      </x:c>
      <x:c r="K306" s="51" t="str">
        <x:v>Placed around the events and aftermath of Knights of the Old Republic.</x:v>
      </x:c>
      <x:c r="L306" s="76" t="str">
        <x:v>Broken Brotherhood</x:v>
      </x:c>
      <x:c r="M306" s="76" t="str">
        <x:v>Darth Revan Returns—And Malak Wants Him Dead | Broken Brotherhood Ep. 1</x:v>
      </x:c>
      <x:c r="N306" s="76"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306" s="76" t="str">
        <x:v>Old Republic — Revan / Knights of the Old Republic era</x:v>
      </x:c>
      <x:c r="P306" s="76" t="str">
        <x:v>IMG_6422.PNG</x:v>
      </x:c>
      <x:c r="Q306" s="76" t="str">
        <x:v>OCR extracted / placement assigned</x:v>
      </x:c>
      <x:c r="R306" s="76" t="str">
        <x:v>High</x:v>
      </x:c>
      <x:c r="S306" s="76" t="str"/>
      <x:c r="T306" s="76" t="str">
        <x:v>Unique</x:v>
      </x:c>
    </x:row>
    <x:row r="307" s="23" customFormat="1" ht="36" customHeight="1">
      <x:c r="A307" s="49" t="b">
        <x:v>0</x:v>
      </x:c>
      <x:c r="B307" s="50" t="str">
        <x:v>FV-0360</x:v>
      </x:c>
      <x:c r="C307" s="51" t="str">
        <x:v>Fan chronology — Old Republic</x:v>
      </x:c>
      <x:c r="D307" s="51" t="str">
        <x:v>Darth Revan Reveals His SECOND Lightsaber — Purple &amp; Red</x:v>
      </x:c>
      <x:c r="E307" s="50" t="str"/>
      <x:c r="F307" s="51" t="str">
        <x:v>August 25, 2026</x:v>
      </x:c>
      <x:c r="G307" s="51" t="str">
        <x:v>Fan-made / non-canon</x:v>
      </x:c>
      <x:c r="H307" s="51" t="str">
        <x:v>Fan video</x:v>
      </x:c>
      <x:c r="I307" s="51" t="str">
        <x:v>YouTube — search by title</x:v>
      </x:c>
      <x:c r="J307" s="58" t="e">
        <x:f>HYPERLINK("https://www.youtube.com/results?search_query=Darth%20Revan%20Reveals%20His%20SECOND%20Lightsaber%20%E2%80%94%20Purple%20%26%20Red","Search")</x:f>
        <x:v>HYPERLINK is not implemented. linkLocation=https://www.youtube.com/results?search_query=Darth%20Revan%20Reveals%20His%20SECOND%20Lightsaber%20%E2%80%94%20Purple%20%26%20Red, friendlyName=Search</x:v>
      </x:c>
      <x:c r="K307" s="51" t="str">
        <x:v>Placed around the events and aftermath of Knights of the Old Republic.</x:v>
      </x:c>
      <x:c r="L307" s="76" t="str"/>
      <x:c r="M307" s="76" t="str">
        <x:v>Darth Revan Reveals His SECOND Lightsaber — Purple &amp; Red</x:v>
      </x:c>
      <x:c r="N307" s="76"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307" s="76" t="str">
        <x:v>Old Republic — Revan / Knights of the Old Republic era</x:v>
      </x:c>
      <x:c r="P307" s="76" t="str">
        <x:v>IMG_6546.PNG</x:v>
      </x:c>
      <x:c r="Q307" s="76" t="str">
        <x:v>OCR extracted / placement assigned</x:v>
      </x:c>
      <x:c r="R307" s="76" t="str">
        <x:v>High</x:v>
      </x:c>
      <x:c r="S307" s="76" t="str"/>
      <x:c r="T307" s="76" t="str">
        <x:v>Unique</x:v>
      </x:c>
    </x:row>
    <x:row r="308" s="23" customFormat="1" ht="36" customHeight="1">
      <x:c r="A308" s="49" t="b">
        <x:v>0</x:v>
      </x:c>
      <x:c r="B308" s="50" t="str">
        <x:v>FV-0110</x:v>
      </x:c>
      <x:c r="C308" s="51" t="str">
        <x:v>Fan chronology — Old Republic</x:v>
      </x:c>
      <x:c r="D308" s="51" t="str">
        <x:v>Darth Revan Ruins His Own Execution 😈 | “You’re Welcome. Resign.”</x:v>
      </x:c>
      <x:c r="E308" s="50" t="str"/>
      <x:c r="F308" s="51" t="str">
        <x:v>October 3, 2026</x:v>
      </x:c>
      <x:c r="G308" s="51" t="str">
        <x:v>Fan-made / non-canon</x:v>
      </x:c>
      <x:c r="H308" s="51" t="str">
        <x:v>Fan video</x:v>
      </x:c>
      <x:c r="I308" s="51" t="str">
        <x:v>YouTube — search by title</x:v>
      </x:c>
      <x:c r="J308" s="58" t="e">
        <x:f>HYPERLINK("https://www.youtube.com/results?search_query=Darth%20Revan%20Ruins%20His%20Own%20Execution%20%F0%9F%98%88%20%7C%20%E2%80%9CYou%E2%80%99re%20Welcome.%20Resign.%E2%80%9D","Search")</x:f>
        <x:v>HYPERLINK is not implemented. linkLocation=https://www.youtube.com/results?search_query=Darth%20Revan%20Ruins%20His%20Own%20Execution%20%F0%9F%98%88%20%7C%20%E2%80%9CYou%E2%80%99re%20Welcome.%20Resign.%E2%80%9D, friendlyName=Search</x:v>
      </x:c>
      <x:c r="K308" s="51" t="str">
        <x:v>Placed around the events and aftermath of Knights of the Old Republic.</x:v>
      </x:c>
      <x:c r="L308" s="76" t="str"/>
      <x:c r="M308" s="76" t="str">
        <x:v>Darth Revan Ruins His Own Execution 😈 | “You’re Welcome. Resign.”</x:v>
      </x:c>
      <x:c r="N308" s="76"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308" s="76" t="str">
        <x:v>Old Republic — Revan / Knights of the Old Republic era</x:v>
      </x:c>
      <x:c r="P308" s="76" t="str">
        <x:v>IMG_6293.PNG</x:v>
      </x:c>
      <x:c r="Q308" s="76" t="str">
        <x:v>OCR extracted / placement assigned</x:v>
      </x:c>
      <x:c r="R308" s="76" t="str">
        <x:v>High</x:v>
      </x:c>
      <x:c r="S308" s="76" t="str"/>
      <x:c r="T308" s="76" t="str">
        <x:v>Unique</x:v>
      </x:c>
    </x:row>
    <x:row r="309" s="23" customFormat="1" ht="36" customHeight="1">
      <x:c r="A309" s="49" t="b">
        <x:v>0</x:v>
      </x:c>
      <x:c r="B309" s="50" t="str">
        <x:v>FV-0392</x:v>
      </x:c>
      <x:c r="C309" s="51" t="str">
        <x:v>Fan chronology — Old Republic</x:v>
      </x:c>
      <x:c r="D309" s="51" t="str">
        <x:v>Darth Revan Stands Among the Jedi | The Old Republic</x:v>
      </x:c>
      <x:c r="E309" s="50" t="str"/>
      <x:c r="F309" s="51" t="str">
        <x:v>August 23, 2026</x:v>
      </x:c>
      <x:c r="G309" s="51" t="str">
        <x:v>Fan-made / non-canon</x:v>
      </x:c>
      <x:c r="H309" s="51" t="str">
        <x:v>Fan video</x:v>
      </x:c>
      <x:c r="I309" s="51" t="str">
        <x:v>YouTube — search by title</x:v>
      </x:c>
      <x:c r="J309" s="58" t="e">
        <x:f>HYPERLINK("https://www.youtube.com/results?search_query=Darth%20Revan%20Stands%20Among%20the%20Jedi%20%7C%20The%20Old%20Republic","Search")</x:f>
        <x:v>HYPERLINK is not implemented. linkLocation=https://www.youtube.com/results?search_query=Darth%20Revan%20Stands%20Among%20the%20Jedi%20%7C%20The%20Old%20Republic, friendlyName=Search</x:v>
      </x:c>
      <x:c r="K309" s="51" t="str">
        <x:v>Placed around the events and aftermath of Knights of the Old Republic.</x:v>
      </x:c>
      <x:c r="L309" s="76" t="str"/>
      <x:c r="M309" s="76" t="str">
        <x:v>Darth Revan Stands Among the Jedi | The Old Republic</x:v>
      </x:c>
      <x:c r="N309" s="76"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309" s="76" t="str">
        <x:v>Old Republic — Revan / Knights of the Old Republic era</x:v>
      </x:c>
      <x:c r="P309" s="76" t="str">
        <x:v>IMG_6578.PNG</x:v>
      </x:c>
      <x:c r="Q309" s="76" t="str">
        <x:v>OCR extracted / placement assigned</x:v>
      </x:c>
      <x:c r="R309" s="76" t="str">
        <x:v>High</x:v>
      </x:c>
      <x:c r="S309" s="76" t="str"/>
      <x:c r="T309" s="76" t="str">
        <x:v>Unique</x:v>
      </x:c>
    </x:row>
    <x:row r="310" s="23" customFormat="1" ht="36" customHeight="1">
      <x:c r="A310" s="49" t="b">
        <x:v>0</x:v>
      </x:c>
      <x:c r="B310" s="50" t="str">
        <x:v>FV-0105</x:v>
      </x:c>
      <x:c r="C310" s="51" t="str">
        <x:v>Fan chronology — Old Republic</x:v>
      </x:c>
      <x:c r="D310" s="51" t="str">
        <x:v>Darth Revan Steals the Getaway 😈 | “You’re Paying for Fuel.”</x:v>
      </x:c>
      <x:c r="E310" s="50" t="str"/>
      <x:c r="F310" s="51" t="str">
        <x:v>October 3, 2026</x:v>
      </x:c>
      <x:c r="G310" s="51" t="str">
        <x:v>Fan-made / non-canon</x:v>
      </x:c>
      <x:c r="H310" s="51" t="str">
        <x:v>Fan video</x:v>
      </x:c>
      <x:c r="I310" s="51" t="str">
        <x:v>YouTube — search by title</x:v>
      </x:c>
      <x:c r="J310" s="58" t="e">
        <x:f>HYPERLINK("https://www.youtube.com/results?search_query=Darth%20Revan%20Steals%20the%20Getaway%20%F0%9F%98%88%20%7C%20%E2%80%9CYou%E2%80%99re%20Paying%20for%20Fuel.%E2%80%9D","Search")</x:f>
        <x:v>HYPERLINK is not implemented. linkLocation=https://www.youtube.com/results?search_query=Darth%20Revan%20Steals%20the%20Getaway%20%F0%9F%98%88%20%7C%20%E2%80%9CYou%E2%80%99re%20Paying%20for%20Fuel.%E2%80%9D, friendlyName=Search</x:v>
      </x:c>
      <x:c r="K310" s="51" t="str">
        <x:v>Placed around the events and aftermath of Knights of the Old Republic.</x:v>
      </x:c>
      <x:c r="L310" s="76" t="str"/>
      <x:c r="M310" s="76" t="str">
        <x:v>Darth Revan Steals the Getaway 😈 | “You’re Paying for Fuel.”</x:v>
      </x:c>
      <x:c r="N310" s="76"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310" s="76" t="str">
        <x:v>Old Republic — Revan / Knights of the Old Republic era</x:v>
      </x:c>
      <x:c r="P310" s="76" t="str">
        <x:v>IMG_6288.PNG</x:v>
      </x:c>
      <x:c r="Q310" s="76" t="str">
        <x:v>OCR extracted / placement assigned</x:v>
      </x:c>
      <x:c r="R310" s="76" t="str">
        <x:v>High</x:v>
      </x:c>
      <x:c r="S310" s="76" t="str"/>
      <x:c r="T310" s="76" t="str">
        <x:v>Unique</x:v>
      </x:c>
    </x:row>
    <x:row r="311" s="23" customFormat="1" ht="36" customHeight="1">
      <x:c r="A311" s="49" t="b">
        <x:v>0</x:v>
      </x:c>
      <x:c r="B311" s="50" t="str">
        <x:v>FV-0081</x:v>
      </x:c>
      <x:c r="C311" s="51" t="str">
        <x:v>Fan chronology — Old Republic</x:v>
      </x:c>
      <x:c r="D311" s="51" t="str">
        <x:v>Darth Revan Takes Command | This Ship Is Mine | UNLEASHED</x:v>
      </x:c>
      <x:c r="E311" s="50" t="str"/>
      <x:c r="F311" s="51" t="str">
        <x:v>October 6, 2026</x:v>
      </x:c>
      <x:c r="G311" s="51" t="str">
        <x:v>Fan-made / non-canon</x:v>
      </x:c>
      <x:c r="H311" s="51" t="str">
        <x:v>Fan video</x:v>
      </x:c>
      <x:c r="I311" s="51" t="str">
        <x:v>YouTube — search by title</x:v>
      </x:c>
      <x:c r="J311" s="58" t="e">
        <x:f>HYPERLINK("https://www.youtube.com/results?search_query=Darth%20Revan%20Takes%20Command%20%7C%20This%20Ship%20Is%20Mine%20%7C%20UNLEASHED","Search")</x:f>
        <x:v>HYPERLINK is not implemented. linkLocation=https://www.youtube.com/results?search_query=Darth%20Revan%20Takes%20Command%20%7C%20This%20Ship%20Is%20Mine%20%7C%20UNLEASHED, friendlyName=Search</x:v>
      </x:c>
      <x:c r="K311" s="51" t="str">
        <x:v>Placed around the events and aftermath of Knights of the Old Republic.</x:v>
      </x:c>
      <x:c r="L311" s="76" t="str"/>
      <x:c r="M311" s="76" t="str">
        <x:v>Darth Revan Takes Command | This Ship Is Mine | UNLEASHED</x:v>
      </x:c>
      <x:c r="N311" s="76"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311" s="76" t="str">
        <x:v>Old Republic — Revan / Knights of the Old Republic era</x:v>
      </x:c>
      <x:c r="P311" s="76" t="str">
        <x:v>IMG_6264.PNG</x:v>
      </x:c>
      <x:c r="Q311" s="76" t="str">
        <x:v>OCR extracted / placement assigned</x:v>
      </x:c>
      <x:c r="R311" s="76" t="str">
        <x:v>High</x:v>
      </x:c>
      <x:c r="S311" s="76" t="str"/>
      <x:c r="T311" s="76" t="str">
        <x:v>Unique</x:v>
      </x:c>
    </x:row>
    <x:row r="312" s="23" customFormat="1" ht="36" customHeight="1">
      <x:c r="A312" s="49" t="b">
        <x:v>0</x:v>
      </x:c>
      <x:c r="B312" s="50" t="str">
        <x:v>FV-0140</x:v>
      </x:c>
      <x:c r="C312" s="51" t="str">
        <x:v>Fan chronology — Old Republic</x:v>
      </x:c>
      <x:c r="D312" s="51" t="str">
        <x:v>Darth Revan Takes the Jedi Master's Lightsaber | The Other One</x:v>
      </x:c>
      <x:c r="E312" s="50" t="str"/>
      <x:c r="F312" s="51" t="str">
        <x:v>September 30, 2026</x:v>
      </x:c>
      <x:c r="G312" s="51" t="str">
        <x:v>Fan-made / non-canon</x:v>
      </x:c>
      <x:c r="H312" s="51" t="str">
        <x:v>Fan video</x:v>
      </x:c>
      <x:c r="I312" s="51" t="str">
        <x:v>YouTube — search by title</x:v>
      </x:c>
      <x:c r="J312" s="58" t="e">
        <x:f>HYPERLINK("https://www.youtube.com/results?search_query=Darth%20Revan%20Takes%20the%20Jedi%20Master's%20Lightsaber%20%7C%20The%20Other%20One","Search")</x:f>
        <x:v>HYPERLINK is not implemented. linkLocation=https://www.youtube.com/results?search_query=Darth%20Revan%20Takes%20the%20Jedi%20Master's%20Lightsaber%20%7C%20The%20Other%20One, friendlyName=Search</x:v>
      </x:c>
      <x:c r="K312" s="51" t="str">
        <x:v>Placed around the events and aftermath of Knights of the Old Republic.</x:v>
      </x:c>
      <x:c r="L312" s="76" t="str"/>
      <x:c r="M312" s="76" t="str">
        <x:v>Darth Revan Takes the Jedi Master's Lightsaber | The Other One</x:v>
      </x:c>
      <x:c r="N312" s="76"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312" s="76" t="str">
        <x:v>Old Republic — Revan / Knights of the Old Republic era</x:v>
      </x:c>
      <x:c r="P312" s="76" t="str">
        <x:v>IMG_6323.PNG</x:v>
      </x:c>
      <x:c r="Q312" s="76" t="str">
        <x:v>OCR extracted / placement assigned</x:v>
      </x:c>
      <x:c r="R312" s="76" t="str">
        <x:v>High</x:v>
      </x:c>
      <x:c r="S312" s="76" t="str"/>
      <x:c r="T312" s="76" t="str">
        <x:v>Unique</x:v>
      </x:c>
    </x:row>
    <x:row r="313" s="23" customFormat="1" ht="36" customHeight="1">
      <x:c r="A313" s="49" t="b">
        <x:v>0</x:v>
      </x:c>
      <x:c r="B313" s="50" t="str">
        <x:v>FV-0377</x:v>
      </x:c>
      <x:c r="C313" s="51" t="str">
        <x:v>Fan chronology — Old Republic</x:v>
      </x:c>
      <x:c r="D313" s="51" t="str">
        <x:v>Darth Revan Took His Lightsaber... Then Did THIS @</x:v>
      </x:c>
      <x:c r="E313" s="50" t="str"/>
      <x:c r="F313" s="51" t="str">
        <x:v>August 24, 2026</x:v>
      </x:c>
      <x:c r="G313" s="51" t="str">
        <x:v>Fan-made / non-canon</x:v>
      </x:c>
      <x:c r="H313" s="51" t="str">
        <x:v>Fan video</x:v>
      </x:c>
      <x:c r="I313" s="51" t="str">
        <x:v>YouTube — search by title</x:v>
      </x:c>
      <x:c r="J313" s="58" t="e">
        <x:f>HYPERLINK("https://www.youtube.com/results?search_query=Darth%20Revan%20Took%20His%20Lightsaber...%20Then%20Did%20THIS%20%40","Search")</x:f>
        <x:v>HYPERLINK is not implemented. linkLocation=https://www.youtube.com/results?search_query=Darth%20Revan%20Took%20His%20Lightsaber...%20Then%20Did%20THIS%20%40, friendlyName=Search</x:v>
      </x:c>
      <x:c r="K313" s="51" t="str">
        <x:v>Placed around the events and aftermath of Knights of the Old Republic.</x:v>
      </x:c>
      <x:c r="L313" s="76" t="str"/>
      <x:c r="M313" s="76" t="str">
        <x:v>Darth Revan Took His Lightsaber... Then Did THIS @</x:v>
      </x:c>
      <x:c r="N313" s="76"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313" s="76" t="str">
        <x:v>Old Republic — Revan / Knights of the Old Republic era</x:v>
      </x:c>
      <x:c r="P313" s="76" t="str">
        <x:v>IMG_6563.PNG</x:v>
      </x:c>
      <x:c r="Q313" s="76" t="str">
        <x:v>OCR extracted / placement assigned</x:v>
      </x:c>
      <x:c r="R313" s="76" t="str">
        <x:v>High</x:v>
      </x:c>
      <x:c r="S313" s="76" t="str"/>
      <x:c r="T313" s="76" t="str">
        <x:v>Unique</x:v>
      </x:c>
    </x:row>
    <x:row r="314" s="23" customFormat="1" ht="36" customHeight="1">
      <x:c r="A314" s="49" t="b">
        <x:v>0</x:v>
      </x:c>
      <x:c r="B314" s="50" t="str">
        <x:v>FV-0135</x:v>
      </x:c>
      <x:c r="C314" s="51" t="str">
        <x:v>Fan chronology — Old Republic</x:v>
      </x:c>
      <x:c r="D314" s="51" t="str">
        <x:v>Darth Revan Tricks His Interrogator Into Confessing &amp;</x:v>
      </x:c>
      <x:c r="E314" s="50" t="str"/>
      <x:c r="F314" s="51" t="str">
        <x:v>October 1, 2026</x:v>
      </x:c>
      <x:c r="G314" s="51" t="str">
        <x:v>Fan-made / non-canon</x:v>
      </x:c>
      <x:c r="H314" s="51" t="str">
        <x:v>Fan video</x:v>
      </x:c>
      <x:c r="I314" s="51" t="str">
        <x:v>YouTube — search by title</x:v>
      </x:c>
      <x:c r="J314" s="58" t="e">
        <x:f>HYPERLINK("https://www.youtube.com/results?search_query=Darth%20Revan%20Tricks%20His%20Interrogator%20Into%20Confessing%20%26","Search")</x:f>
        <x:v>HYPERLINK is not implemented. linkLocation=https://www.youtube.com/results?search_query=Darth%20Revan%20Tricks%20His%20Interrogator%20Into%20Confessing%20%26, friendlyName=Search</x:v>
      </x:c>
      <x:c r="K314" s="51" t="str">
        <x:v>Placed around the events and aftermath of Knights of the Old Republic.</x:v>
      </x:c>
      <x:c r="L314" s="76" t="str"/>
      <x:c r="M314" s="76" t="str">
        <x:v>Darth Revan Tricks His Interrogator Into Confessing &amp;</x:v>
      </x:c>
      <x:c r="N314" s="76"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314" s="76" t="str">
        <x:v>Old Republic — Revan / Knights of the Old Republic era</x:v>
      </x:c>
      <x:c r="P314" s="76" t="str">
        <x:v>IMG_6318.PNG</x:v>
      </x:c>
      <x:c r="Q314" s="76" t="str">
        <x:v>OCR extracted / placement assigned</x:v>
      </x:c>
      <x:c r="R314" s="76" t="str">
        <x:v>High</x:v>
      </x:c>
      <x:c r="S314" s="76" t="str"/>
      <x:c r="T314" s="76" t="str">
        <x:v>Unique</x:v>
      </x:c>
    </x:row>
    <x:row r="315" s="23" customFormat="1" ht="36" customHeight="1">
      <x:c r="A315" s="49" t="b">
        <x:v>0</x:v>
      </x:c>
      <x:c r="B315" s="50" t="str">
        <x:v>FV-0114</x:v>
      </x:c>
      <x:c r="C315" s="51" t="str">
        <x:v>Fan chronology — Old Republic</x:v>
      </x:c>
      <x:c r="D315" s="51" t="str">
        <x:v>Darth Revan Turns a Vault Trap Into His Escape 😈</x:v>
      </x:c>
      <x:c r="E315" s="50" t="str"/>
      <x:c r="F315" s="51" t="str">
        <x:v>October 3, 2026</x:v>
      </x:c>
      <x:c r="G315" s="51" t="str">
        <x:v>Fan-made / non-canon</x:v>
      </x:c>
      <x:c r="H315" s="51" t="str">
        <x:v>Fan video</x:v>
      </x:c>
      <x:c r="I315" s="51" t="str">
        <x:v>YouTube — search by title</x:v>
      </x:c>
      <x:c r="J315" s="58" t="e">
        <x:f>HYPERLINK("https://www.youtube.com/results?search_query=Darth%20Revan%20Turns%20a%20Vault%20Trap%20Into%20His%20Escape%20%F0%9F%98%88","Search")</x:f>
        <x:v>HYPERLINK is not implemented. linkLocation=https://www.youtube.com/results?search_query=Darth%20Revan%20Turns%20a%20Vault%20Trap%20Into%20His%20Escape%20%F0%9F%98%88, friendlyName=Search</x:v>
      </x:c>
      <x:c r="K315" s="51" t="str">
        <x:v>Placed around the events and aftermath of Knights of the Old Republic.</x:v>
      </x:c>
      <x:c r="L315" s="76" t="str"/>
      <x:c r="M315" s="76" t="str">
        <x:v>Darth Revan Turns a Vault Trap Into His Escape 😈</x:v>
      </x:c>
      <x:c r="N315" s="76"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315" s="76" t="str">
        <x:v>Old Republic — Revan / Knights of the Old Republic era</x:v>
      </x:c>
      <x:c r="P315" s="76" t="str">
        <x:v>IMG_6297.PNG</x:v>
      </x:c>
      <x:c r="Q315" s="76" t="str">
        <x:v>OCR extracted / placement assigned</x:v>
      </x:c>
      <x:c r="R315" s="76" t="str">
        <x:v>High</x:v>
      </x:c>
      <x:c r="S315" s="76" t="str"/>
      <x:c r="T315" s="76" t="str">
        <x:v>Unique</x:v>
      </x:c>
    </x:row>
    <x:row r="316" s="23" customFormat="1" ht="36" customHeight="1">
      <x:c r="A316" s="49" t="b">
        <x:v>0</x:v>
      </x:c>
      <x:c r="B316" s="50" t="str">
        <x:v>FV-0036</x:v>
      </x:c>
      <x:c r="C316" s="51" t="str">
        <x:v>Fan chronology — Old Republic</x:v>
      </x:c>
      <x:c r="D316" s="51" t="str">
        <x:v>Darth Revan Turns Its Own Cannon Against It | The Siege Breaker</x:v>
      </x:c>
      <x:c r="E316" s="50" t="str"/>
      <x:c r="F316" s="51" t="str">
        <x:v>October 12, 2026</x:v>
      </x:c>
      <x:c r="G316" s="51" t="str">
        <x:v>Fan-made / non-canon</x:v>
      </x:c>
      <x:c r="H316" s="51" t="str">
        <x:v>Fan video</x:v>
      </x:c>
      <x:c r="I316" s="51" t="str">
        <x:v>YouTube — search by title</x:v>
      </x:c>
      <x:c r="J316" s="58" t="e">
        <x:f>HYPERLINK("https://www.youtube.com/results?search_query=Darth%20Revan%20Turns%20Its%20Own%20Cannon%20Against%20It%20%7C%20The%20Siege%20Breaker","Search")</x:f>
        <x:v>HYPERLINK is not implemented. linkLocation=https://www.youtube.com/results?search_query=Darth%20Revan%20Turns%20Its%20Own%20Cannon%20Against%20It%20%7C%20The%20Siege%20Breaker, friendlyName=Search</x:v>
      </x:c>
      <x:c r="K316" s="51" t="str">
        <x:v>Placed around the events and aftermath of Knights of the Old Republic.</x:v>
      </x:c>
      <x:c r="L316" s="76" t="str"/>
      <x:c r="M316" s="76" t="str">
        <x:v>Darth Revan Turns Its Own Cannon Against It | The Siege Breaker</x:v>
      </x:c>
      <x:c r="N316" s="76"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316" s="76" t="str">
        <x:v>Old Republic — Revan / Knights of the Old Republic era</x:v>
      </x:c>
      <x:c r="P316" s="76" t="str">
        <x:v>IMG_6219.PNG</x:v>
      </x:c>
      <x:c r="Q316" s="76" t="str">
        <x:v>OCR extracted / placement assigned</x:v>
      </x:c>
      <x:c r="R316" s="76" t="str">
        <x:v>High</x:v>
      </x:c>
      <x:c r="S316" s="76" t="str"/>
      <x:c r="T316" s="76" t="str">
        <x:v>Unique</x:v>
      </x:c>
    </x:row>
    <x:row r="317" s="23" customFormat="1" ht="36" customHeight="1">
      <x:c r="A317" s="49" t="b">
        <x:v>0</x:v>
      </x:c>
      <x:c r="B317" s="50" t="str">
        <x:v>FV-0069</x:v>
      </x:c>
      <x:c r="C317" s="51" t="str">
        <x:v>Fan chronology — Old Republic</x:v>
      </x:c>
      <x:c r="D317" s="51" t="str">
        <x:v>Darth Revan Turns the Commander’s Own Guns on Him @ | Old Republic</x:v>
      </x:c>
      <x:c r="E317" s="50" t="str"/>
      <x:c r="F317" s="51" t="str">
        <x:v>October 8, 2026</x:v>
      </x:c>
      <x:c r="G317" s="51" t="str">
        <x:v>Fan-made / non-canon</x:v>
      </x:c>
      <x:c r="H317" s="51" t="str">
        <x:v>Fan video</x:v>
      </x:c>
      <x:c r="I317" s="51" t="str">
        <x:v>YouTube — search by title</x:v>
      </x:c>
      <x:c r="J317" s="58" t="e">
        <x:f>HYPERLINK("https://www.youtube.com/results?search_query=Darth%20Revan%20Turns%20the%20Commander%E2%80%99s%20Own%20Guns%20on%20Him%20%40%20%7C%20Old%20Republic","Search")</x:f>
        <x:v>HYPERLINK is not implemented. linkLocation=https://www.youtube.com/results?search_query=Darth%20Revan%20Turns%20the%20Commander%E2%80%99s%20Own%20Guns%20on%20Him%20%40%20%7C%20Old%20Republic, friendlyName=Search</x:v>
      </x:c>
      <x:c r="K317" s="51" t="str">
        <x:v>Placed around the events and aftermath of Knights of the Old Republic.</x:v>
      </x:c>
      <x:c r="L317" s="76" t="str"/>
      <x:c r="M317" s="76" t="str">
        <x:v>Darth Revan Turns the Commander’s Own Guns on Him @ | Old Republic</x:v>
      </x:c>
      <x:c r="N317" s="76"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317" s="76" t="str">
        <x:v>Old Republic — Revan / Knights of the Old Republic era</x:v>
      </x:c>
      <x:c r="P317" s="76" t="str">
        <x:v>IMG_6252.PNG</x:v>
      </x:c>
      <x:c r="Q317" s="76" t="str">
        <x:v>OCR extracted / placement assigned</x:v>
      </x:c>
      <x:c r="R317" s="76" t="str">
        <x:v>High</x:v>
      </x:c>
      <x:c r="S317" s="76" t="str"/>
      <x:c r="T317" s="76" t="str">
        <x:v>Unique</x:v>
      </x:c>
    </x:row>
    <x:row r="318" s="23" customFormat="1" ht="36" customHeight="1">
      <x:c r="A318" s="49" t="b">
        <x:v>0</x:v>
      </x:c>
      <x:c r="B318" s="50" t="str">
        <x:v>FV-0139</x:v>
      </x:c>
      <x:c r="C318" s="51" t="str">
        <x:v>Fan chronology — Old Republic</x:v>
      </x:c>
      <x:c r="D318" s="51" t="str">
        <x:v>Darth Revan Turns the Interrogation Around</x:v>
      </x:c>
      <x:c r="E318" s="50" t="str"/>
      <x:c r="F318" s="51" t="str">
        <x:v>October 1, 2026</x:v>
      </x:c>
      <x:c r="G318" s="51" t="str">
        <x:v>Fan-made / non-canon</x:v>
      </x:c>
      <x:c r="H318" s="51" t="str">
        <x:v>Fan video</x:v>
      </x:c>
      <x:c r="I318" s="51" t="str">
        <x:v>YouTube — search by title</x:v>
      </x:c>
      <x:c r="J318" s="58" t="e">
        <x:f>HYPERLINK("https://www.youtube.com/results?search_query=Darth%20Revan%20Turns%20the%20Interrogation%20Around","Search")</x:f>
        <x:v>HYPERLINK is not implemented. linkLocation=https://www.youtube.com/results?search_query=Darth%20Revan%20Turns%20the%20Interrogation%20Around, friendlyName=Search</x:v>
      </x:c>
      <x:c r="K318" s="51" t="str">
        <x:v>Placed around the events and aftermath of Knights of the Old Republic.</x:v>
      </x:c>
      <x:c r="L318" s="76" t="str"/>
      <x:c r="M318" s="76" t="str">
        <x:v>Darth Revan Turns the Interrogation Around</x:v>
      </x:c>
      <x:c r="N318" s="76"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318" s="76" t="str">
        <x:v>Old Republic — Revan / Knights of the Old Republic era</x:v>
      </x:c>
      <x:c r="P318" s="76" t="str">
        <x:v>IMG_6322.PNG</x:v>
      </x:c>
      <x:c r="Q318" s="76" t="str">
        <x:v>OCR extracted / placement assigned</x:v>
      </x:c>
      <x:c r="R318" s="76" t="str">
        <x:v>High</x:v>
      </x:c>
      <x:c r="S318" s="76" t="str"/>
      <x:c r="T318" s="76" t="str">
        <x:v>Unique</x:v>
      </x:c>
    </x:row>
    <x:row r="319" s="23" customFormat="1" ht="36" customHeight="1">
      <x:c r="A319" s="49" t="b">
        <x:v>0</x:v>
      </x:c>
      <x:c r="B319" s="50" t="str">
        <x:v>FV-0562</x:v>
      </x:c>
      <x:c r="C319" s="51" t="str">
        <x:v>Fan chronology — Old Republic</x:v>
      </x:c>
      <x:c r="D319" s="51" t="str">
        <x:v>Darth Revan Unleashes His Power 9X</x:v>
      </x:c>
      <x:c r="E319" s="50" t="str"/>
      <x:c r="F319" s="51" t="str">
        <x:v>August 21, 2026</x:v>
      </x:c>
      <x:c r="G319" s="51" t="str">
        <x:v>Fan-made / non-canon</x:v>
      </x:c>
      <x:c r="H319" s="51" t="str">
        <x:v>Fan video</x:v>
      </x:c>
      <x:c r="I319" s="51" t="str">
        <x:v>YouTube — search by title</x:v>
      </x:c>
      <x:c r="J319" s="58" t="e">
        <x:f>HYPERLINK("https://www.youtube.com/results?search_query=Darth%20Revan%20Unleashes%20His%20Power%209X","Search")</x:f>
        <x:v>HYPERLINK is not implemented. linkLocation=https://www.youtube.com/results?search_query=Darth%20Revan%20Unleashes%20His%20Power%209X, friendlyName=Search</x:v>
      </x:c>
      <x:c r="K319" s="51" t="str">
        <x:v>Placed around the events and aftermath of Knights of the Old Republic.</x:v>
      </x:c>
      <x:c r="L319" s="76" t="str"/>
      <x:c r="M319" s="76" t="str">
        <x:v>Darth Revan Unleashes His Power 9X</x:v>
      </x:c>
      <x:c r="N319" s="76"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319" s="76" t="str">
        <x:v>Old Republic — Revan / Knights of the Old Republic era</x:v>
      </x:c>
      <x:c r="P319" s="76" t="str">
        <x:v>IMG_6752.PNG</x:v>
      </x:c>
      <x:c r="Q319" s="76" t="str">
        <x:v>OCR extracted / placement assigned</x:v>
      </x:c>
      <x:c r="R319" s="76" t="str">
        <x:v>High</x:v>
      </x:c>
      <x:c r="S319" s="76" t="str"/>
      <x:c r="T319" s="76" t="str">
        <x:v>Unique</x:v>
      </x:c>
    </x:row>
    <x:row r="320" s="23" customFormat="1" ht="36" customHeight="1">
      <x:c r="A320" s="49" t="b">
        <x:v>0</x:v>
      </x:c>
      <x:c r="B320" s="50" t="str">
        <x:v>FV-0080</x:v>
      </x:c>
      <x:c r="C320" s="51" t="str">
        <x:v>Fan chronology — Old Republic</x:v>
      </x:c>
      <x:c r="D320" s="51" t="str">
        <x:v>Darth Revan Uses the Jedi Mind Trick | Clearance Approved | UNLEASHED</x:v>
      </x:c>
      <x:c r="E320" s="50" t="str"/>
      <x:c r="F320" s="51" t="str">
        <x:v>October 6, 2026</x:v>
      </x:c>
      <x:c r="G320" s="51" t="str">
        <x:v>Fan-made / non-canon</x:v>
      </x:c>
      <x:c r="H320" s="51" t="str">
        <x:v>Fan video</x:v>
      </x:c>
      <x:c r="I320" s="51" t="str">
        <x:v>YouTube — search by title</x:v>
      </x:c>
      <x:c r="J320" s="58" t="e">
        <x:f>HYPERLINK("https://www.youtube.com/results?search_query=Darth%20Revan%20Uses%20the%20Jedi%20Mind%20Trick%20%7C%20Clearance%20Approved%20%7C%20UNLEASHED","Search")</x:f>
        <x:v>HYPERLINK is not implemented. linkLocation=https://www.youtube.com/results?search_query=Darth%20Revan%20Uses%20the%20Jedi%20Mind%20Trick%20%7C%20Clearance%20Approved%20%7C%20UNLEASHED, friendlyName=Search</x:v>
      </x:c>
      <x:c r="K320" s="51" t="str">
        <x:v>Placed around the events and aftermath of Knights of the Old Republic.</x:v>
      </x:c>
      <x:c r="L320" s="76" t="str"/>
      <x:c r="M320" s="76" t="str">
        <x:v>Darth Revan Uses the Jedi Mind Trick | Clearance Approved | UNLEASHED</x:v>
      </x:c>
      <x:c r="N320" s="76"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320" s="76" t="str">
        <x:v>Old Republic — Revan / Knights of the Old Republic era</x:v>
      </x:c>
      <x:c r="P320" s="76" t="str">
        <x:v>IMG_6263.PNG</x:v>
      </x:c>
      <x:c r="Q320" s="76" t="str">
        <x:v>OCR extracted / placement assigned</x:v>
      </x:c>
      <x:c r="R320" s="76" t="str">
        <x:v>High</x:v>
      </x:c>
      <x:c r="S320" s="76" t="str"/>
      <x:c r="T320" s="76" t="str">
        <x:v>Unique</x:v>
      </x:c>
    </x:row>
    <x:row r="321" s="23" customFormat="1" ht="36" customHeight="1">
      <x:c r="A321" s="49" t="b">
        <x:v>0</x:v>
      </x:c>
      <x:c r="B321" s="50" t="str">
        <x:v>FV-0180</x:v>
      </x:c>
      <x:c r="C321" s="51" t="str">
        <x:v>Fan chronology — Old Republic</x:v>
      </x:c>
      <x:c r="D321" s="51" t="str">
        <x:v>DARTH REVAN vs EMPEROR VALKORION é Beyond the Sealed Door | Star Wars</x:v>
      </x:c>
      <x:c r="E321" s="50" t="str"/>
      <x:c r="F321" s="51" t="str">
        <x:v>September 25, 2026</x:v>
      </x:c>
      <x:c r="G321" s="51" t="str">
        <x:v>Fan-made / non-canon</x:v>
      </x:c>
      <x:c r="H321" s="51" t="str">
        <x:v>Fan video</x:v>
      </x:c>
      <x:c r="I321" s="51" t="str">
        <x:v>YouTube — search by title</x:v>
      </x:c>
      <x:c r="J321" s="58" t="e">
        <x:f>HYPERLINK("https://www.youtube.com/results?search_query=DARTH%20REVAN%20vs%20EMPEROR%20VALKORION%20%C3%A9%20Beyond%20the%20Sealed%20Door%20%7C%20Star%20Wars","Search")</x:f>
        <x:v>HYPERLINK is not implemented. linkLocation=https://www.youtube.com/results?search_query=DARTH%20REVAN%20vs%20EMPEROR%20VALKORION%20%C3%A9%20Beyond%20the%20Sealed%20Door%20%7C%20Star%20Wars, friendlyName=Search</x:v>
      </x:c>
      <x:c r="K321" s="51" t="str">
        <x:v>Placed around the events and aftermath of Knights of the Old Republic.</x:v>
      </x:c>
      <x:c r="L321" s="76" t="str"/>
      <x:c r="M321" s="76" t="str">
        <x:v>DARTH REVAN vs EMPEROR VALKORION é Beyond the Sealed Door | Star Wars</x:v>
      </x:c>
      <x:c r="N321" s="76"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321" s="76" t="str">
        <x:v>Old Republic — Revan / Knights of the Old Republic era</x:v>
      </x:c>
      <x:c r="P321" s="76" t="str">
        <x:v>IMG_6363.PNG</x:v>
      </x:c>
      <x:c r="Q321" s="76" t="str">
        <x:v>OCR extracted / placement assigned</x:v>
      </x:c>
      <x:c r="R321" s="76" t="str">
        <x:v>High</x:v>
      </x:c>
      <x:c r="S321" s="76" t="str"/>
      <x:c r="T321" s="76" t="str">
        <x:v>Unique</x:v>
      </x:c>
    </x:row>
    <x:row r="322" s="23" customFormat="1" ht="36" customHeight="1">
      <x:c r="A322" s="49" t="b">
        <x:v>0</x:v>
      </x:c>
      <x:c r="B322" s="50" t="str">
        <x:v>FV-0152</x:v>
      </x:c>
      <x:c r="C322" s="51" t="str">
        <x:v>Fan chronology — Old Republic</x:v>
      </x:c>
      <x:c r="D322" s="51" t="str">
        <x:v>DARTH REVAN vs EMPEROR VITIATE 4 YOU DON'T OWN ME | Star Wars: The Old Republic</x:v>
      </x:c>
      <x:c r="E322" s="50" t="str"/>
      <x:c r="F322" s="51" t="str">
        <x:v>September 29, 2026</x:v>
      </x:c>
      <x:c r="G322" s="51" t="str">
        <x:v>Fan-made / non-canon</x:v>
      </x:c>
      <x:c r="H322" s="51" t="str">
        <x:v>Fan video</x:v>
      </x:c>
      <x:c r="I322" s="51" t="str">
        <x:v>YouTube — search by title</x:v>
      </x:c>
      <x:c r="J322" s="58" t="e">
        <x:f>HYPERLINK("https://www.youtube.com/results?search_query=DARTH%20REVAN%20vs%20EMPEROR%20VITIATE%204%20YOU%20DON'T%20OWN%20ME%20%7C%20Star%20Wars%3A%20The%20Old%20Republic","Search")</x:f>
        <x:v>HYPERLINK is not implemented. linkLocation=https://www.youtube.com/results?search_query=DARTH%20REVAN%20vs%20EMPEROR%20VITIATE%204%20YOU%20DON'T%20OWN%20ME%20%7C%20Star%20Wars%3A%20The%20Old%20Republic, friendlyName=Search</x:v>
      </x:c>
      <x:c r="K322" s="51" t="str">
        <x:v>Placed around the events and aftermath of Knights of the Old Republic.</x:v>
      </x:c>
      <x:c r="L322" s="76" t="str">
        <x:v>Star Wars: The Old Republic</x:v>
      </x:c>
      <x:c r="M322" s="76" t="str">
        <x:v>DARTH REVAN vs EMPEROR VITIATE 4 YOU DON'T OWN ME | Star Wars: The Old Republic</x:v>
      </x:c>
      <x:c r="N322" s="76"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322" s="76" t="str">
        <x:v>Old Republic — Revan / Knights of the Old Republic era</x:v>
      </x:c>
      <x:c r="P322" s="76" t="str">
        <x:v>IMG_6335.PNG</x:v>
      </x:c>
      <x:c r="Q322" s="76" t="str">
        <x:v>OCR extracted / placement assigned</x:v>
      </x:c>
      <x:c r="R322" s="76" t="str">
        <x:v>High</x:v>
      </x:c>
      <x:c r="S322" s="76" t="str"/>
      <x:c r="T322" s="76" t="str">
        <x:v>Unique</x:v>
      </x:c>
    </x:row>
    <x:row r="323" s="23" customFormat="1" ht="36" customHeight="1">
      <x:c r="A323" s="49" t="b">
        <x:v>0</x:v>
      </x:c>
      <x:c r="B323" s="50" t="str">
        <x:v>FV-0205</x:v>
      </x:c>
      <x:c r="C323" s="51" t="str">
        <x:v>Fan chronology — Old Republic</x:v>
      </x:c>
      <x:c r="D323" s="51" t="str">
        <x:v>DARTH REVAN VS TENEBRAE — EPISODE ODE 2“THE SHADOW REMEMBERS”</x:v>
      </x:c>
      <x:c r="E323" s="50" t="str">
        <x:v>EPISODE ODE</x:v>
      </x:c>
      <x:c r="F323" s="51" t="str">
        <x:v>September 15, 2026</x:v>
      </x:c>
      <x:c r="G323" s="51" t="str">
        <x:v>Fan-made / non-canon</x:v>
      </x:c>
      <x:c r="H323" s="51" t="str">
        <x:v>Fan video</x:v>
      </x:c>
      <x:c r="I323" s="51" t="str">
        <x:v>YouTube — search by title</x:v>
      </x:c>
      <x:c r="J323" s="58" t="e">
        <x:f>HYPERLINK("https://www.youtube.com/results?search_query=DARTH%20REVAN%20VS%20TENEBRAE%20%E2%80%94%20EPISODE%20ODE%202%E2%80%9CTHE%20SHADOW%20REMEMBERS%E2%80%9D","Search")</x:f>
        <x:v>HYPERLINK is not implemented. linkLocation=https://www.youtube.com/results?search_query=DARTH%20REVAN%20VS%20TENEBRAE%20%E2%80%94%20EPISODE%20ODE%202%E2%80%9CTHE%20SHADOW%20REMEMBERS%E2%80%9D, friendlyName=Search</x:v>
      </x:c>
      <x:c r="K323" s="51" t="str">
        <x:v>Placed around the events and aftermath of Knights of the Old Republic.</x:v>
      </x:c>
      <x:c r="L323" s="76" t="str">
        <x:v>Shadow</x:v>
      </x:c>
      <x:c r="M323" s="76" t="str">
        <x:v>DARTH REVAN VS TENEBRAE — EPISODE ODE 2“THE SHADOW REMEMBERS”</x:v>
      </x:c>
      <x:c r="N323" s="76" t="str">
        <x:v>Darth Revan confronts Darth Tenebrae in his throne
room.</x:v>
      </x:c>
      <x:c r="O323" s="76" t="str">
        <x:v>Old Republic — Revan / Knights of the Old Republic era</x:v>
      </x:c>
      <x:c r="P323" s="76" t="str">
        <x:v>IMG_6388.PNG</x:v>
      </x:c>
      <x:c r="Q323" s="76" t="str">
        <x:v>OCR extracted / placement assigned</x:v>
      </x:c>
      <x:c r="R323" s="76" t="str">
        <x:v>High</x:v>
      </x:c>
      <x:c r="S323" s="76" t="str"/>
      <x:c r="T323" s="76" t="str">
        <x:v>Unique</x:v>
      </x:c>
    </x:row>
    <x:row r="324" s="23" customFormat="1" ht="36" customHeight="1">
      <x:c r="A324" s="49" t="b">
        <x:v>0</x:v>
      </x:c>
      <x:c r="B324" s="50" t="str">
        <x:v>FV-0179</x:v>
      </x:c>
      <x:c r="C324" s="51" t="str">
        <x:v>Fan chronology — Old Republic</x:v>
      </x:c>
      <x:c r="D324" s="51" t="str">
        <x:v>DARTH REVAN vs TENEBRAE é THE ABYSS STRIKES BACK! | Episode 7</x:v>
      </x:c>
      <x:c r="E324" s="50" t="str">
        <x:v>Episode 7</x:v>
      </x:c>
      <x:c r="F324" s="51" t="str">
        <x:v>September 25, 2026</x:v>
      </x:c>
      <x:c r="G324" s="51" t="str">
        <x:v>Fan-made / non-canon</x:v>
      </x:c>
      <x:c r="H324" s="51" t="str">
        <x:v>Fan video</x:v>
      </x:c>
      <x:c r="I324" s="51" t="str">
        <x:v>YouTube — search by title</x:v>
      </x:c>
      <x:c r="J324" s="58" t="e">
        <x:f>HYPERLINK("https://www.youtube.com/results?search_query=DARTH%20REVAN%20vs%20TENEBRAE%20%C3%A9%20THE%20ABYSS%20STRIKES%20BACK!%20%7C%20Episode%207","Search")</x:f>
        <x:v>HYPERLINK is not implemented. linkLocation=https://www.youtube.com/results?search_query=DARTH%20REVAN%20vs%20TENEBRAE%20%C3%A9%20THE%20ABYSS%20STRIKES%20BACK!%20%7C%20Episode%207, friendlyName=Search</x:v>
      </x:c>
      <x:c r="K324" s="51" t="str">
        <x:v>Placed around the events and aftermath of Knights of the Old Republic.</x:v>
      </x:c>
      <x:c r="L324" s="76" t="str">
        <x:v>DARTH REVAN vs TENEBRAE é THE ABYSS STRIKES BACK!</x:v>
      </x:c>
      <x:c r="M324" s="76" t="str">
        <x:v>DARTH REVAN vs TENEBRAE é THE ABYSS STRIKES BACK! | Episode 7</x:v>
      </x:c>
      <x:c r="N324" s="76"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324" s="76" t="str">
        <x:v>Old Republic — Revan / Knights of the Old Republic era</x:v>
      </x:c>
      <x:c r="P324" s="76" t="str">
        <x:v>IMG_6362.PNG</x:v>
      </x:c>
      <x:c r="Q324" s="76" t="str">
        <x:v>OCR extracted / placement assigned</x:v>
      </x:c>
      <x:c r="R324" s="76" t="str">
        <x:v>High</x:v>
      </x:c>
      <x:c r="S324" s="76" t="str"/>
      <x:c r="T324" s="76" t="str">
        <x:v>Unique</x:v>
      </x:c>
    </x:row>
    <x:row r="325" s="23" customFormat="1" ht="36" customHeight="1">
      <x:c r="A325" s="49" t="b">
        <x:v>0</x:v>
      </x:c>
      <x:c r="B325" s="50" t="str">
        <x:v>FV-0194</x:v>
      </x:c>
      <x:c r="C325" s="51" t="str">
        <x:v>Fan chronology — Old Republic</x:v>
      </x:c>
      <x:c r="D325" s="51" t="str">
        <x:v>DARTH REVAN VS VALKORION — THE WAR INSIDE HIS MIND</x:v>
      </x:c>
      <x:c r="E325" s="50" t="str"/>
      <x:c r="F325" s="51" t="str">
        <x:v>September 23, 2026</x:v>
      </x:c>
      <x:c r="G325" s="51" t="str">
        <x:v>Fan-made / non-canon</x:v>
      </x:c>
      <x:c r="H325" s="51" t="str">
        <x:v>Fan video</x:v>
      </x:c>
      <x:c r="I325" s="51" t="str">
        <x:v>YouTube — search by title</x:v>
      </x:c>
      <x:c r="J325" s="58" t="e">
        <x:f>HYPERLINK("https://www.youtube.com/results?search_query=DARTH%20REVAN%20VS%20VALKORION%20%E2%80%94%20THE%20WAR%20INSIDE%20HIS%20MIND","Search")</x:f>
        <x:v>HYPERLINK is not implemented. linkLocation=https://www.youtube.com/results?search_query=DARTH%20REVAN%20VS%20VALKORION%20%E2%80%94%20THE%20WAR%20INSIDE%20HIS%20MIND, friendlyName=Search</x:v>
      </x:c>
      <x:c r="K325" s="51" t="str">
        <x:v>Placed around the events and aftermath of Knights of the Old Republic.</x:v>
      </x:c>
      <x:c r="L325" s="76" t="str"/>
      <x:c r="M325" s="76" t="str">
        <x:v>DARTH REVAN VS VALKORION — THE WAR INSIDE HIS MIND</x:v>
      </x:c>
      <x:c r="N325" s="76"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325" s="76" t="str">
        <x:v>Old Republic — Revan / Knights of the Old Republic era</x:v>
      </x:c>
      <x:c r="P325" s="76" t="str">
        <x:v>IMG_6377.PNG</x:v>
      </x:c>
      <x:c r="Q325" s="76" t="str">
        <x:v>OCR extracted / placement assigned</x:v>
      </x:c>
      <x:c r="R325" s="76" t="str">
        <x:v>High</x:v>
      </x:c>
      <x:c r="S325" s="76" t="str"/>
      <x:c r="T325" s="76" t="str">
        <x:v>Unique</x:v>
      </x:c>
    </x:row>
    <x:row r="326" s="23" customFormat="1" ht="36" customHeight="1">
      <x:c r="A326" s="49" t="b">
        <x:v>0</x:v>
      </x:c>
      <x:c r="B326" s="50" t="str">
        <x:v>FV-0208</x:v>
      </x:c>
      <x:c r="C326" s="51" t="str">
        <x:v>Fan chronology — Old Republic</x:v>
      </x:c>
      <x:c r="D326" s="51" t="str">
        <x:v>Darth Revan vs Valkorion | You Chained the Wrong Mind</x:v>
      </x:c>
      <x:c r="E326" s="50" t="str"/>
      <x:c r="F326" s="51" t="str">
        <x:v>September 15, 2026</x:v>
      </x:c>
      <x:c r="G326" s="51" t="str">
        <x:v>Fan-made / non-canon</x:v>
      </x:c>
      <x:c r="H326" s="51" t="str">
        <x:v>Fan video</x:v>
      </x:c>
      <x:c r="I326" s="51" t="str">
        <x:v>YouTube — search by title</x:v>
      </x:c>
      <x:c r="J326" s="58" t="e">
        <x:f>HYPERLINK("https://www.youtube.com/results?search_query=Darth%20Revan%20vs%20Valkorion%20%7C%20You%20Chained%20the%20Wrong%20Mind","Search")</x:f>
        <x:v>HYPERLINK is not implemented. linkLocation=https://www.youtube.com/results?search_query=Darth%20Revan%20vs%20Valkorion%20%7C%20You%20Chained%20the%20Wrong%20Mind, friendlyName=Search</x:v>
      </x:c>
      <x:c r="K326" s="51" t="str">
        <x:v>Placed around the events and aftermath of Knights of the Old Republic.</x:v>
      </x:c>
      <x:c r="L326" s="76" t="str"/>
      <x:c r="M326" s="76" t="str">
        <x:v>Darth Revan vs Valkorion | You Chained the Wrong Mind</x:v>
      </x:c>
      <x:c r="N326" s="76"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326" s="76" t="str">
        <x:v>Old Republic — Revan / Knights of the Old Republic era</x:v>
      </x:c>
      <x:c r="P326" s="76" t="str">
        <x:v>IMG_6391.PNG</x:v>
      </x:c>
      <x:c r="Q326" s="76" t="str">
        <x:v>OCR extracted / placement assigned</x:v>
      </x:c>
      <x:c r="R326" s="76" t="str">
        <x:v>High</x:v>
      </x:c>
      <x:c r="S326" s="76" t="str"/>
      <x:c r="T326" s="76" t="str">
        <x:v>Unique</x:v>
      </x:c>
    </x:row>
    <x:row r="327" s="23" customFormat="1" ht="36" customHeight="1">
      <x:c r="A327" s="49" t="b">
        <x:v>0</x:v>
      </x:c>
      <x:c r="B327" s="50" t="str">
        <x:v>FV-0254</x:v>
      </x:c>
      <x:c r="C327" s="51" t="str">
        <x:v>Fan chronology — Old Republic</x:v>
      </x:c>
      <x:c r="D327" s="51" t="str">
        <x:v>DARTH REVAN VS. DARTH NIHILUS — THE BATTLE MALACHOR NEVER FORGOT | CHAPTER 1</x:v>
      </x:c>
      <x:c r="E327" s="50" t="str">
        <x:v>CHAPTER 1</x:v>
      </x:c>
      <x:c r="F327" s="51" t="str">
        <x:v>September 5, 2026</x:v>
      </x:c>
      <x:c r="G327" s="51" t="str">
        <x:v>Fan-made / non-canon</x:v>
      </x:c>
      <x:c r="H327" s="51" t="str">
        <x:v>Fan video</x:v>
      </x:c>
      <x:c r="I327" s="51" t="str">
        <x:v>YouTube — search by title</x:v>
      </x:c>
      <x:c r="J327" s="58" t="e">
        <x:f>HYPERLINK("https://www.youtube.com/results?search_query=DARTH%20REVAN%20VS.%20DARTH%20NIHILUS%20%E2%80%94%20THE%20BATTLE%20MALACHOR%20NEVER%20FORGOT%20%7C%20CHAPTER%201","Search")</x:f>
        <x:v>HYPERLINK is not implemented. linkLocation=https://www.youtube.com/results?search_query=DARTH%20REVAN%20VS.%20DARTH%20NIHILUS%20%E2%80%94%20THE%20BATTLE%20MALACHOR%20NEVER%20FORGOT%20%7C%20CHAPTER%201, friendlyName=Search</x:v>
      </x:c>
      <x:c r="K327" s="51" t="str">
        <x:v>Placed around the events and aftermath of Knights of the Old Republic.</x:v>
      </x:c>
      <x:c r="L327" s="76" t="str">
        <x:v>DARTH REVAN VS. DARTH NIHILUS — THE BATTLE MALACHOR NEVER FORGOT</x:v>
      </x:c>
      <x:c r="M327" s="76" t="str">
        <x:v>DARTH REVAN VS. DARTH NIHILUS — THE BATTLE MALACHOR NEVER FORGOT | CHAPTER 1</x:v>
      </x:c>
      <x:c r="N327" s="76" t="str">
        <x:v>Two legends return to the graveyard that created
them.
On the shattered surface of Malachor V, Darth
Nihilus reaches for Revan with a hunger capable of
consuming worlds. But Revan refuses to become
another victim. Purple meets crimson as the
architect of Malachor confronts the living wound it
left behind.
This is only their first collision. The true battle
begins in Chapter Two.
Created by Blaine Henry
An Unleashed cinematic production.</x:v>
      </x:c>
      <x:c r="O327" s="76" t="str">
        <x:v>Old Republic — Revan / Knights of the Old Republic era</x:v>
      </x:c>
      <x:c r="P327" s="76" t="str">
        <x:v>IMG_6439.PNG</x:v>
      </x:c>
      <x:c r="Q327" s="76" t="str">
        <x:v>OCR extracted / placement assigned</x:v>
      </x:c>
      <x:c r="R327" s="76" t="str">
        <x:v>High</x:v>
      </x:c>
      <x:c r="S327" s="76" t="str"/>
      <x:c r="T327" s="76" t="str">
        <x:v>Unique</x:v>
      </x:c>
    </x:row>
    <x:row r="328" s="23" customFormat="1" ht="36" customHeight="1">
      <x:c r="A328" s="49" t="b">
        <x:v>0</x:v>
      </x:c>
      <x:c r="B328" s="50" t="str">
        <x:v>FV-0288</x:v>
      </x:c>
      <x:c r="C328" s="51" t="str">
        <x:v>Fan chronology — Old Republic</x:v>
      </x:c>
      <x:c r="D328" s="51" t="str">
        <x:v>Darth Revan vs. Darth Sidious — The Duel We Never Got</x:v>
      </x:c>
      <x:c r="E328" s="50" t="str"/>
      <x:c r="F328" s="51" t="str">
        <x:v>September 1, 2026</x:v>
      </x:c>
      <x:c r="G328" s="51" t="str">
        <x:v>Fan-made / non-canon</x:v>
      </x:c>
      <x:c r="H328" s="51" t="str">
        <x:v>Fan video</x:v>
      </x:c>
      <x:c r="I328" s="51" t="str">
        <x:v>YouTube — search by title</x:v>
      </x:c>
      <x:c r="J328" s="58" t="e">
        <x:f>HYPERLINK("https://www.youtube.com/results?search_query=Darth%20Revan%20vs.%20Darth%20Sidious%20%E2%80%94%20The%20Duel%20We%20Never%20Got","Search")</x:f>
        <x:v>HYPERLINK is not implemented. linkLocation=https://www.youtube.com/results?search_query=Darth%20Revan%20vs.%20Darth%20Sidious%20%E2%80%94%20The%20Duel%20We%20Never%20Got, friendlyName=Search</x:v>
      </x:c>
      <x:c r="K328" s="51" t="str">
        <x:v>Placed around the events and aftermath of Knights of the Old Republic.</x:v>
      </x:c>
      <x:c r="L328" s="76" t="str"/>
      <x:c r="M328" s="76" t="str">
        <x:v>Darth Revan vs. Darth Sidious — The Duel We Never Got</x:v>
      </x:c>
      <x:c r="N328" s="76" t="str">
        <x:v>Two of the most dangerous Sith to ever wield the
Force finally collide.
Darth Sidious brings speed, aggression, and
relentless pressure—but Revan refuses to give him a
single moment of control.
No wasted movement. No hesitation. Every strike
has a purpose. Every defense becomes a counter.
Darth Revan vs. Darth Sidious.
Some battles were never shown on screen.
This is one of them.
Who wins this fight at their absolute peak — Revan</x:v>
      </x:c>
      <x:c r="O328" s="76" t="str">
        <x:v>Old Republic — Revan / Knights of the Old Republic era</x:v>
      </x:c>
      <x:c r="P328" s="76" t="str">
        <x:v>IMG_6473.PNG</x:v>
      </x:c>
      <x:c r="Q328" s="76" t="str">
        <x:v>OCR extracted / placement assigned</x:v>
      </x:c>
      <x:c r="R328" s="76" t="str">
        <x:v>High</x:v>
      </x:c>
      <x:c r="S328" s="76" t="str"/>
      <x:c r="T328" s="76" t="str">
        <x:v>Unique</x:v>
      </x:c>
    </x:row>
    <x:row r="329" s="23" customFormat="1" ht="36" customHeight="1">
      <x:c r="A329" s="49" t="b">
        <x:v>0</x:v>
      </x:c>
      <x:c r="B329" s="50" t="str">
        <x:v>FV-0143</x:v>
      </x:c>
      <x:c r="C329" s="51" t="str">
        <x:v>Fan chronology — Old Republic</x:v>
      </x:c>
      <x:c r="D329" s="51" t="str">
        <x:v>Darth Revan vs. Emperor Vitiate — Episode 2: Throne of the Storm</x:v>
      </x:c>
      <x:c r="E329" s="50" t="str">
        <x:v>Episode 2</x:v>
      </x:c>
      <x:c r="F329" s="51" t="str">
        <x:v>September 30, 2026</x:v>
      </x:c>
      <x:c r="G329" s="51" t="str">
        <x:v>Fan-made / non-canon</x:v>
      </x:c>
      <x:c r="H329" s="51" t="str">
        <x:v>Fan video</x:v>
      </x:c>
      <x:c r="I329" s="51" t="str">
        <x:v>YouTube — search by title</x:v>
      </x:c>
      <x:c r="J329" s="58" t="e">
        <x:f>HYPERLINK("https://www.youtube.com/results?search_query=Darth%20Revan%20vs.%20Emperor%20Vitiate%20%E2%80%94%20Episode%202%3A%20Throne%20of%20the%20Storm","Search")</x:f>
        <x:v>HYPERLINK is not implemented. linkLocation=https://www.youtube.com/results?search_query=Darth%20Revan%20vs.%20Emperor%20Vitiate%20%E2%80%94%20Episode%202%3A%20Throne%20of%20the%20Storm, friendlyName=Search</x:v>
      </x:c>
      <x:c r="K329" s="51" t="str">
        <x:v>Placed around the events and aftermath of Knights of the Old Republic.</x:v>
      </x:c>
      <x:c r="L329" s="76" t="str">
        <x:v>Darth Revan vs. Emperor Vitiate</x:v>
      </x:c>
      <x:c r="M329" s="76" t="str">
        <x:v>Darth Revan vs. Emperor Vitiate — Episode 2: Throne of the Storm</x:v>
      </x:c>
      <x:c r="N329" s="76"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329" s="76" t="str">
        <x:v>Old Republic — Revan / Knights of the Old Republic era</x:v>
      </x:c>
      <x:c r="P329" s="76" t="str">
        <x:v>IMG_6326.PNG</x:v>
      </x:c>
      <x:c r="Q329" s="76" t="str">
        <x:v>OCR extracted / placement assigned</x:v>
      </x:c>
      <x:c r="R329" s="76" t="str">
        <x:v>High</x:v>
      </x:c>
      <x:c r="S329" s="76" t="str"/>
      <x:c r="T329" s="76" t="str">
        <x:v>Unique</x:v>
      </x:c>
    </x:row>
    <x:row r="330" s="23" customFormat="1" ht="36" customHeight="1">
      <x:c r="A330" s="49" t="b">
        <x:v>0</x:v>
      </x:c>
      <x:c r="B330" s="50" t="str">
        <x:v>FV-0236</x:v>
      </x:c>
      <x:c r="C330" s="51" t="str">
        <x:v>Fan chronology — Old Republic</x:v>
      </x:c>
      <x:c r="D330" s="51" t="str">
        <x:v>DARTH REVAN VS. SHELOB | The Shadow of Shelob</x:v>
      </x:c>
      <x:c r="E330" s="50" t="str"/>
      <x:c r="F330" s="51" t="str">
        <x:v>September 9, 2026</x:v>
      </x:c>
      <x:c r="G330" s="51" t="str">
        <x:v>Fan-made / non-canon</x:v>
      </x:c>
      <x:c r="H330" s="51" t="str">
        <x:v>Fan video</x:v>
      </x:c>
      <x:c r="I330" s="51" t="str">
        <x:v>YouTube — search by title</x:v>
      </x:c>
      <x:c r="J330" s="58" t="e">
        <x:f>HYPERLINK("https://www.youtube.com/results?search_query=DARTH%20REVAN%20VS.%20SHELOB%20%7C%20The%20Shadow%20of%20Shelob","Search")</x:f>
        <x:v>HYPERLINK is not implemented. linkLocation=https://www.youtube.com/results?search_query=DARTH%20REVAN%20VS.%20SHELOB%20%7C%20The%20Shadow%20of%20Shelob, friendlyName=Search</x:v>
      </x:c>
      <x:c r="K330" s="51" t="str">
        <x:v>Placed around the events and aftermath of Knights of the Old Republic.</x:v>
      </x:c>
      <x:c r="L330" s="76" t="str">
        <x:v>Shadow</x:v>
      </x:c>
      <x:c r="M330" s="76" t="str">
        <x:v>DARTH REVAN VS. SHELOB | The Shadow of Shelob</x:v>
      </x:c>
      <x:c r="N330" s="76" t="str">
        <x:v>Support Unleashed: Cash App $brednew | PayPal
@blainehenry688
Beyond the gates of Cirith Ungol, Darth Revan
enters a passage smothered in ancient webs—and
discovers that something has been hunting him
from the darkness.
Shelob strikes without warning, lifting Revan by his
emerald cloak. But the Dark Lord abandons the
garment, lands with his purple blade drawn, and
brings the cavern crashing down around Middle-
earth's deadliest predator.
She wanted easy prey.
Revan was afraid she might be easy.</x:v>
      </x:c>
      <x:c r="O330" s="76" t="str">
        <x:v>Old Republic — Revan / Knights of the Old Republic era</x:v>
      </x:c>
      <x:c r="P330" s="76" t="str">
        <x:v>IMG_6419.PNG</x:v>
      </x:c>
      <x:c r="Q330" s="76" t="str">
        <x:v>OCR extracted / placement assigned</x:v>
      </x:c>
      <x:c r="R330" s="76" t="str">
        <x:v>High</x:v>
      </x:c>
      <x:c r="S330" s="76" t="str"/>
      <x:c r="T330" s="76" t="str">
        <x:v>Unique</x:v>
      </x:c>
    </x:row>
    <x:row r="331" s="23" customFormat="1" ht="36" customHeight="1">
      <x:c r="A331" s="49" t="b">
        <x:v>0</x:v>
      </x:c>
      <x:c r="B331" s="50" t="str">
        <x:v>FV-0163</x:v>
      </x:c>
      <x:c r="C331" s="51" t="str">
        <x:v>Fan chronology — Old Republic</x:v>
      </x:c>
      <x:c r="D331" s="51" t="str">
        <x:v>DARTH REVAN VS. TENEBRAE é THE SHAFT HAS NO BOTTOM | Episode 8</x:v>
      </x:c>
      <x:c r="E331" s="50" t="str">
        <x:v>Episode 8</x:v>
      </x:c>
      <x:c r="F331" s="51" t="str">
        <x:v>September 28, 2026</x:v>
      </x:c>
      <x:c r="G331" s="51" t="str">
        <x:v>Fan-made / non-canon</x:v>
      </x:c>
      <x:c r="H331" s="51" t="str">
        <x:v>Fan video</x:v>
      </x:c>
      <x:c r="I331" s="51" t="str">
        <x:v>YouTube — search by title</x:v>
      </x:c>
      <x:c r="J331" s="58" t="e">
        <x:f>HYPERLINK("https://www.youtube.com/results?search_query=DARTH%20REVAN%20VS.%20TENEBRAE%20%C3%A9%20THE%20SHAFT%20HAS%20NO%20BOTTOM%20%7C%20Episode%208","Search")</x:f>
        <x:v>HYPERLINK is not implemented. linkLocation=https://www.youtube.com/results?search_query=DARTH%20REVAN%20VS.%20TENEBRAE%20%C3%A9%20THE%20SHAFT%20HAS%20NO%20BOTTOM%20%7C%20Episode%208, friendlyName=Search</x:v>
      </x:c>
      <x:c r="K331" s="51" t="str">
        <x:v>Placed around the events and aftermath of Knights of the Old Republic.</x:v>
      </x:c>
      <x:c r="L331" s="76" t="str">
        <x:v>DARTH REVAN VS. TENEBRAE é THE SHAFT HAS NO BOTTOM</x:v>
      </x:c>
      <x:c r="M331" s="76" t="str">
        <x:v>DARTH REVAN VS. TENEBRAE é THE SHAFT HAS NO BOTTOM | Episode 8</x:v>
      </x:c>
      <x:c r="N331" s="76"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331" s="76" t="str">
        <x:v>Old Republic — Revan / Knights of the Old Republic era</x:v>
      </x:c>
      <x:c r="P331" s="76" t="str">
        <x:v>IMG_6346.PNG</x:v>
      </x:c>
      <x:c r="Q331" s="76" t="str">
        <x:v>OCR extracted / placement assigned</x:v>
      </x:c>
      <x:c r="R331" s="76" t="str">
        <x:v>High</x:v>
      </x:c>
      <x:c r="S331" s="76" t="str"/>
      <x:c r="T331" s="76" t="str">
        <x:v>Unique</x:v>
      </x:c>
    </x:row>
    <x:row r="332" s="23" customFormat="1" ht="36" customHeight="1">
      <x:c r="A332" s="49" t="b">
        <x:v>0</x:v>
      </x:c>
      <x:c r="B332" s="50" t="str">
        <x:v>FV-0212</x:v>
      </x:c>
      <x:c r="C332" s="51" t="str">
        <x:v>Fan chronology — Old Republic</x:v>
      </x:c>
      <x:c r="D332" s="51" t="str">
        <x:v>Darth Revan vs. The Emperor | Three Arrows of Death — Episode 1</x:v>
      </x:c>
      <x:c r="E332" s="50" t="str">
        <x:v>Episode 1</x:v>
      </x:c>
      <x:c r="F332" s="51" t="str">
        <x:v>September 14, 2026</x:v>
      </x:c>
      <x:c r="G332" s="51" t="str">
        <x:v>Fan-made / non-canon</x:v>
      </x:c>
      <x:c r="H332" s="51" t="str">
        <x:v>Fan video</x:v>
      </x:c>
      <x:c r="I332" s="51" t="str">
        <x:v>YouTube — search by title</x:v>
      </x:c>
      <x:c r="J332" s="58" t="e">
        <x:f>HYPERLINK("https://www.youtube.com/results?search_query=Darth%20Revan%20vs.%20The%20Emperor%20%7C%20Three%20Arrows%20of%20Death%20%E2%80%94%20Episode%201","Search")</x:f>
        <x:v>HYPERLINK is not implemented. linkLocation=https://www.youtube.com/results?search_query=Darth%20Revan%20vs.%20The%20Emperor%20%7C%20Three%20Arrows%20of%20Death%20%E2%80%94%20Episode%201, friendlyName=Search</x:v>
      </x:c>
      <x:c r="K332" s="51" t="str">
        <x:v>Placed around the events and aftermath of Knights of the Old Republic.</x:v>
      </x:c>
      <x:c r="L332" s="76" t="str">
        <x:v>Three Arrows of Death</x:v>
      </x:c>
      <x:c r="M332" s="76" t="str">
        <x:v>Darth Revan vs. The Emperor | Three Arrows of Death — Episode 1</x:v>
      </x:c>
      <x:c r="N332" s="76"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332" s="76" t="str">
        <x:v>Old Republic — Revan / Knights of the Old Republic era</x:v>
      </x:c>
      <x:c r="P332" s="76" t="str">
        <x:v>IMG_6395.PNG</x:v>
      </x:c>
      <x:c r="Q332" s="76" t="str">
        <x:v>OCR extracted / placement assigned</x:v>
      </x:c>
      <x:c r="R332" s="76" t="str">
        <x:v>High</x:v>
      </x:c>
      <x:c r="S332" s="76" t="str"/>
      <x:c r="T332" s="76" t="str">
        <x:v>Unique</x:v>
      </x:c>
    </x:row>
    <x:row r="333" s="23" customFormat="1" ht="36" customHeight="1">
      <x:c r="A333" s="49" t="b">
        <x:v>0</x:v>
      </x:c>
      <x:c r="B333" s="50" t="str">
        <x:v>FV-0145</x:v>
      </x:c>
      <x:c r="C333" s="51" t="str">
        <x:v>Fan chronology — Old Republic</x:v>
      </x:c>
      <x:c r="D333" s="51" t="str">
        <x:v>Darth Revan vs. the Jedi Council | “Open or Closed?”</x:v>
      </x:c>
      <x:c r="E333" s="50" t="str"/>
      <x:c r="F333" s="51" t="str">
        <x:v>September 30, 2026</x:v>
      </x:c>
      <x:c r="G333" s="51" t="str">
        <x:v>Fan-made / non-canon</x:v>
      </x:c>
      <x:c r="H333" s="51" t="str">
        <x:v>Fan video</x:v>
      </x:c>
      <x:c r="I333" s="51" t="str">
        <x:v>YouTube — search by title</x:v>
      </x:c>
      <x:c r="J333" s="58" t="e">
        <x:f>HYPERLINK("https://www.youtube.com/results?search_query=Darth%20Revan%20vs.%20the%20Jedi%20Council%20%7C%20%E2%80%9COpen%20or%20Closed%3F%E2%80%9D","Search")</x:f>
        <x:v>HYPERLINK is not implemented. linkLocation=https://www.youtube.com/results?search_query=Darth%20Revan%20vs.%20the%20Jedi%20Council%20%7C%20%E2%80%9COpen%20or%20Closed%3F%E2%80%9D, friendlyName=Search</x:v>
      </x:c>
      <x:c r="K333" s="51" t="str">
        <x:v>Placed around the events and aftermath of Knights of the Old Republic.</x:v>
      </x:c>
      <x:c r="L333" s="76" t="str"/>
      <x:c r="M333" s="76" t="str">
        <x:v>Darth Revan vs. the Jedi Council | “Open or Closed?”</x:v>
      </x:c>
      <x:c r="N333" s="76"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333" s="76" t="str">
        <x:v>Old Republic — Revan / Knights of the Old Republic era</x:v>
      </x:c>
      <x:c r="P333" s="76" t="str">
        <x:v>IMG_6328.PNG</x:v>
      </x:c>
      <x:c r="Q333" s="76" t="str">
        <x:v>OCR extracted / placement assigned</x:v>
      </x:c>
      <x:c r="R333" s="76" t="str">
        <x:v>High</x:v>
      </x:c>
      <x:c r="S333" s="76" t="str"/>
      <x:c r="T333" s="76" t="str">
        <x:v>Unique</x:v>
      </x:c>
    </x:row>
    <x:row r="334" s="23" customFormat="1" ht="36" customHeight="1">
      <x:c r="A334" s="49" t="b">
        <x:v>0</x:v>
      </x:c>
      <x:c r="B334" s="50" t="str">
        <x:v>FV-0185</x:v>
      </x:c>
      <x:c r="C334" s="51" t="str">
        <x:v>Fan chronology — Old Republic</x:v>
      </x:c>
      <x:c r="D334" s="51" t="str">
        <x:v>DARTH REVAN VS. VALKORION — EPISODE 3: THE EMPEROR'S PRISON &amp; | Star Wars Unleashed</x:v>
      </x:c>
      <x:c r="E334" s="50" t="str">
        <x:v>EPISODE 3</x:v>
      </x:c>
      <x:c r="F334" s="51" t="str">
        <x:v>September 24, 2026</x:v>
      </x:c>
      <x:c r="G334" s="51" t="str">
        <x:v>Fan-made / non-canon</x:v>
      </x:c>
      <x:c r="H334" s="51" t="str">
        <x:v>Fan video</x:v>
      </x:c>
      <x:c r="I334" s="51" t="str">
        <x:v>YouTube — search by title</x:v>
      </x:c>
      <x:c r="J334" s="58" t="e">
        <x:f>HYPERLINK("https://www.youtube.com/results?search_query=DARTH%20REVAN%20VS.%20VALKORION%20%E2%80%94%20EPISODE%203%3A%20THE%20EMPEROR'S%20PRISON%20%26%20%7C%20Star%20Wars%20Unleashed","Search")</x:f>
        <x:v>HYPERLINK is not implemented. linkLocation=https://www.youtube.com/results?search_query=DARTH%20REVAN%20VS.%20VALKORION%20%E2%80%94%20EPISODE%203%3A%20THE%20EMPEROR'S%20PRISON%20%26%20%7C%20Star%20Wars%20Unleashed, friendlyName=Search</x:v>
      </x:c>
      <x:c r="K334" s="51" t="str">
        <x:v>Placed around the events and aftermath of Knights of the Old Republic.</x:v>
      </x:c>
      <x:c r="L334" s="76" t="str">
        <x:v>DARTH REVAN VS. VALKORION</x:v>
      </x:c>
      <x:c r="M334" s="76" t="str">
        <x:v>DARTH REVAN VS. VALKORION — EPISODE 3: THE EMPEROR'S PRISON &amp; | Star Wars Unleashed</x:v>
      </x:c>
      <x:c r="N334" s="76"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334" s="76" t="str">
        <x:v>Old Republic — Revan / Knights of the Old Republic era</x:v>
      </x:c>
      <x:c r="P334" s="76" t="str">
        <x:v>IMG_6368.PNG</x:v>
      </x:c>
      <x:c r="Q334" s="76" t="str">
        <x:v>OCR extracted / placement assigned</x:v>
      </x:c>
      <x:c r="R334" s="76" t="str">
        <x:v>High</x:v>
      </x:c>
      <x:c r="S334" s="76" t="str"/>
      <x:c r="T334" s="76" t="str">
        <x:v>Unique</x:v>
      </x:c>
    </x:row>
    <x:row r="335" s="23" customFormat="1" ht="36" customHeight="1">
      <x:c r="A335" s="49" t="b">
        <x:v>0</x:v>
      </x:c>
      <x:c r="B335" s="50" t="str">
        <x:v>FV-0550</x:v>
      </x:c>
      <x:c r="C335" s="51" t="str">
        <x:v>Fan chronology — Old Republic</x:v>
      </x:c>
      <x:c r="D335" s="51" t="str">
        <x:v>Darth Revan Walks Into a Jedi Ambush — And Never Loses His Cool</x:v>
      </x:c>
      <x:c r="E335" s="50" t="str"/>
      <x:c r="F335" s="51" t="str">
        <x:v>August 20, 2026</x:v>
      </x:c>
      <x:c r="G335" s="51" t="str">
        <x:v>Fan-made / non-canon</x:v>
      </x:c>
      <x:c r="H335" s="51" t="str">
        <x:v>Fan video</x:v>
      </x:c>
      <x:c r="I335" s="51" t="str">
        <x:v>YouTube — search by title</x:v>
      </x:c>
      <x:c r="J335" s="58" t="e">
        <x:f>HYPERLINK("https://www.youtube.com/results?search_query=Darth%20Revan%20Walks%20Into%20a%20Jedi%20Ambush%20%E2%80%94%20And%20Never%20Loses%20His%20Cool","Search")</x:f>
        <x:v>HYPERLINK is not implemented. linkLocation=https://www.youtube.com/results?search_query=Darth%20Revan%20Walks%20Into%20a%20Jedi%20Ambush%20%E2%80%94%20And%20Never%20Loses%20His%20Cool, friendlyName=Search</x:v>
      </x:c>
      <x:c r="K335" s="51" t="str">
        <x:v>Placed around the events and aftermath of Knights of the Old Republic.</x:v>
      </x:c>
      <x:c r="L335" s="76" t="str"/>
      <x:c r="M335" s="76" t="str">
        <x:v>Darth Revan Walks Into a Jedi Ambush — And Never Loses His Cool</x:v>
      </x:c>
      <x:c r="N335" s="76"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335" s="76" t="str">
        <x:v>Old Republic — Revan / Knights of the Old Republic era</x:v>
      </x:c>
      <x:c r="P335" s="76" t="str">
        <x:v>IMG_6740.PNG</x:v>
      </x:c>
      <x:c r="Q335" s="76" t="str">
        <x:v>OCR extracted / placement assigned</x:v>
      </x:c>
      <x:c r="R335" s="76" t="str">
        <x:v>High</x:v>
      </x:c>
      <x:c r="S335" s="76" t="str"/>
      <x:c r="T335" s="76" t="str">
        <x:v>Unique</x:v>
      </x:c>
    </x:row>
    <x:row r="336" s="23" customFormat="1" ht="36" customHeight="1">
      <x:c r="A336" s="49" t="b">
        <x:v>0</x:v>
      </x:c>
      <x:c r="B336" s="50" t="str">
        <x:v>FV-0347</x:v>
      </x:c>
      <x:c r="C336" s="51" t="str">
        <x:v>Fan chronology — Old Republic</x:v>
      </x:c>
      <x:c r="D336" s="51" t="str">
        <x:v>Darth Revan Walks Into the Jedi Council... and Refuses to Leave @</x:v>
      </x:c>
      <x:c r="E336" s="50" t="str"/>
      <x:c r="F336" s="51" t="str">
        <x:v>August 27, 2026</x:v>
      </x:c>
      <x:c r="G336" s="51" t="str">
        <x:v>Fan-made / non-canon</x:v>
      </x:c>
      <x:c r="H336" s="51" t="str">
        <x:v>Fan video</x:v>
      </x:c>
      <x:c r="I336" s="51" t="str">
        <x:v>YouTube — search by title</x:v>
      </x:c>
      <x:c r="J336" s="58" t="e">
        <x:f>HYPERLINK("https://www.youtube.com/results?search_query=Darth%20Revan%20Walks%20Into%20the%20Jedi%20Council...%20and%20Refuses%20to%20Leave%20%40","Search")</x:f>
        <x:v>HYPERLINK is not implemented. linkLocation=https://www.youtube.com/results?search_query=Darth%20Revan%20Walks%20Into%20the%20Jedi%20Council...%20and%20Refuses%20to%20Leave%20%40, friendlyName=Search</x:v>
      </x:c>
      <x:c r="K336" s="51" t="str">
        <x:v>Placed around the events and aftermath of Knights of the Old Republic.</x:v>
      </x:c>
      <x:c r="L336" s="76" t="str"/>
      <x:c r="M336" s="76" t="str">
        <x:v>Darth Revan Walks Into the Jedi Council... and Refuses to Leave @</x:v>
      </x:c>
      <x:c r="N336" s="76"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336" s="76" t="str">
        <x:v>Old Republic — Revan / Knights of the Old Republic era</x:v>
      </x:c>
      <x:c r="P336" s="76" t="str">
        <x:v>IMG_6533.PNG</x:v>
      </x:c>
      <x:c r="Q336" s="76" t="str">
        <x:v>OCR extracted / placement assigned</x:v>
      </x:c>
      <x:c r="R336" s="76" t="str">
        <x:v>High</x:v>
      </x:c>
      <x:c r="S336" s="76" t="str"/>
      <x:c r="T336" s="76" t="str">
        <x:v>Unique</x:v>
      </x:c>
    </x:row>
    <x:row r="337" s="23" customFormat="1" ht="36" customHeight="1">
      <x:c r="A337" s="49" t="b">
        <x:v>0</x:v>
      </x:c>
      <x:c r="B337" s="50" t="str">
        <x:v>FV-0137</x:v>
      </x:c>
      <x:c r="C337" s="51" t="str">
        <x:v>Fan chronology — Old Republic</x:v>
      </x:c>
      <x:c r="D337" s="51" t="str">
        <x:v>Darth Revan Was Never Your Prisoner</x:v>
      </x:c>
      <x:c r="E337" s="50" t="str"/>
      <x:c r="F337" s="51" t="str">
        <x:v>October 1, 2026</x:v>
      </x:c>
      <x:c r="G337" s="51" t="str">
        <x:v>Fan-made / non-canon</x:v>
      </x:c>
      <x:c r="H337" s="51" t="str">
        <x:v>Fan video</x:v>
      </x:c>
      <x:c r="I337" s="51" t="str">
        <x:v>YouTube — search by title</x:v>
      </x:c>
      <x:c r="J337" s="58" t="e">
        <x:f>HYPERLINK("https://www.youtube.com/results?search_query=Darth%20Revan%20Was%20Never%20Your%20Prisoner","Search")</x:f>
        <x:v>HYPERLINK is not implemented. linkLocation=https://www.youtube.com/results?search_query=Darth%20Revan%20Was%20Never%20Your%20Prisoner, friendlyName=Search</x:v>
      </x:c>
      <x:c r="K337" s="51" t="str">
        <x:v>Placed around the events and aftermath of Knights of the Old Republic.</x:v>
      </x:c>
      <x:c r="L337" s="76" t="str"/>
      <x:c r="M337" s="76" t="str">
        <x:v>Darth Revan Was Never Your Prisoner</x:v>
      </x:c>
      <x:c r="N337" s="76"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337" s="76" t="str">
        <x:v>Old Republic — Revan / Knights of the Old Republic era</x:v>
      </x:c>
      <x:c r="P337" s="76" t="str">
        <x:v>IMG_6320.PNG</x:v>
      </x:c>
      <x:c r="Q337" s="76" t="str">
        <x:v>OCR extracted / placement assigned</x:v>
      </x:c>
      <x:c r="R337" s="76" t="str">
        <x:v>High</x:v>
      </x:c>
      <x:c r="S337" s="76" t="str"/>
      <x:c r="T337" s="76" t="str">
        <x:v>Unique</x:v>
      </x:c>
    </x:row>
    <x:row r="338" s="23" customFormat="1" ht="36" customHeight="1">
      <x:c r="A338" s="49" t="b">
        <x:v>0</x:v>
      </x:c>
      <x:c r="B338" s="50" t="str">
        <x:v>FV-0373</x:v>
      </x:c>
      <x:c r="C338" s="51" t="str">
        <x:v>Fan chronology — Old Republic</x:v>
      </x:c>
      <x:c r="D338" s="51" t="str">
        <x:v>Darth Revan Was Surrounded... That Was the Idea &amp;</x:v>
      </x:c>
      <x:c r="E338" s="50" t="str"/>
      <x:c r="F338" s="51" t="str">
        <x:v>August 24, 2026</x:v>
      </x:c>
      <x:c r="G338" s="51" t="str">
        <x:v>Fan-made / non-canon</x:v>
      </x:c>
      <x:c r="H338" s="51" t="str">
        <x:v>Fan video</x:v>
      </x:c>
      <x:c r="I338" s="51" t="str">
        <x:v>YouTube — search by title</x:v>
      </x:c>
      <x:c r="J338" s="58" t="e">
        <x:f>HYPERLINK("https://www.youtube.com/results?search_query=Darth%20Revan%20Was%20Surrounded...%20That%20Was%20the%20Idea%20%26","Search")</x:f>
        <x:v>HYPERLINK is not implemented. linkLocation=https://www.youtube.com/results?search_query=Darth%20Revan%20Was%20Surrounded...%20That%20Was%20the%20Idea%20%26, friendlyName=Search</x:v>
      </x:c>
      <x:c r="K338" s="51" t="str">
        <x:v>Placed around the events and aftermath of Knights of the Old Republic.</x:v>
      </x:c>
      <x:c r="L338" s="76" t="str"/>
      <x:c r="M338" s="76" t="str">
        <x:v>Darth Revan Was Surrounded... That Was the Idea &amp;</x:v>
      </x:c>
      <x:c r="N338" s="76"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338" s="76" t="str">
        <x:v>Old Republic — Revan / Knights of the Old Republic era</x:v>
      </x:c>
      <x:c r="P338" s="76" t="str">
        <x:v>IMG_6559.PNG</x:v>
      </x:c>
      <x:c r="Q338" s="76" t="str">
        <x:v>OCR extracted / placement assigned</x:v>
      </x:c>
      <x:c r="R338" s="76" t="str">
        <x:v>High</x:v>
      </x:c>
      <x:c r="S338" s="76" t="str"/>
      <x:c r="T338" s="76" t="str">
        <x:v>Unique</x:v>
      </x:c>
    </x:row>
    <x:row r="339" s="23" customFormat="1" ht="36" customHeight="1">
      <x:c r="A339" s="49" t="b">
        <x:v>0</x:v>
      </x:c>
      <x:c r="B339" s="50" t="str">
        <x:v>FV-0366</x:v>
      </x:c>
      <x:c r="C339" s="51" t="str">
        <x:v>Fan chronology — Old Republic</x:v>
      </x:c>
      <x:c r="D339" s="51" t="str">
        <x:v>Darth Revan Was Trapped... That Was Their First Mistake</x:v>
      </x:c>
      <x:c r="E339" s="50" t="str"/>
      <x:c r="F339" s="51" t="str">
        <x:v>August 25, 2026</x:v>
      </x:c>
      <x:c r="G339" s="51" t="str">
        <x:v>Fan-made / non-canon</x:v>
      </x:c>
      <x:c r="H339" s="51" t="str">
        <x:v>Fan video</x:v>
      </x:c>
      <x:c r="I339" s="51" t="str">
        <x:v>YouTube — search by title</x:v>
      </x:c>
      <x:c r="J339" s="58" t="e">
        <x:f>HYPERLINK("https://www.youtube.com/results?search_query=Darth%20Revan%20Was%20Trapped...%20That%20Was%20Their%20First%20Mistake","Search")</x:f>
        <x:v>HYPERLINK is not implemented. linkLocation=https://www.youtube.com/results?search_query=Darth%20Revan%20Was%20Trapped...%20That%20Was%20Their%20First%20Mistake, friendlyName=Search</x:v>
      </x:c>
      <x:c r="K339" s="51" t="str">
        <x:v>Placed around the events and aftermath of Knights of the Old Republic.</x:v>
      </x:c>
      <x:c r="L339" s="76" t="str"/>
      <x:c r="M339" s="76" t="str">
        <x:v>Darth Revan Was Trapped... That Was Their First Mistake</x:v>
      </x:c>
      <x:c r="N339" s="76"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339" s="76" t="str">
        <x:v>Old Republic — Revan / Knights of the Old Republic era</x:v>
      </x:c>
      <x:c r="P339" s="76" t="str">
        <x:v>IMG_6552.PNG</x:v>
      </x:c>
      <x:c r="Q339" s="76" t="str">
        <x:v>OCR extracted / placement assigned</x:v>
      </x:c>
      <x:c r="R339" s="76" t="str">
        <x:v>High</x:v>
      </x:c>
      <x:c r="S339" s="76" t="str"/>
      <x:c r="T339" s="76" t="str">
        <x:v>Unique</x:v>
      </x:c>
    </x:row>
    <x:row r="340" s="23" customFormat="1" ht="36" customHeight="1">
      <x:c r="A340" s="49" t="b">
        <x:v>0</x:v>
      </x:c>
      <x:c r="B340" s="50" t="str">
        <x:v>FV-0560</x:v>
      </x:c>
      <x:c r="C340" s="51" t="str">
        <x:v>Fan chronology — Old Republic</x:v>
      </x:c>
      <x:c r="D340" s="51" t="str">
        <x:v>Darth Revan Went to War — And Everyone Knew What Was Coming</x:v>
      </x:c>
      <x:c r="E340" s="50" t="str"/>
      <x:c r="F340" s="51" t="str">
        <x:v>August 20, 2026</x:v>
      </x:c>
      <x:c r="G340" s="51" t="str">
        <x:v>Fan-made / non-canon</x:v>
      </x:c>
      <x:c r="H340" s="51" t="str">
        <x:v>Fan video</x:v>
      </x:c>
      <x:c r="I340" s="51" t="str">
        <x:v>YouTube — search by title</x:v>
      </x:c>
      <x:c r="J340" s="58" t="e">
        <x:f>HYPERLINK("https://www.youtube.com/results?search_query=Darth%20Revan%20Went%20to%20War%20%E2%80%94%20And%20Everyone%20Knew%20What%20Was%20Coming","Search")</x:f>
        <x:v>HYPERLINK is not implemented. linkLocation=https://www.youtube.com/results?search_query=Darth%20Revan%20Went%20to%20War%20%E2%80%94%20And%20Everyone%20Knew%20What%20Was%20Coming, friendlyName=Search</x:v>
      </x:c>
      <x:c r="K340" s="51" t="str">
        <x:v>Placed around the events and aftermath of Knights of the Old Republic.</x:v>
      </x:c>
      <x:c r="L340" s="76" t="str"/>
      <x:c r="M340" s="76" t="str">
        <x:v>Darth Revan Went to War — And Everyone Knew What Was Coming</x:v>
      </x:c>
      <x:c r="N340" s="76"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340" s="76" t="str">
        <x:v>Old Republic — Revan / Knights of the Old Republic era</x:v>
      </x:c>
      <x:c r="P340" s="76" t="str">
        <x:v>IMG_6750.PNG</x:v>
      </x:c>
      <x:c r="Q340" s="76" t="str">
        <x:v>OCR extracted / placement assigned</x:v>
      </x:c>
      <x:c r="R340" s="76" t="str">
        <x:v>High</x:v>
      </x:c>
      <x:c r="S340" s="76" t="str"/>
      <x:c r="T340" s="76" t="str">
        <x:v>Unique</x:v>
      </x:c>
    </x:row>
    <x:row r="341" s="23" customFormat="1" ht="36" customHeight="1">
      <x:c r="A341" s="49" t="b">
        <x:v>0</x:v>
      </x:c>
      <x:c r="B341" s="50" t="str">
        <x:v>FV-0245</x:v>
      </x:c>
      <x:c r="C341" s="51" t="str">
        <x:v>Fan chronology — Old Republic</x:v>
      </x:c>
      <x:c r="D341" s="51" t="str">
        <x:v>DARTH REVAN: THAT SHOULD BE ENOUGH</x:v>
      </x:c>
      <x:c r="E341" s="50" t="str"/>
      <x:c r="F341" s="51" t="str">
        <x:v>September 8, 2026</x:v>
      </x:c>
      <x:c r="G341" s="51" t="str">
        <x:v>Fan-made / non-canon</x:v>
      </x:c>
      <x:c r="H341" s="51" t="str">
        <x:v>Fan video</x:v>
      </x:c>
      <x:c r="I341" s="51" t="str">
        <x:v>YouTube — search by title</x:v>
      </x:c>
      <x:c r="J341" s="58" t="e">
        <x:f>HYPERLINK("https://www.youtube.com/results?search_query=DARTH%20REVAN%3A%20THAT%20SHOULD%20BE%20ENOUGH","Search")</x:f>
        <x:v>HYPERLINK is not implemented. linkLocation=https://www.youtube.com/results?search_query=DARTH%20REVAN%3A%20THAT%20SHOULD%20BE%20ENOUGH, friendlyName=Search</x:v>
      </x:c>
      <x:c r="K341" s="51" t="str">
        <x:v>Placed around the events and aftermath of Knights of the Old Republic.</x:v>
      </x:c>
      <x:c r="L341" s="76" t="str"/>
      <x:c r="M341" s="76" t="str">
        <x:v>DARTH REVAN: THAT SHOULD BE ENOUGH</x:v>
      </x:c>
      <x:c r="N341" s="76"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341" s="76" t="str">
        <x:v>Old Republic — Revan / Knights of the Old Republic era</x:v>
      </x:c>
      <x:c r="P341" s="76" t="str">
        <x:v>IMG_6428.PNG</x:v>
      </x:c>
      <x:c r="Q341" s="76" t="str">
        <x:v>OCR extracted / placement assigned</x:v>
      </x:c>
      <x:c r="R341" s="76" t="str">
        <x:v>High</x:v>
      </x:c>
      <x:c r="S341" s="76" t="str"/>
      <x:c r="T341" s="76" t="str">
        <x:v>Unique</x:v>
      </x:c>
    </x:row>
    <x:row r="342" s="23" customFormat="1" ht="36" customHeight="1">
      <x:c r="A342" s="49" t="b">
        <x:v>0</x:v>
      </x:c>
      <x:c r="B342" s="50" t="str">
        <x:v>FV-0246</x:v>
      </x:c>
      <x:c r="C342" s="51" t="str">
        <x:v>Fan chronology — Old Republic</x:v>
      </x:c>
      <x:c r="D342" s="51" t="str">
        <x:v>DARTH REVAN: THE CRIMSON REIGN</x:v>
      </x:c>
      <x:c r="E342" s="50" t="str"/>
      <x:c r="F342" s="51" t="str">
        <x:v>September 7, 2026</x:v>
      </x:c>
      <x:c r="G342" s="51" t="str">
        <x:v>Fan-made / non-canon</x:v>
      </x:c>
      <x:c r="H342" s="51" t="str">
        <x:v>Fan video</x:v>
      </x:c>
      <x:c r="I342" s="51" t="str">
        <x:v>YouTube — search by title</x:v>
      </x:c>
      <x:c r="J342" s="58" t="e">
        <x:f>HYPERLINK("https://www.youtube.com/results?search_query=DARTH%20REVAN%3A%20THE%20CRIMSON%20REIGN","Search")</x:f>
        <x:v>HYPERLINK is not implemented. linkLocation=https://www.youtube.com/results?search_query=DARTH%20REVAN%3A%20THE%20CRIMSON%20REIGN, friendlyName=Search</x:v>
      </x:c>
      <x:c r="K342" s="51" t="str">
        <x:v>Placed around the events and aftermath of Knights of the Old Republic.</x:v>
      </x:c>
      <x:c r="L342" s="76" t="str"/>
      <x:c r="M342" s="76" t="str">
        <x:v>DARTH REVAN: THE CRIMSON REIGN</x:v>
      </x:c>
      <x:c r="N342" s="76"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342" s="76" t="str">
        <x:v>Old Republic — Revan / Knights of the Old Republic era</x:v>
      </x:c>
      <x:c r="P342" s="76" t="str">
        <x:v>IMG_6429.PNG</x:v>
      </x:c>
      <x:c r="Q342" s="76" t="str">
        <x:v>OCR extracted / placement assigned</x:v>
      </x:c>
      <x:c r="R342" s="76" t="str">
        <x:v>High</x:v>
      </x:c>
      <x:c r="S342" s="76" t="str"/>
      <x:c r="T342" s="76" t="str">
        <x:v>Unique</x:v>
      </x:c>
    </x:row>
    <x:row r="343" s="23" customFormat="1" ht="36" customHeight="1">
      <x:c r="A343" s="49" t="b">
        <x:v>0</x:v>
      </x:c>
      <x:c r="B343" s="50" t="str">
        <x:v>FV-0546</x:v>
      </x:c>
      <x:c r="C343" s="51" t="str">
        <x:v>Fan chronology — Old Republic</x:v>
      </x:c>
      <x:c r="D343" s="51" t="str">
        <x:v>Darth Revan: The Skills Test | Old Republic Cinematic</x:v>
      </x:c>
      <x:c r="E343" s="50" t="str"/>
      <x:c r="F343" s="51" t="str">
        <x:v>August 20, 2026</x:v>
      </x:c>
      <x:c r="G343" s="51" t="str">
        <x:v>Fan-made / non-canon</x:v>
      </x:c>
      <x:c r="H343" s="51" t="str">
        <x:v>Fan video</x:v>
      </x:c>
      <x:c r="I343" s="51" t="str">
        <x:v>YouTube — search by title</x:v>
      </x:c>
      <x:c r="J343" s="58" t="e">
        <x:f>HYPERLINK("https://www.youtube.com/results?search_query=Darth%20Revan%3A%20The%20Skills%20Test%20%7C%20Old%20Republic%20Cinematic","Search")</x:f>
        <x:v>HYPERLINK is not implemented. linkLocation=https://www.youtube.com/results?search_query=Darth%20Revan%3A%20The%20Skills%20Test%20%7C%20Old%20Republic%20Cinematic, friendlyName=Search</x:v>
      </x:c>
      <x:c r="K343" s="51" t="str">
        <x:v>Placed around the events and aftermath of Knights of the Old Republic.</x:v>
      </x:c>
      <x:c r="L343" s="76" t="str"/>
      <x:c r="M343" s="76" t="str">
        <x:v>Darth Revan: The Skills Test | Old Republic Cinematic</x:v>
      </x:c>
      <x:c r="N343" s="76"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343" s="76" t="str">
        <x:v>Old Republic — Revan / Knights of the Old Republic era</x:v>
      </x:c>
      <x:c r="P343" s="76" t="str">
        <x:v>IMG_6736.PNG</x:v>
      </x:c>
      <x:c r="Q343" s="76" t="str">
        <x:v>OCR extracted / placement assigned</x:v>
      </x:c>
      <x:c r="R343" s="76" t="str">
        <x:v>High</x:v>
      </x:c>
      <x:c r="S343" s="76" t="str"/>
      <x:c r="T343" s="76" t="str">
        <x:v>Unique</x:v>
      </x:c>
    </x:row>
    <x:row r="344" s="23" customFormat="1" ht="36" customHeight="1">
      <x:c r="A344" s="49" t="b">
        <x:v>0</x:v>
      </x:c>
      <x:c r="B344" s="50" t="str">
        <x:v>FV-0211</x:v>
      </x:c>
      <x:c r="C344" s="51" t="str">
        <x:v>Fan chronology — Old Republic</x:v>
      </x:c>
      <x:c r="D344" s="51" t="str">
        <x:v>Darth Revan: War Master | The Battlefield Belonged to Him</x:v>
      </x:c>
      <x:c r="E344" s="50" t="str"/>
      <x:c r="F344" s="51" t="str">
        <x:v>September 14, 2026</x:v>
      </x:c>
      <x:c r="G344" s="51" t="str">
        <x:v>Fan-made / non-canon</x:v>
      </x:c>
      <x:c r="H344" s="51" t="str">
        <x:v>Fan video</x:v>
      </x:c>
      <x:c r="I344" s="51" t="str">
        <x:v>YouTube — search by title</x:v>
      </x:c>
      <x:c r="J344" s="58" t="e">
        <x:f>HYPERLINK("https://www.youtube.com/results?search_query=Darth%20Revan%3A%20War%20Master%20%7C%20The%20Battlefield%20Belonged%20to%20Him","Search")</x:f>
        <x:v>HYPERLINK is not implemented. linkLocation=https://www.youtube.com/results?search_query=Darth%20Revan%3A%20War%20Master%20%7C%20The%20Battlefield%20Belonged%20to%20Him, friendlyName=Search</x:v>
      </x:c>
      <x:c r="K344" s="51" t="str">
        <x:v>Placed around the events and aftermath of Knights of the Old Republic.</x:v>
      </x:c>
      <x:c r="L344" s="76" t="str"/>
      <x:c r="M344" s="76" t="str">
        <x:v>Darth Revan: War Master | The Battlefield Belonged to Him</x:v>
      </x:c>
      <x:c r="N344" s="76"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344" s="76" t="str">
        <x:v>Old Republic — Revan / Knights of the Old Republic era</x:v>
      </x:c>
      <x:c r="P344" s="76" t="str">
        <x:v>IMG_6394.PNG</x:v>
      </x:c>
      <x:c r="Q344" s="76" t="str">
        <x:v>OCR extracted / placement assigned</x:v>
      </x:c>
      <x:c r="R344" s="76" t="str">
        <x:v>High</x:v>
      </x:c>
      <x:c r="S344" s="76" t="str"/>
      <x:c r="T344" s="76" t="str">
        <x:v>Unique</x:v>
      </x:c>
    </x:row>
    <x:row r="345" s="23" customFormat="1" ht="36" customHeight="1">
      <x:c r="A345" s="49" t="b">
        <x:v>0</x:v>
      </x:c>
      <x:c r="B345" s="50" t="str">
        <x:v>FV-0232</x:v>
      </x:c>
      <x:c r="C345" s="51" t="str">
        <x:v>Fan chronology — Old Republic</x:v>
      </x:c>
      <x:c r="D345" s="51" t="str">
        <x:v>DARTH REVAN’S RETURN — EPISODE 2: THE STAR MAP AWAKENS</x:v>
      </x:c>
      <x:c r="E345" s="50" t="str">
        <x:v>EPISODE 2</x:v>
      </x:c>
      <x:c r="F345" s="51" t="str">
        <x:v>September 10, 2026</x:v>
      </x:c>
      <x:c r="G345" s="51" t="str">
        <x:v>Fan-made / non-canon</x:v>
      </x:c>
      <x:c r="H345" s="51" t="str">
        <x:v>Fan video</x:v>
      </x:c>
      <x:c r="I345" s="51" t="str">
        <x:v>YouTube — search by title</x:v>
      </x:c>
      <x:c r="J345" s="58" t="e">
        <x:f>HYPERLINK("https://www.youtube.com/results?search_query=DARTH%20REVAN%E2%80%99S%20RETURN%20%E2%80%94%20EPISODE%202%3A%20THE%20STAR%20MAP%20AWAKENS","Search")</x:f>
        <x:v>HYPERLINK is not implemented. linkLocation=https://www.youtube.com/results?search_query=DARTH%20REVAN%E2%80%99S%20RETURN%20%E2%80%94%20EPISODE%202%3A%20THE%20STAR%20MAP%20AWAKENS, friendlyName=Search</x:v>
      </x:c>
      <x:c r="K345" s="51" t="str">
        <x:v>Placed around the events and aftermath of Knights of the Old Republic.</x:v>
      </x:c>
      <x:c r="L345" s="76" t="str">
        <x:v>DARTH REVAN’S RETURN</x:v>
      </x:c>
      <x:c r="M345" s="76" t="str">
        <x:v>DARTH REVAN’S RETURN — EPISODE 2: THE STAR MAP AWAKENS</x:v>
      </x:c>
      <x:c r="N345" s="76"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345" s="76" t="str">
        <x:v>Old Republic — Revan / Knights of the Old Republic era</x:v>
      </x:c>
      <x:c r="P345" s="76" t="str">
        <x:v>IMG_6415.PNG</x:v>
      </x:c>
      <x:c r="Q345" s="76" t="str">
        <x:v>OCR extracted / placement assigned</x:v>
      </x:c>
      <x:c r="R345" s="76" t="str">
        <x:v>High</x:v>
      </x:c>
      <x:c r="S345" s="76" t="str"/>
      <x:c r="T345" s="76" t="str">
        <x:v>Unique</x:v>
      </x:c>
    </x:row>
    <x:row r="346" s="23" customFormat="1" ht="36" customHeight="1">
      <x:c r="A346" s="49" t="b">
        <x:v>0</x:v>
      </x:c>
      <x:c r="B346" s="50" t="str">
        <x:v>FV-0077</x:v>
      </x:c>
      <x:c r="C346" s="51" t="str">
        <x:v>Fan chronology — Old Republic</x:v>
      </x:c>
      <x:c r="D346" s="51" t="str">
        <x:v>Darth Revan’s Speeder Chase | Parking Included | Old Republic UNLEASHED</x:v>
      </x:c>
      <x:c r="E346" s="50" t="str"/>
      <x:c r="F346" s="51" t="str">
        <x:v>October 6, 2026</x:v>
      </x:c>
      <x:c r="G346" s="51" t="str">
        <x:v>Fan-made / non-canon</x:v>
      </x:c>
      <x:c r="H346" s="51" t="str">
        <x:v>Fan video</x:v>
      </x:c>
      <x:c r="I346" s="51" t="str">
        <x:v>YouTube — search by title</x:v>
      </x:c>
      <x:c r="J346" s="58" t="e">
        <x:f>HYPERLINK("https://www.youtube.com/results?search_query=Darth%20Revan%E2%80%99s%20Speeder%20Chase%20%7C%20Parking%20Included%20%7C%20Old%20Republic%20UNLEASHED","Search")</x:f>
        <x:v>HYPERLINK is not implemented. linkLocation=https://www.youtube.com/results?search_query=Darth%20Revan%E2%80%99s%20Speeder%20Chase%20%7C%20Parking%20Included%20%7C%20Old%20Republic%20UNLEASHED, friendlyName=Search</x:v>
      </x:c>
      <x:c r="K346" s="51" t="str">
        <x:v>Placed around the events and aftermath of Knights of the Old Republic.</x:v>
      </x:c>
      <x:c r="L346" s="76" t="str"/>
      <x:c r="M346" s="76" t="str">
        <x:v>Darth Revan’s Speeder Chase | Parking Included | Old Republic UNLEASHED</x:v>
      </x:c>
      <x:c r="N346" s="76"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346" s="76" t="str">
        <x:v>Old Republic — Revan / Knights of the Old Republic era</x:v>
      </x:c>
      <x:c r="P346" s="76" t="str">
        <x:v>IMG_6260.PNG</x:v>
      </x:c>
      <x:c r="Q346" s="76" t="str">
        <x:v>OCR extracted / placement assigned</x:v>
      </x:c>
      <x:c r="R346" s="76" t="str">
        <x:v>High</x:v>
      </x:c>
      <x:c r="S346" s="76" t="str"/>
      <x:c r="T346" s="76" t="str">
        <x:v>Unique</x:v>
      </x:c>
    </x:row>
    <x:row r="347" s="23" customFormat="1" ht="36" customHeight="1">
      <x:c r="A347" s="49" t="b">
        <x:v>0</x:v>
      </x:c>
      <x:c r="B347" s="50" t="str">
        <x:v>FV-0029</x:v>
      </x:c>
      <x:c r="C347" s="51" t="str">
        <x:v>Fan chronology — Old Republic</x:v>
      </x:c>
      <x:c r="D347" s="51" t="str">
        <x:v>He Thought the Temple Was Empty... Then Darth Revan Said “Hey” @</x:v>
      </x:c>
      <x:c r="E347" s="50" t="str"/>
      <x:c r="F347" s="51" t="str">
        <x:v>October 13, 2026</x:v>
      </x:c>
      <x:c r="G347" s="51" t="str">
        <x:v>Fan-made / non-canon</x:v>
      </x:c>
      <x:c r="H347" s="51" t="str">
        <x:v>Fan video</x:v>
      </x:c>
      <x:c r="I347" s="51" t="str">
        <x:v>YouTube — search by title</x:v>
      </x:c>
      <x:c r="J347" s="58" t="e">
        <x:f>HYPERLINK("https://www.youtube.com/results?search_query=He%20Thought%20the%20Temple%20Was%20Empty...%20Then%20Darth%20Revan%20Said%20%E2%80%9CHey%E2%80%9D%20%40","Search")</x:f>
        <x:v>HYPERLINK is not implemented. linkLocation=https://www.youtube.com/results?search_query=He%20Thought%20the%20Temple%20Was%20Empty...%20Then%20Darth%20Revan%20Said%20%E2%80%9CHey%E2%80%9D%20%40, friendlyName=Search</x:v>
      </x:c>
      <x:c r="K347" s="51" t="str">
        <x:v>Placed around the events and aftermath of Knights of the Old Republic.</x:v>
      </x:c>
      <x:c r="L347" s="76" t="str"/>
      <x:c r="M347" s="76" t="str">
        <x:v>He Thought the Temple Was Empty... Then Darth Revan Said “Hey” @</x:v>
      </x:c>
      <x:c r="N347" s="76"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347" s="76" t="str">
        <x:v>Old Republic — Revan / Knights of the Old Republic era</x:v>
      </x:c>
      <x:c r="P347" s="76" t="str">
        <x:v>IMG_6212.PNG</x:v>
      </x:c>
      <x:c r="Q347" s="76" t="str">
        <x:v>OCR extracted / placement assigned</x:v>
      </x:c>
      <x:c r="R347" s="76" t="str">
        <x:v>High</x:v>
      </x:c>
      <x:c r="S347" s="76" t="str"/>
      <x:c r="T347" s="76" t="str">
        <x:v>Unique</x:v>
      </x:c>
    </x:row>
    <x:row r="348" s="23" customFormat="1" ht="36" customHeight="1">
      <x:c r="A348" s="49" t="b">
        <x:v>0</x:v>
      </x:c>
      <x:c r="B348" s="50" t="str">
        <x:v>FV-0127</x:v>
      </x:c>
      <x:c r="C348" s="51" t="str">
        <x:v>Fan chronology — Old Republic</x:v>
      </x:c>
      <x:c r="D348" s="51" t="str">
        <x:v>HK-47 — “Now You're Harmless” | Star Wars: The Old Republic</x:v>
      </x:c>
      <x:c r="E348" s="50" t="str"/>
      <x:c r="F348" s="51" t="str">
        <x:v>October 2, 2026</x:v>
      </x:c>
      <x:c r="G348" s="51" t="str">
        <x:v>Fan-made / non-canon</x:v>
      </x:c>
      <x:c r="H348" s="51" t="str">
        <x:v>Fan video</x:v>
      </x:c>
      <x:c r="I348" s="51" t="str">
        <x:v>YouTube — search by title</x:v>
      </x:c>
      <x:c r="J348" s="58" t="e">
        <x:f>HYPERLINK("https://www.youtube.com/results?search_query=HK-47%20%E2%80%94%20%E2%80%9CNow%20You're%20Harmless%E2%80%9D%20%7C%20Star%20Wars%3A%20The%20Old%20Republic","Search")</x:f>
        <x:v>HYPERLINK is not implemented. linkLocation=https://www.youtube.com/results?search_query=HK-47%20%E2%80%94%20%E2%80%9CNow%20You're%20Harmless%E2%80%9D%20%7C%20Star%20Wars%3A%20The%20Old%20Republic, friendlyName=Search</x:v>
      </x:c>
      <x:c r="K348" s="51" t="str">
        <x:v>Placed around the events and aftermath of Knights of the Old Republic.</x:v>
      </x:c>
      <x:c r="L348" s="76" t="str">
        <x:v>Star Wars: The Old Republic</x:v>
      </x:c>
      <x:c r="M348" s="76" t="str">
        <x:v>HK-47 — “Now You're Harmless” | Star Wars: The Old Republic</x:v>
      </x:c>
      <x:c r="N348" s="76"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348" s="76" t="str">
        <x:v>Old Republic — Revan / Knights of the Old Republic era</x:v>
      </x:c>
      <x:c r="P348" s="76" t="str">
        <x:v>IMG_6310.PNG</x:v>
      </x:c>
      <x:c r="Q348" s="76" t="str">
        <x:v>OCR extracted / placement assigned</x:v>
      </x:c>
      <x:c r="R348" s="76" t="str">
        <x:v>High</x:v>
      </x:c>
      <x:c r="S348" s="76" t="str"/>
      <x:c r="T348" s="76" t="str">
        <x:v>Unique</x:v>
      </x:c>
    </x:row>
    <x:row r="349" s="23" customFormat="1" ht="36" customHeight="1">
      <x:c r="A349" s="49" t="b">
        <x:v>0</x:v>
      </x:c>
      <x:c r="B349" s="50" t="str">
        <x:v>FV-0121</x:v>
      </x:c>
      <x:c r="C349" s="51" t="str">
        <x:v>Fan chronology — Old Republic</x:v>
      </x:c>
      <x:c r="D349" s="51" t="str">
        <x:v>HK-47 — Three Meatbags. One Mistake. | Star Wars: Knights of the Old Republic</x:v>
      </x:c>
      <x:c r="E349" s="50" t="str"/>
      <x:c r="F349" s="51" t="str">
        <x:v>October 2, 2026</x:v>
      </x:c>
      <x:c r="G349" s="51" t="str">
        <x:v>Fan-made / non-canon</x:v>
      </x:c>
      <x:c r="H349" s="51" t="str">
        <x:v>Fan video</x:v>
      </x:c>
      <x:c r="I349" s="51" t="str">
        <x:v>YouTube — search by title</x:v>
      </x:c>
      <x:c r="J349" s="58" t="e">
        <x:f>HYPERLINK("https://www.youtube.com/results?search_query=HK-47%20%E2%80%94%20Three%20Meatbags.%20One%20Mistake.%20%7C%20Star%20Wars%3A%20Knights%20of%20the%20Old%20Republic","Search")</x:f>
        <x:v>HYPERLINK is not implemented. linkLocation=https://www.youtube.com/results?search_query=HK-47%20%E2%80%94%20Three%20Meatbags.%20One%20Mistake.%20%7C%20Star%20Wars%3A%20Knights%20of%20the%20Old%20Republic, friendlyName=Search</x:v>
      </x:c>
      <x:c r="K349" s="51" t="str">
        <x:v>Placed around the events and aftermath of Knights of the Old Republic.</x:v>
      </x:c>
      <x:c r="L349" s="76" t="str">
        <x:v>Knights of the Old Republic</x:v>
      </x:c>
      <x:c r="M349" s="76" t="str">
        <x:v>HK-47 — Three Meatbags. One Mistake. | Star Wars: Knights of the Old Republic</x:v>
      </x:c>
      <x:c r="N349" s="76"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349" s="76" t="str">
        <x:v>Old Republic — Revan / Knights of the Old Republic era</x:v>
      </x:c>
      <x:c r="P349" s="76" t="str">
        <x:v>IMG_6304.PNG</x:v>
      </x:c>
      <x:c r="Q349" s="76" t="str">
        <x:v>OCR extracted / placement assigned</x:v>
      </x:c>
      <x:c r="R349" s="76" t="str">
        <x:v>High</x:v>
      </x:c>
      <x:c r="S349" s="76" t="str"/>
      <x:c r="T349" s="76" t="str">
        <x:v>Unique</x:v>
      </x:c>
    </x:row>
    <x:row r="350" s="23" customFormat="1" ht="36" customHeight="1">
      <x:c r="A350" s="49" t="b">
        <x:v>0</x:v>
      </x:c>
      <x:c r="B350" s="50" t="str">
        <x:v>FV-0378</x:v>
      </x:c>
      <x:c r="C350" s="51" t="str">
        <x:v>Fan chronology — Old Republic</x:v>
      </x:c>
      <x:c r="D350" s="51" t="str">
        <x:v>REVAN CHRONICLES — EPISODE 3: THE MASK</x:v>
      </x:c>
      <x:c r="E350" s="50" t="str">
        <x:v>EPISODE 3</x:v>
      </x:c>
      <x:c r="F350" s="51" t="str">
        <x:v>August 24, 2026</x:v>
      </x:c>
      <x:c r="G350" s="51" t="str">
        <x:v>Fan-made / non-canon</x:v>
      </x:c>
      <x:c r="H350" s="51" t="str">
        <x:v>Fan video</x:v>
      </x:c>
      <x:c r="I350" s="51" t="str">
        <x:v>YouTube — search by title</x:v>
      </x:c>
      <x:c r="J350" s="58" t="e">
        <x:f>HYPERLINK("https://www.youtube.com/results?search_query=REVAN%20CHRONICLES%20%E2%80%94%20EPISODE%203%3A%20THE%20MASK","Search")</x:f>
        <x:v>HYPERLINK is not implemented. linkLocation=https://www.youtube.com/results?search_query=REVAN%20CHRONICLES%20%E2%80%94%20EPISODE%203%3A%20THE%20MASK, friendlyName=Search</x:v>
      </x:c>
      <x:c r="K350" s="51" t="str">
        <x:v>Placed around the events and aftermath of Knights of the Old Republic.</x:v>
      </x:c>
      <x:c r="L350" s="76" t="str">
        <x:v>Revan Chronicles</x:v>
      </x:c>
      <x:c r="M350" s="76" t="str">
        <x:v>REVAN CHRONICLES — EPISODE 3: THE MASK</x:v>
      </x:c>
      <x:c r="N350" s="76"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350" s="76" t="str">
        <x:v>Old Republic — Revan / Knights of the Old Republic era</x:v>
      </x:c>
      <x:c r="P350" s="76" t="str">
        <x:v>IMG_6564.PNG</x:v>
      </x:c>
      <x:c r="Q350" s="76" t="str">
        <x:v>OCR extracted / placement assigned</x:v>
      </x:c>
      <x:c r="R350" s="76" t="str">
        <x:v>High</x:v>
      </x:c>
      <x:c r="S350" s="76" t="str"/>
      <x:c r="T350" s="76" t="str">
        <x:v>Unique</x:v>
      </x:c>
    </x:row>
    <x:row r="351" s="23" customFormat="1" ht="36" customHeight="1">
      <x:c r="A351" s="49" t="b">
        <x:v>0</x:v>
      </x:c>
      <x:c r="B351" s="50" t="str">
        <x:v>FV-0201</x:v>
      </x:c>
      <x:c r="C351" s="51" t="str">
        <x:v>Fan chronology — Old Republic</x:v>
      </x:c>
      <x:c r="D351" s="51" t="str">
        <x:v>Revan VS An Army</x:v>
      </x:c>
      <x:c r="E351" s="50" t="str"/>
      <x:c r="F351" s="51" t="str">
        <x:v>September 19, 2026</x:v>
      </x:c>
      <x:c r="G351" s="51" t="str">
        <x:v>Fan-made / non-canon</x:v>
      </x:c>
      <x:c r="H351" s="51" t="str">
        <x:v>Fan video</x:v>
      </x:c>
      <x:c r="I351" s="51" t="str">
        <x:v>YouTube — search by title</x:v>
      </x:c>
      <x:c r="J351" s="58" t="e">
        <x:f>HYPERLINK("https://www.youtube.com/results?search_query=Revan%20VS%20An%20Army","Search")</x:f>
        <x:v>HYPERLINK is not implemented. linkLocation=https://www.youtube.com/results?search_query=Revan%20VS%20An%20Army, friendlyName=Search</x:v>
      </x:c>
      <x:c r="K351" s="51" t="str">
        <x:v>Placed around the events and aftermath of Knights of the Old Republic.</x:v>
      </x:c>
      <x:c r="L351" s="76" t="str"/>
      <x:c r="M351" s="76" t="str">
        <x:v>Revan VS An Army</x:v>
      </x:c>
      <x:c r="N351" s="76" t="str">
        <x:v>Darth Revan VS An Army</x:v>
      </x:c>
      <x:c r="O351" s="76" t="str">
        <x:v>Old Republic — Revan / Knights of the Old Republic era</x:v>
      </x:c>
      <x:c r="P351" s="76" t="str">
        <x:v>IMG_6384.PNG</x:v>
      </x:c>
      <x:c r="Q351" s="76" t="str">
        <x:v>OCR extracted / placement assigned</x:v>
      </x:c>
      <x:c r="R351" s="76" t="str">
        <x:v>High</x:v>
      </x:c>
      <x:c r="S351" s="76" t="str"/>
      <x:c r="T351" s="76" t="str">
        <x:v>Unique</x:v>
      </x:c>
    </x:row>
    <x:row r="352" s="23" customFormat="1" ht="36" customHeight="1">
      <x:c r="A352" s="49" t="b">
        <x:v>0</x:v>
      </x:c>
      <x:c r="B352" s="50" t="str">
        <x:v>FV-0215</x:v>
      </x:c>
      <x:c r="C352" s="51" t="str">
        <x:v>Fan chronology — Old Republic</x:v>
      </x:c>
      <x:c r="D352" s="51" t="str">
        <x:v>REVAN VS TENBRAE EMPEROR’S THRONE — EPISODE ONE</x:v>
      </x:c>
      <x:c r="E352" s="50" t="str">
        <x:v>EPISODE ONE</x:v>
      </x:c>
      <x:c r="F352" s="51" t="str">
        <x:v>September 14, 2026</x:v>
      </x:c>
      <x:c r="G352" s="51" t="str">
        <x:v>Fan-made / non-canon</x:v>
      </x:c>
      <x:c r="H352" s="51" t="str">
        <x:v>Fan video</x:v>
      </x:c>
      <x:c r="I352" s="51" t="str">
        <x:v>YouTube — search by title</x:v>
      </x:c>
      <x:c r="J352" s="58" t="e">
        <x:f>HYPERLINK("https://www.youtube.com/results?search_query=REVAN%20VS%20TENBRAE%20EMPEROR%E2%80%99S%20THRONE%20%E2%80%94%20EPISODE%20ONE","Search")</x:f>
        <x:v>HYPERLINK is not implemented. linkLocation=https://www.youtube.com/results?search_query=REVAN%20VS%20TENBRAE%20EMPEROR%E2%80%99S%20THRONE%20%E2%80%94%20EPISODE%20ONE, friendlyName=Search</x:v>
      </x:c>
      <x:c r="K352" s="51" t="str">
        <x:v>Placed around the events and aftermath of Knights of the Old Republic.</x:v>
      </x:c>
      <x:c r="L352" s="76" t="str">
        <x:v>REVAN VS TENBRAE EMPEROR’S THRONE</x:v>
      </x:c>
      <x:c r="M352" s="76" t="str">
        <x:v>REVAN VS TENBRAE EMPEROR’S THRONE — EPISODE ONE</x:v>
      </x:c>
      <x:c r="N352" s="76"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352" s="76" t="str">
        <x:v>Old Republic — Revan / Knights of the Old Republic era</x:v>
      </x:c>
      <x:c r="P352" s="76" t="str">
        <x:v>IMG_6398.PNG</x:v>
      </x:c>
      <x:c r="Q352" s="76" t="str">
        <x:v>OCR extracted / placement assigned</x:v>
      </x:c>
      <x:c r="R352" s="76" t="str">
        <x:v>High</x:v>
      </x:c>
      <x:c r="S352" s="76" t="str"/>
      <x:c r="T352" s="76" t="str">
        <x:v>Unique</x:v>
      </x:c>
    </x:row>
    <x:row r="353" s="23" customFormat="1" ht="36" customHeight="1">
      <x:c r="A353" s="49" t="b">
        <x:v>0</x:v>
      </x:c>
      <x:c r="B353" s="50" t="str">
        <x:v>FV-0219</x:v>
      </x:c>
      <x:c r="C353" s="51" t="str">
        <x:v>Fan chronology — Old Republic</x:v>
      </x:c>
      <x:c r="D353" s="51" t="str">
        <x:v>Revan vs the Emperor: The Lightning He Caught | Episode 1</x:v>
      </x:c>
      <x:c r="E353" s="50" t="str">
        <x:v>Episode 1</x:v>
      </x:c>
      <x:c r="F353" s="51" t="str">
        <x:v>September 13, 2026</x:v>
      </x:c>
      <x:c r="G353" s="51" t="str">
        <x:v>Fan-made / non-canon</x:v>
      </x:c>
      <x:c r="H353" s="51" t="str">
        <x:v>Fan video</x:v>
      </x:c>
      <x:c r="I353" s="51" t="str">
        <x:v>YouTube — search by title</x:v>
      </x:c>
      <x:c r="J353" s="58" t="e">
        <x:f>HYPERLINK("https://www.youtube.com/results?search_query=Revan%20vs%20the%20Emperor%3A%20The%20Lightning%20He%20Caught%20%7C%20Episode%201","Search")</x:f>
        <x:v>HYPERLINK is not implemented. linkLocation=https://www.youtube.com/results?search_query=Revan%20vs%20the%20Emperor%3A%20The%20Lightning%20He%20Caught%20%7C%20Episode%201, friendlyName=Search</x:v>
      </x:c>
      <x:c r="K353" s="51" t="str">
        <x:v>Placed around the events and aftermath of Knights of the Old Republic.</x:v>
      </x:c>
      <x:c r="L353" s="76" t="str">
        <x:v>Revan vs the Emperor: The Lightning He Caught</x:v>
      </x:c>
      <x:c r="M353" s="76" t="str">
        <x:v>Revan vs the Emperor: The Lightning He Caught | Episode 1</x:v>
      </x:c>
      <x:c r="N353" s="76"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353" s="76" t="str">
        <x:v>Old Republic — Revan / Knights of the Old Republic era</x:v>
      </x:c>
      <x:c r="P353" s="76" t="str">
        <x:v>IMG_6402.PNG</x:v>
      </x:c>
      <x:c r="Q353" s="76" t="str">
        <x:v>OCR extracted / placement assigned</x:v>
      </x:c>
      <x:c r="R353" s="76" t="str">
        <x:v>High</x:v>
      </x:c>
      <x:c r="S353" s="76" t="str"/>
      <x:c r="T353" s="76" t="str">
        <x:v>Unique</x:v>
      </x:c>
    </x:row>
    <x:row r="354" s="23" customFormat="1" ht="36" customHeight="1">
      <x:c r="A354" s="49" t="b">
        <x:v>0</x:v>
      </x:c>
      <x:c r="B354" s="50" t="str">
        <x:v>FV-0225</x:v>
      </x:c>
      <x:c r="C354" s="51" t="str">
        <x:v>Fan chronology — Old Republic</x:v>
      </x:c>
      <x:c r="D354" s="51" t="str">
        <x:v>ROBOT JEDI &amp; DARTH REVAN VS. THE VONG: EPISODE 3 — THE GRAVITY WOUND</x:v>
      </x:c>
      <x:c r="E354" s="50" t="str">
        <x:v>EPISODE 3</x:v>
      </x:c>
      <x:c r="F354" s="51" t="str">
        <x:v>September 12, 2026</x:v>
      </x:c>
      <x:c r="G354" s="51" t="str">
        <x:v>Fan-made / non-canon</x:v>
      </x:c>
      <x:c r="H354" s="51" t="str">
        <x:v>Fan video</x:v>
      </x:c>
      <x:c r="I354" s="51" t="str">
        <x:v>YouTube — search by title</x:v>
      </x:c>
      <x:c r="J354" s="58" t="e">
        <x:f>HYPERLINK("https://www.youtube.com/results?search_query=ROBOT%20JEDI%20%26%20DARTH%20REVAN%20VS.%20THE%20VONG%3A%20EPISODE%203%20%E2%80%94%20THE%20GRAVITY%20WOUND","Search")</x:f>
        <x:v>HYPERLINK is not implemented. linkLocation=https://www.youtube.com/results?search_query=ROBOT%20JEDI%20%26%20DARTH%20REVAN%20VS.%20THE%20VONG%3A%20EPISODE%203%20%E2%80%94%20THE%20GRAVITY%20WOUND, friendlyName=Search</x:v>
      </x:c>
      <x:c r="K354" s="51" t="str">
        <x:v>Placed around the events and aftermath of Knights of the Old Republic.</x:v>
      </x:c>
      <x:c r="L354" s="76" t="str">
        <x:v>ROBOT JEDI &amp; DARTH REVAN VS. THE VONG</x:v>
      </x:c>
      <x:c r="M354" s="76" t="str">
        <x:v>ROBOT JEDI &amp; DARTH REVAN VS. THE VONG: EPISODE 3 — THE GRAVITY WOUND</x:v>
      </x:c>
      <x:c r="N354" s="76" t="str">
        <x:v>Support Unleashed:
Cash App: $brednew
PayPal: @blainehenry688
The Vong unleash a living organism capable of
collapsing gravity—and Darth Revan cannot sense it
through the Force.
As the city is pulled apart, the Robot Jedi uses his
sensors and mechanical ingenuity to locate the
creature's hidden control node. Revan supplies the
power. The Robot supplies the target.
But destroying one gravity weapon reveals
something far worse beneath it.
“| do not need to feel you.”</x:v>
      </x:c>
      <x:c r="O354" s="76" t="str">
        <x:v>Old Republic — Revan / Knights of the Old Republic era</x:v>
      </x:c>
      <x:c r="P354" s="76" t="str">
        <x:v>IMG_6408.PNG</x:v>
      </x:c>
      <x:c r="Q354" s="76" t="str">
        <x:v>OCR extracted / placement assigned</x:v>
      </x:c>
      <x:c r="R354" s="76" t="str">
        <x:v>High</x:v>
      </x:c>
      <x:c r="S354" s="76" t="str"/>
      <x:c r="T354" s="76" t="str">
        <x:v>Unique</x:v>
      </x:c>
    </x:row>
    <x:row r="355" s="23" customFormat="1" ht="36" customHeight="1">
      <x:c r="A355" s="49" t="b">
        <x:v>0</x:v>
      </x:c>
      <x:c r="B355" s="50" t="str">
        <x:v>FV-0011</x:v>
      </x:c>
      <x:c r="C355" s="51" t="str">
        <x:v>Fan chronology — Old Republic</x:v>
      </x:c>
      <x:c r="D355" s="51" t="str">
        <x:v>Star Wars Legends Inspired | Darth Revan Gives His Passenger a Better View @</x:v>
      </x:c>
      <x:c r="E355" s="50" t="str"/>
      <x:c r="F355" s="51" t="str">
        <x:v>October 16, 2026</x:v>
      </x:c>
      <x:c r="G355" s="51" t="str">
        <x:v>Fan-made / non-canon</x:v>
      </x:c>
      <x:c r="H355" s="51" t="str">
        <x:v>Fan video</x:v>
      </x:c>
      <x:c r="I355" s="51" t="str">
        <x:v>YouTube — search by title</x:v>
      </x:c>
      <x:c r="J355" s="58" t="e">
        <x:f>HYPERLINK("https://www.youtube.com/results?search_query=Star%20Wars%20Legends%20Inspired%20%7C%20Darth%20Revan%20Gives%20His%20Passenger%20a%20Better%20View%20%40","Search")</x:f>
        <x:v>HYPERLINK is not implemented. linkLocation=https://www.youtube.com/results?search_query=Star%20Wars%20Legends%20Inspired%20%7C%20Darth%20Revan%20Gives%20His%20Passenger%20a%20Better%20View%20%40, friendlyName=Search</x:v>
      </x:c>
      <x:c r="K355" s="51" t="str">
        <x:v>Placed around the events and aftermath of Knights of the Old Republic.</x:v>
      </x:c>
      <x:c r="L355" s="76" t="str"/>
      <x:c r="M355" s="76" t="str">
        <x:v>Star Wars Legends Inspired | Darth Revan Gives His Passenger a Better View @</x:v>
      </x:c>
      <x:c r="N355" s="76"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355" s="76" t="str">
        <x:v>Old Republic — Revan / Knights of the Old Republic era</x:v>
      </x:c>
      <x:c r="P355" s="76" t="str">
        <x:v>IMG_6194.PNG</x:v>
      </x:c>
      <x:c r="Q355" s="76" t="str">
        <x:v>OCR extracted / placement assigned</x:v>
      </x:c>
      <x:c r="R355" s="76" t="str">
        <x:v>High</x:v>
      </x:c>
      <x:c r="S355" s="76" t="str"/>
      <x:c r="T355" s="76" t="str">
        <x:v>Unique</x:v>
      </x:c>
    </x:row>
    <x:row r="356" s="23" customFormat="1" ht="36" customHeight="1">
      <x:c r="A356" s="49" t="b">
        <x:v>0</x:v>
      </x:c>
      <x:c r="B356" s="50" t="str">
        <x:v>FV-0012</x:v>
      </x:c>
      <x:c r="C356" s="51" t="str">
        <x:v>Fan chronology — Old Republic</x:v>
      </x:c>
      <x:c r="D356" s="51" t="str">
        <x:v>Star Wars Legends Inspired | Revan Trains Malak—Episode 1: You Destroyed the Prize</x:v>
      </x:c>
      <x:c r="E356" s="50" t="str">
        <x:v>Episode 1</x:v>
      </x:c>
      <x:c r="F356" s="51" t="str">
        <x:v>October 15, 2026</x:v>
      </x:c>
      <x:c r="G356" s="51" t="str">
        <x:v>Fan-made / non-canon</x:v>
      </x:c>
      <x:c r="H356" s="51" t="str">
        <x:v>Fan video</x:v>
      </x:c>
      <x:c r="I356" s="51" t="str">
        <x:v>YouTube — search by title</x:v>
      </x:c>
      <x:c r="J356" s="58" t="e">
        <x:f>HYPERLINK("https://www.youtube.com/results?search_query=Star%20Wars%20Legends%20Inspired%20%7C%20Revan%20Trains%20Malak%E2%80%94Episode%201%3A%20You%20Destroyed%20the%20Prize","Search")</x:f>
        <x:v>HYPERLINK is not implemented. linkLocation=https://www.youtube.com/results?search_query=Star%20Wars%20Legends%20Inspired%20%7C%20Revan%20Trains%20Malak%E2%80%94Episode%201%3A%20You%20Destroyed%20the%20Prize, friendlyName=Search</x:v>
      </x:c>
      <x:c r="K356" s="51" t="str">
        <x:v>Placed around the events and aftermath of Knights of the Old Republic.</x:v>
      </x:c>
      <x:c r="L356" s="76" t="str">
        <x:v>Revan Trains Malak</x:v>
      </x:c>
      <x:c r="M356" s="76" t="str">
        <x:v>Star Wars Legends Inspired | Revan Trains Malak—Episode 1: You Destroyed the Prize</x:v>
      </x:c>
      <x:c r="N356" s="76"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356" s="76" t="str">
        <x:v>Old Republic — Revan / Knights of the Old Republic era</x:v>
      </x:c>
      <x:c r="P356" s="76" t="str">
        <x:v>IMG_6195.PNG</x:v>
      </x:c>
      <x:c r="Q356" s="76" t="str">
        <x:v>OCR extracted / placement assigned</x:v>
      </x:c>
      <x:c r="R356" s="76" t="str">
        <x:v>High</x:v>
      </x:c>
      <x:c r="S356" s="76" t="str"/>
      <x:c r="T356" s="76" t="str">
        <x:v>Unique</x:v>
      </x:c>
    </x:row>
    <x:row r="357" s="23" customFormat="1" ht="36" customHeight="1">
      <x:c r="A357" s="49" t="b">
        <x:v>0</x:v>
      </x:c>
      <x:c r="B357" s="50" t="str">
        <x:v>FV-0033</x:v>
      </x:c>
      <x:c r="C357" s="51" t="str">
        <x:v>Fan chronology — Old Republic</x:v>
      </x:c>
      <x:c r="D357" s="51" t="str">
        <x:v>Star Wars Legends: Revan Novel Inspired | Episode 1 — They Recognized the Mask</x:v>
      </x:c>
      <x:c r="E357" s="50" t="str">
        <x:v>Episode 1</x:v>
      </x:c>
      <x:c r="F357" s="51" t="str">
        <x:v>October 12, 2026</x:v>
      </x:c>
      <x:c r="G357" s="51" t="str">
        <x:v>Fan-made / non-canon</x:v>
      </x:c>
      <x:c r="H357" s="51" t="str">
        <x:v>Fan video</x:v>
      </x:c>
      <x:c r="I357" s="51" t="str">
        <x:v>YouTube — search by title</x:v>
      </x:c>
      <x:c r="J357" s="58" t="e">
        <x:f>HYPERLINK("https://www.youtube.com/results?search_query=Star%20Wars%20Legends%3A%20Revan%20Novel%20Inspired%20%7C%20Episode%201%20%E2%80%94%20They%20Recognized%20the%20Mask","Search")</x:f>
        <x:v>HYPERLINK is not implemented. linkLocation=https://www.youtube.com/results?search_query=Star%20Wars%20Legends%3A%20Revan%20Novel%20Inspired%20%7C%20Episode%201%20%E2%80%94%20They%20Recognized%20the%20Mask, friendlyName=Search</x:v>
      </x:c>
      <x:c r="K357" s="51" t="str">
        <x:v>Placed around the events and aftermath of Knights of the Old Republic.</x:v>
      </x:c>
      <x:c r="L357" s="76" t="str">
        <x:v>Star Wars Legends: Revan Novel Inspired</x:v>
      </x:c>
      <x:c r="M357" s="76" t="str">
        <x:v>Star Wars Legends: Revan Novel Inspired | Episode 1 — They Recognized the Mask</x:v>
      </x:c>
      <x:c r="N357" s="76"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357" s="76" t="str">
        <x:v>Old Republic — Revan / Knights of the Old Republic era</x:v>
      </x:c>
      <x:c r="P357" s="76" t="str">
        <x:v>IMG_6216.PNG</x:v>
      </x:c>
      <x:c r="Q357" s="76" t="str">
        <x:v>OCR extracted / placement assigned</x:v>
      </x:c>
      <x:c r="R357" s="76" t="str">
        <x:v>High</x:v>
      </x:c>
      <x:c r="S357" s="76" t="str"/>
      <x:c r="T357" s="76" t="str">
        <x:v>Unique</x:v>
      </x:c>
    </x:row>
    <x:row r="358" s="23" customFormat="1" ht="36" customHeight="1">
      <x:c r="A358" s="49" t="b">
        <x:v>0</x:v>
      </x:c>
      <x:c r="B358" s="50" t="str">
        <x:v>FV-0026</x:v>
      </x:c>
      <x:c r="C358" s="51" t="str">
        <x:v>Fan chronology — Old Republic</x:v>
      </x:c>
      <x:c r="D358" s="51" t="str">
        <x:v>Star Wars Legends: Revan Novel Inspired | Episode 2 — They Captured Revan... Then He Asked THIS</x:v>
      </x:c>
      <x:c r="E358" s="50" t="str">
        <x:v>Episode 2</x:v>
      </x:c>
      <x:c r="F358" s="51" t="str">
        <x:v>October 13, 2026</x:v>
      </x:c>
      <x:c r="G358" s="51" t="str">
        <x:v>Fan-made / non-canon</x:v>
      </x:c>
      <x:c r="H358" s="51" t="str">
        <x:v>Fan video</x:v>
      </x:c>
      <x:c r="I358" s="51" t="str">
        <x:v>YouTube — search by title</x:v>
      </x:c>
      <x:c r="J358" s="58" t="e">
        <x:f>HYPERLINK("https://www.youtube.com/results?search_query=Star%20Wars%20Legends%3A%20Revan%20Novel%20Inspired%20%7C%20Episode%202%20%E2%80%94%20They%20Captured%20Revan...%20Then%20He%20Asked%20THIS","Search")</x:f>
        <x:v>HYPERLINK is not implemented. linkLocation=https://www.youtube.com/results?search_query=Star%20Wars%20Legends%3A%20Revan%20Novel%20Inspired%20%7C%20Episode%202%20%E2%80%94%20They%20Captured%20Revan...%20Then%20He%20Asked%20THIS, friendlyName=Search</x:v>
      </x:c>
      <x:c r="K358" s="51" t="str">
        <x:v>Placed around the events and aftermath of Knights of the Old Republic.</x:v>
      </x:c>
      <x:c r="L358" s="76" t="str">
        <x:v>Star Wars Legends: Revan Novel Inspired</x:v>
      </x:c>
      <x:c r="M358" s="76" t="str">
        <x:v>Star Wars Legends: Revan Novel Inspired | Episode 2 — They Captured Revan... Then He Asked THIS</x:v>
      </x:c>
      <x:c r="N358" s="76"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358" s="76" t="str">
        <x:v>Old Republic — Revan / Knights of the Old Republic era</x:v>
      </x:c>
      <x:c r="P358" s="76" t="str">
        <x:v>IMG_6209.PNG</x:v>
      </x:c>
      <x:c r="Q358" s="76" t="str">
        <x:v>OCR extracted / placement assigned</x:v>
      </x:c>
      <x:c r="R358" s="76" t="str">
        <x:v>High</x:v>
      </x:c>
      <x:c r="S358" s="76" t="str"/>
      <x:c r="T358" s="76" t="str">
        <x:v>Unique</x:v>
      </x:c>
    </x:row>
    <x:row r="359" s="23" customFormat="1" ht="36" customHeight="1">
      <x:c r="A359" s="49" t="b">
        <x:v>0</x:v>
      </x:c>
      <x:c r="B359" s="50" t="str">
        <x:v>FV-0200</x:v>
      </x:c>
      <x:c r="C359" s="51" t="str">
        <x:v>Fan chronology — Old Republic</x:v>
      </x:c>
      <x:c r="D359" s="51" t="str">
        <x:v>Tenebrae VS Darth Revan: PT 3</x:v>
      </x:c>
      <x:c r="E359" s="50" t="str">
        <x:v>PT 3</x:v>
      </x:c>
      <x:c r="F359" s="51" t="str">
        <x:v>September 20, 2026</x:v>
      </x:c>
      <x:c r="G359" s="51" t="str">
        <x:v>Fan-made / non-canon</x:v>
      </x:c>
      <x:c r="H359" s="51" t="str">
        <x:v>Fan video</x:v>
      </x:c>
      <x:c r="I359" s="51" t="str">
        <x:v>YouTube — search by title</x:v>
      </x:c>
      <x:c r="J359" s="58" t="e">
        <x:f>HYPERLINK("https://www.youtube.com/results?search_query=Tenebrae%20VS%20Darth%20Revan%3A%20PT%203","Search")</x:f>
        <x:v>HYPERLINK is not implemented. linkLocation=https://www.youtube.com/results?search_query=Tenebrae%20VS%20Darth%20Revan%3A%20PT%203, friendlyName=Search</x:v>
      </x:c>
      <x:c r="K359" s="51" t="str">
        <x:v>Placed around the events and aftermath of Knights of the Old Republic.</x:v>
      </x:c>
      <x:c r="L359" s="76" t="str">
        <x:v>Tenebrae VS Darth Revan</x:v>
      </x:c>
      <x:c r="M359" s="76" t="str">
        <x:v>Tenebrae VS Darth Revan: PT 3</x:v>
      </x:c>
      <x:c r="N359" s="76" t="str">
        <x:v>How this was made
Made with Al
Sounds or visuals were altered or fully generated. Learn
more</x:v>
      </x:c>
      <x:c r="O359" s="76" t="str">
        <x:v>Old Republic — Revan / Knights of the Old Republic era</x:v>
      </x:c>
      <x:c r="P359" s="76" t="str">
        <x:v>IMG_6383.PNG</x:v>
      </x:c>
      <x:c r="Q359" s="76" t="str">
        <x:v>OCR extracted / placement assigned</x:v>
      </x:c>
      <x:c r="R359" s="76" t="str">
        <x:v>High</x:v>
      </x:c>
      <x:c r="S359" s="76" t="str"/>
      <x:c r="T359" s="76" t="str">
        <x:v>Unique</x:v>
      </x:c>
    </x:row>
    <x:row r="360" s="23" customFormat="1" ht="36" customHeight="1">
      <x:c r="A360" s="49" t="b">
        <x:v>0</x:v>
      </x:c>
      <x:c r="B360" s="50" t="str">
        <x:v>FV-0270</x:v>
      </x:c>
      <x:c r="C360" s="51" t="str">
        <x:v>Fan chronology — Old Republic</x:v>
      </x:c>
      <x:c r="D360" s="51" t="str">
        <x:v>The Emperor's Fury | Darth Revan vs. Darth Sidious</x:v>
      </x:c>
      <x:c r="E360" s="50" t="str"/>
      <x:c r="F360" s="51" t="str">
        <x:v>September 3, 2026</x:v>
      </x:c>
      <x:c r="G360" s="51" t="str">
        <x:v>Fan-made / non-canon</x:v>
      </x:c>
      <x:c r="H360" s="51" t="str">
        <x:v>Fan video</x:v>
      </x:c>
      <x:c r="I360" s="51" t="str">
        <x:v>YouTube — search by title</x:v>
      </x:c>
      <x:c r="J360" s="58" t="e">
        <x:f>HYPERLINK("https://www.youtube.com/results?search_query=The%20Emperor's%20Fury%20%7C%20Darth%20Revan%20vs.%20Darth%20Sidious","Search")</x:f>
        <x:v>HYPERLINK is not implemented. linkLocation=https://www.youtube.com/results?search_query=The%20Emperor's%20Fury%20%7C%20Darth%20Revan%20vs.%20Darth%20Sidious, friendlyName=Search</x:v>
      </x:c>
      <x:c r="K360" s="51" t="str">
        <x:v>Placed around the events and aftermath of Knights of the Old Republic.</x:v>
      </x:c>
      <x:c r="L360" s="76" t="str"/>
      <x:c r="M360" s="76" t="str">
        <x:v>The Emperor's Fury | Darth Revan vs. Darth Sidious</x:v>
      </x:c>
      <x:c r="N360" s="76" t="str">
        <x:v>Darth Revan enters the Emperor's throne room—and
neither warrior intends to surrender.
Purple and crimson collide as Darth Sidious attacks
with savage speed, Force lightning, and everything
the dark side can unleash. Revan answers with
discipline, precision, and absolute control while the
chamber collapses around them.
Two Sith legends. One devastating confrontation.
Who leaves the throne room standing?
#DarthRevan #DarthSidious #TheEmperor
#LightsaberDuel #StarWarsLegends #DarkSide
#CinematicBattle</x:v>
      </x:c>
      <x:c r="O360" s="76" t="str">
        <x:v>Old Republic — Revan / Knights of the Old Republic era</x:v>
      </x:c>
      <x:c r="P360" s="76" t="str">
        <x:v>IMG_6455.PNG</x:v>
      </x:c>
      <x:c r="Q360" s="76" t="str">
        <x:v>OCR extracted / placement assigned</x:v>
      </x:c>
      <x:c r="R360" s="76" t="str">
        <x:v>High</x:v>
      </x:c>
      <x:c r="S360" s="76" t="str"/>
      <x:c r="T360" s="76" t="str">
        <x:v>Unique</x:v>
      </x:c>
    </x:row>
    <x:row r="361" s="23" customFormat="1" ht="36" customHeight="1">
      <x:c r="A361" s="49" t="b">
        <x:v>0</x:v>
      </x:c>
      <x:c r="B361" s="50" t="str">
        <x:v>FV-0558</x:v>
      </x:c>
      <x:c r="C361" s="51" t="str">
        <x:v>Fan chronology — Old Republic</x:v>
      </x:c>
      <x:c r="D361" s="51" t="str">
        <x:v>The Jedi Gave Darth Revan a Skills Test... Big Mistake</x:v>
      </x:c>
      <x:c r="E361" s="50" t="str"/>
      <x:c r="F361" s="51" t="str">
        <x:v>August 20, 2026</x:v>
      </x:c>
      <x:c r="G361" s="51" t="str">
        <x:v>Fan-made / non-canon</x:v>
      </x:c>
      <x:c r="H361" s="51" t="str">
        <x:v>Fan video</x:v>
      </x:c>
      <x:c r="I361" s="51" t="str">
        <x:v>YouTube — search by title</x:v>
      </x:c>
      <x:c r="J361" s="58" t="e">
        <x:f>HYPERLINK("https://www.youtube.com/results?search_query=The%20Jedi%20Gave%20Darth%20Revan%20a%20Skills%20Test...%20Big%20Mistake","Search")</x:f>
        <x:v>HYPERLINK is not implemented. linkLocation=https://www.youtube.com/results?search_query=The%20Jedi%20Gave%20Darth%20Revan%20a%20Skills%20Test...%20Big%20Mistake, friendlyName=Search</x:v>
      </x:c>
      <x:c r="K361" s="51" t="str">
        <x:v>Placed around the events and aftermath of Knights of the Old Republic.</x:v>
      </x:c>
      <x:c r="L361" s="76" t="str"/>
      <x:c r="M361" s="76" t="str">
        <x:v>The Jedi Gave Darth Revan a Skills Test... Big Mistake</x:v>
      </x:c>
      <x:c r="N361" s="76"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361" s="76" t="str">
        <x:v>Old Republic — Revan / Knights of the Old Republic era</x:v>
      </x:c>
      <x:c r="P361" s="76" t="str">
        <x:v>IMG_6748.PNG</x:v>
      </x:c>
      <x:c r="Q361" s="76" t="str">
        <x:v>OCR extracted / placement assigned</x:v>
      </x:c>
      <x:c r="R361" s="76" t="str">
        <x:v>High</x:v>
      </x:c>
      <x:c r="S361" s="76" t="str"/>
      <x:c r="T361" s="76" t="str">
        <x:v>Unique</x:v>
      </x:c>
    </x:row>
    <x:row r="362" s="23" customFormat="1" ht="36" customHeight="1">
      <x:c r="A362" s="49" t="b">
        <x:v>0</x:v>
      </x:c>
      <x:c r="B362" s="50" t="str">
        <x:v>FV-0112</x:v>
      </x:c>
      <x:c r="C362" s="51" t="str">
        <x:v>Fan chronology — Old Republic</x:v>
      </x:c>
      <x:c r="D362" s="51" t="str">
        <x:v>The Rakata’s Mind Prison | He Stole More Than a Relic &amp;</x:v>
      </x:c>
      <x:c r="E362" s="50" t="str"/>
      <x:c r="F362" s="51" t="str">
        <x:v>October 3, 2026</x:v>
      </x:c>
      <x:c r="G362" s="51" t="str">
        <x:v>Fan-made / non-canon</x:v>
      </x:c>
      <x:c r="H362" s="51" t="str">
        <x:v>Fan video</x:v>
      </x:c>
      <x:c r="I362" s="51" t="str">
        <x:v>YouTube — search by title</x:v>
      </x:c>
      <x:c r="J362" s="58" t="e">
        <x:f>HYPERLINK("https://www.youtube.com/results?search_query=The%20Rakata%E2%80%99s%20Mind%20Prison%20%7C%20He%20Stole%20More%20Than%20a%20Relic%20%26","Search")</x:f>
        <x:v>HYPERLINK is not implemented. linkLocation=https://www.youtube.com/results?search_query=The%20Rakata%E2%80%99s%20Mind%20Prison%20%7C%20He%20Stole%20More%20Than%20a%20Relic%20%26, friendlyName=Search</x:v>
      </x:c>
      <x:c r="K362" s="51" t="str">
        <x:v>Placed around the events and aftermath of Knights of the Old Republic.</x:v>
      </x:c>
      <x:c r="L362" s="76" t="str"/>
      <x:c r="M362" s="76" t="str">
        <x:v>The Rakata’s Mind Prison | He Stole More Than a Relic &amp;</x:v>
      </x:c>
      <x:c r="N362" s="76"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362" s="76" t="str">
        <x:v>Old Republic — Revan / Knights of the Old Republic era</x:v>
      </x:c>
      <x:c r="P362" s="76" t="str">
        <x:v>IMG_6295.PNG</x:v>
      </x:c>
      <x:c r="Q362" s="76" t="str">
        <x:v>OCR extracted / placement assigned</x:v>
      </x:c>
      <x:c r="R362" s="76" t="str">
        <x:v>High</x:v>
      </x:c>
      <x:c r="S362" s="76" t="str"/>
      <x:c r="T362" s="76" t="str">
        <x:v>Unique</x:v>
      </x:c>
    </x:row>
    <x:row r="363" s="23" customFormat="1" ht="36" customHeight="1">
      <x:c r="A363" s="49" t="b">
        <x:v>0</x:v>
      </x:c>
      <x:c r="B363" s="50" t="str">
        <x:v>FV-0381</x:v>
      </x:c>
      <x:c r="C363" s="51" t="str">
        <x:v>Fan chronology — Old Republic</x:v>
      </x:c>
      <x:c r="D363" s="51" t="str">
        <x:v>The Revan Chronicles: The Mask &amp; The Council | The Legend Begins</x:v>
      </x:c>
      <x:c r="E363" s="50" t="str"/>
      <x:c r="F363" s="51" t="str">
        <x:v>August 24, 2026</x:v>
      </x:c>
      <x:c r="G363" s="51" t="str">
        <x:v>Fan-made / non-canon</x:v>
      </x:c>
      <x:c r="H363" s="51" t="str">
        <x:v>Fan video</x:v>
      </x:c>
      <x:c r="I363" s="51" t="str">
        <x:v>YouTube — search by title</x:v>
      </x:c>
      <x:c r="J363" s="58" t="e">
        <x:f>HYPERLINK("https://www.youtube.com/results?search_query=The%20Revan%20Chronicles%3A%20The%20Mask%20%26%20The%20Council%20%7C%20The%20Legend%20Begins","Search")</x:f>
        <x:v>HYPERLINK is not implemented. linkLocation=https://www.youtube.com/results?search_query=The%20Revan%20Chronicles%3A%20The%20Mask%20%26%20The%20Council%20%7C%20The%20Legend%20Begins, friendlyName=Search</x:v>
      </x:c>
      <x:c r="K363" s="51" t="str">
        <x:v>Placed around the events and aftermath of Knights of the Old Republic.</x:v>
      </x:c>
      <x:c r="L363" s="76" t="str">
        <x:v>The Revan Chronicles</x:v>
      </x:c>
      <x:c r="M363" s="76" t="str">
        <x:v>The Revan Chronicles: The Mask &amp; The Council | The Legend Begins</x:v>
      </x:c>
      <x:c r="N363" s="76"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363" s="76" t="str">
        <x:v>Old Republic — Revan / Knights of the Old Republic era</x:v>
      </x:c>
      <x:c r="P363" s="76" t="str">
        <x:v>IMG_6567.PNG</x:v>
      </x:c>
      <x:c r="Q363" s="76" t="str">
        <x:v>OCR extracted / placement assigned</x:v>
      </x:c>
      <x:c r="R363" s="76" t="str">
        <x:v>High</x:v>
      </x:c>
      <x:c r="S363" s="76" t="str"/>
      <x:c r="T363" s="76" t="str">
        <x:v>Unique</x:v>
      </x:c>
    </x:row>
    <x:row r="364" s="23" customFormat="1" ht="36" customHeight="1">
      <x:c r="A364" s="49" t="b">
        <x:v>0</x:v>
      </x:c>
      <x:c r="B364" s="50" t="str">
        <x:v>FV-0556</x:v>
      </x:c>
      <x:c r="C364" s="51" t="str">
        <x:v>Fan chronology — Old Republic</x:v>
      </x:c>
      <x:c r="D364" s="51" t="str">
        <x:v>They Put Darth Revan in Restraints — He Let Them</x:v>
      </x:c>
      <x:c r="E364" s="50" t="str"/>
      <x:c r="F364" s="51" t="str">
        <x:v>August 20, 2026</x:v>
      </x:c>
      <x:c r="G364" s="51" t="str">
        <x:v>Fan-made / non-canon</x:v>
      </x:c>
      <x:c r="H364" s="51" t="str">
        <x:v>Fan video</x:v>
      </x:c>
      <x:c r="I364" s="51" t="str">
        <x:v>YouTube — search by title</x:v>
      </x:c>
      <x:c r="J364" s="58" t="e">
        <x:f>HYPERLINK("https://www.youtube.com/results?search_query=They%20Put%20Darth%20Revan%20in%20Restraints%20%E2%80%94%20He%20Let%20Them","Search")</x:f>
        <x:v>HYPERLINK is not implemented. linkLocation=https://www.youtube.com/results?search_query=They%20Put%20Darth%20Revan%20in%20Restraints%20%E2%80%94%20He%20Let%20Them, friendlyName=Search</x:v>
      </x:c>
      <x:c r="K364" s="51" t="str">
        <x:v>Placed around the events and aftermath of Knights of the Old Republic.</x:v>
      </x:c>
      <x:c r="L364" s="76" t="str"/>
      <x:c r="M364" s="76" t="str">
        <x:v>They Put Darth Revan in Restraints — He Let Them</x:v>
      </x:c>
      <x:c r="N364" s="76"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364" s="76" t="str">
        <x:v>Old Republic — Revan / Knights of the Old Republic era</x:v>
      </x:c>
      <x:c r="P364" s="76" t="str">
        <x:v>IMG_6746.PNG</x:v>
      </x:c>
      <x:c r="Q364" s="76" t="str">
        <x:v>OCR extracted / placement assigned</x:v>
      </x:c>
      <x:c r="R364" s="76" t="str">
        <x:v>High</x:v>
      </x:c>
      <x:c r="S364" s="76" t="str"/>
      <x:c r="T364" s="76" t="str">
        <x:v>Unique</x:v>
      </x:c>
    </x:row>
    <x:row r="365" s="23" customFormat="1" ht="36" customHeight="1">
      <x:c r="A365" s="49" t="b">
        <x:v>0</x:v>
      </x:c>
      <x:c r="B365" s="50" t="str">
        <x:v>FV-0369</x:v>
      </x:c>
      <x:c r="C365" s="51" t="str">
        <x:v>Fan chronology — Old Republic</x:v>
      </x:c>
      <x:c r="D365" s="51" t="str">
        <x:v>Darth Nihilus Arrived... and the Force Began to Die</x:v>
      </x:c>
      <x:c r="E365" s="50" t="str"/>
      <x:c r="F365" s="51" t="str">
        <x:v>August 25, 2026</x:v>
      </x:c>
      <x:c r="G365" s="51" t="str">
        <x:v>Fan-made / non-canon</x:v>
      </x:c>
      <x:c r="H365" s="51" t="str">
        <x:v>Fan video</x:v>
      </x:c>
      <x:c r="I365" s="51" t="str">
        <x:v>YouTube — search by title</x:v>
      </x:c>
      <x:c r="J365" s="58" t="e">
        <x:f>HYPERLINK("https://www.youtube.com/results?search_query=Darth%20Nihilus%20Arrived...%20and%20the%20Force%20Began%20to%20Die","Search")</x:f>
        <x:v>HYPERLINK is not implemented. linkLocation=https://www.youtube.com/results?search_query=Darth%20Nihilus%20Arrived...%20and%20the%20Force%20Began%20to%20Die, friendlyName=Search</x:v>
      </x:c>
      <x:c r="K365" s="51" t="str">
        <x:v>Named Old Republic/ancient Sith material.</x:v>
      </x:c>
      <x:c r="L365" s="76" t="str"/>
      <x:c r="M365" s="76" t="str">
        <x:v>Darth Nihilus Arrived... and the Force Began to Die</x:v>
      </x:c>
      <x:c r="N365" s="76"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365" s="76" t="str">
        <x:v>Old Republic — Sith legends</x:v>
      </x:c>
      <x:c r="P365" s="76" t="str">
        <x:v>IMG_6555.PNG</x:v>
      </x:c>
      <x:c r="Q365" s="76" t="str">
        <x:v>OCR extracted / placement assigned</x:v>
      </x:c>
      <x:c r="R365" s="76" t="str">
        <x:v>Medium</x:v>
      </x:c>
      <x:c r="S365" s="76" t="str"/>
      <x:c r="T365" s="76" t="str">
        <x:v>Unique</x:v>
      </x:c>
    </x:row>
    <x:row r="366" s="23" customFormat="1" ht="36" customHeight="1">
      <x:c r="A366" s="49" t="b">
        <x:v>0</x:v>
      </x:c>
      <x:c r="B366" s="50" t="str">
        <x:v>FV-0269</x:v>
      </x:c>
      <x:c r="C366" s="51" t="str">
        <x:v>Fan chronology — Old Republic</x:v>
      </x:c>
      <x:c r="D366" s="51" t="str">
        <x:v>Darth Nihilus Devoured a World | The Fall of Katarr</x:v>
      </x:c>
      <x:c r="E366" s="50" t="str"/>
      <x:c r="F366" s="51" t="str">
        <x:v>September 4, 2026</x:v>
      </x:c>
      <x:c r="G366" s="51" t="str">
        <x:v>Fan-made / non-canon</x:v>
      </x:c>
      <x:c r="H366" s="51" t="str">
        <x:v>Fan video</x:v>
      </x:c>
      <x:c r="I366" s="51" t="str">
        <x:v>YouTube — search by title</x:v>
      </x:c>
      <x:c r="J366" s="58" t="e">
        <x:f>HYPERLINK("https://www.youtube.com/results?search_query=Darth%20Nihilus%20Devoured%20a%20World%20%7C%20The%20Fall%20of%20Katarr","Search")</x:f>
        <x:v>HYPERLINK is not implemented. linkLocation=https://www.youtube.com/results?search_query=Darth%20Nihilus%20Devoured%20a%20World%20%7C%20The%20Fall%20of%20Katarr, friendlyName=Search</x:v>
      </x:c>
      <x:c r="K366" s="51" t="str">
        <x:v>Named Old Republic/ancient Sith material.</x:v>
      </x:c>
      <x:c r="L366" s="76" t="str"/>
      <x:c r="M366" s="76" t="str">
        <x:v>Darth Nihilus Devoured a World | The Fall of Katarr</x:v>
      </x:c>
      <x:c r="N366" s="76"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366" s="76" t="str">
        <x:v>Old Republic — Sith legends</x:v>
      </x:c>
      <x:c r="P366" s="76" t="str">
        <x:v>IMG_6454.PNG</x:v>
      </x:c>
      <x:c r="Q366" s="76" t="str">
        <x:v>OCR extracted / placement assigned</x:v>
      </x:c>
      <x:c r="R366" s="76" t="str">
        <x:v>Medium</x:v>
      </x:c>
      <x:c r="S366" s="76" t="str"/>
      <x:c r="T366" s="76" t="str">
        <x:v>Unique</x:v>
      </x:c>
    </x:row>
    <x:row r="367" s="23" customFormat="1" ht="36" customHeight="1">
      <x:c r="A367" s="49" t="b">
        <x:v>0</x:v>
      </x:c>
      <x:c r="B367" s="50" t="str">
        <x:v>FV-0218</x:v>
      </x:c>
      <x:c r="C367" s="51" t="str">
        <x:v>Fan chronology — Old Republic</x:v>
      </x:c>
      <x:c r="D367" s="51" t="str">
        <x:v>Darth Nihilus: The First Feeding | Sith Triumvirate Episode 2</x:v>
      </x:c>
      <x:c r="E367" s="50" t="str">
        <x:v>Episode 2</x:v>
      </x:c>
      <x:c r="F367" s="51" t="str">
        <x:v>September 13, 2026</x:v>
      </x:c>
      <x:c r="G367" s="51" t="str">
        <x:v>Fan-made / non-canon</x:v>
      </x:c>
      <x:c r="H367" s="51" t="str">
        <x:v>Fan video</x:v>
      </x:c>
      <x:c r="I367" s="51" t="str">
        <x:v>YouTube — search by title</x:v>
      </x:c>
      <x:c r="J367" s="58" t="e">
        <x:f>HYPERLINK("https://www.youtube.com/results?search_query=Darth%20Nihilus%3A%20The%20First%20Feeding%20%7C%20Sith%20Triumvirate%20Episode%202","Search")</x:f>
        <x:v>HYPERLINK is not implemented. linkLocation=https://www.youtube.com/results?search_query=Darth%20Nihilus%3A%20The%20First%20Feeding%20%7C%20Sith%20Triumvirate%20Episode%202, friendlyName=Search</x:v>
      </x:c>
      <x:c r="K367" s="51" t="str">
        <x:v>Named Old Republic/ancient Sith material.</x:v>
      </x:c>
      <x:c r="L367" s="76" t="str">
        <x:v>Sith Triumvirate</x:v>
      </x:c>
      <x:c r="M367" s="76" t="str">
        <x:v>Darth Nihilus: The First Feeding | Sith Triumvirate Episode 2</x:v>
      </x:c>
      <x:c r="N367" s="76"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367" s="76" t="str">
        <x:v>Old Republic — Sith legends</x:v>
      </x:c>
      <x:c r="P367" s="76" t="str">
        <x:v>IMG_6401.PNG</x:v>
      </x:c>
      <x:c r="Q367" s="76" t="str">
        <x:v>OCR extracted / placement assigned</x:v>
      </x:c>
      <x:c r="R367" s="76" t="str">
        <x:v>Medium</x:v>
      </x:c>
      <x:c r="S367" s="76" t="str"/>
      <x:c r="T367" s="76" t="str">
        <x:v>Unique</x:v>
      </x:c>
    </x:row>
    <x:row r="368" s="23" customFormat="1" ht="36" customHeight="1">
      <x:c r="A368" s="49" t="b">
        <x:v>0</x:v>
      </x:c>
      <x:c r="B368" s="50" t="str">
        <x:v>FV-0382</x:v>
      </x:c>
      <x:c r="C368" s="51" t="str">
        <x:v>Fan chronology — Old Republic</x:v>
      </x:c>
      <x:c r="D368" s="51" t="str">
        <x:v>Darth Nihilus: The Sith Who Feeds on the Force | Lord of Hunger</x:v>
      </x:c>
      <x:c r="E368" s="50" t="str"/>
      <x:c r="F368" s="51" t="str">
        <x:v>August 24, 2026</x:v>
      </x:c>
      <x:c r="G368" s="51" t="str">
        <x:v>Fan-made / non-canon</x:v>
      </x:c>
      <x:c r="H368" s="51" t="str">
        <x:v>Fan video</x:v>
      </x:c>
      <x:c r="I368" s="51" t="str">
        <x:v>YouTube — search by title</x:v>
      </x:c>
      <x:c r="J368" s="58" t="e">
        <x:f>HYPERLINK("https://www.youtube.com/results?search_query=Darth%20Nihilus%3A%20The%20Sith%20Who%20Feeds%20on%20the%20Force%20%7C%20Lord%20of%20Hunger","Search")</x:f>
        <x:v>HYPERLINK is not implemented. linkLocation=https://www.youtube.com/results?search_query=Darth%20Nihilus%3A%20The%20Sith%20Who%20Feeds%20on%20the%20Force%20%7C%20Lord%20of%20Hunger, friendlyName=Search</x:v>
      </x:c>
      <x:c r="K368" s="51" t="str">
        <x:v>Named Old Republic/ancient Sith material.</x:v>
      </x:c>
      <x:c r="L368" s="76" t="str"/>
      <x:c r="M368" s="76" t="str">
        <x:v>Darth Nihilus: The Sith Who Feeds on the Force | Lord of Hunger</x:v>
      </x:c>
      <x:c r="N368" s="76"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368" s="76" t="str">
        <x:v>Old Republic — Sith legends</x:v>
      </x:c>
      <x:c r="P368" s="76" t="str">
        <x:v>IMG_6568.PNG</x:v>
      </x:c>
      <x:c r="Q368" s="76" t="str">
        <x:v>OCR extracted / placement assigned</x:v>
      </x:c>
      <x:c r="R368" s="76" t="str">
        <x:v>Medium</x:v>
      </x:c>
      <x:c r="S368" s="76" t="str"/>
      <x:c r="T368" s="76" t="str">
        <x:v>Unique</x:v>
      </x:c>
    </x:row>
    <x:row r="369" s="23" customFormat="1" ht="36" customHeight="1">
      <x:c r="A369" s="49" t="b">
        <x:v>0</x:v>
      </x:c>
      <x:c r="B369" s="50" t="str">
        <x:v>FV-0129</x:v>
      </x:c>
      <x:c r="C369" s="51" t="str">
        <x:v>Fan chronology — Old Republic</x:v>
      </x:c>
      <x:c r="D369" s="51" t="str">
        <x:v>DARTH SION — THE LAST SAFE PLACE | UNLEASHED</x:v>
      </x:c>
      <x:c r="E369" s="50" t="str"/>
      <x:c r="F369" s="51" t="str">
        <x:v>October 1, 2026</x:v>
      </x:c>
      <x:c r="G369" s="51" t="str">
        <x:v>Fan-made / non-canon</x:v>
      </x:c>
      <x:c r="H369" s="51" t="str">
        <x:v>Fan video</x:v>
      </x:c>
      <x:c r="I369" s="51" t="str">
        <x:v>YouTube — search by title</x:v>
      </x:c>
      <x:c r="J369" s="58" t="e">
        <x:f>HYPERLINK("https://www.youtube.com/results?search_query=DARTH%20SION%20%E2%80%94%20THE%20LAST%20SAFE%20PLACE%20%7C%20UNLEASHED","Search")</x:f>
        <x:v>HYPERLINK is not implemented. linkLocation=https://www.youtube.com/results?search_query=DARTH%20SION%20%E2%80%94%20THE%20LAST%20SAFE%20PLACE%20%7C%20UNLEASHED, friendlyName=Search</x:v>
      </x:c>
      <x:c r="K369" s="51" t="str">
        <x:v>Named Old Republic/ancient Sith material.</x:v>
      </x:c>
      <x:c r="L369" s="76" t="str"/>
      <x:c r="M369" s="76" t="str">
        <x:v>DARTH SION — THE LAST SAFE PLACE | UNLEASHED</x:v>
      </x:c>
      <x:c r="N369" s="76"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369" s="76" t="str">
        <x:v>Old Republic — Sith legends</x:v>
      </x:c>
      <x:c r="P369" s="76" t="str">
        <x:v>IMG_6312.PNG</x:v>
      </x:c>
      <x:c r="Q369" s="76" t="str">
        <x:v>OCR extracted / placement assigned</x:v>
      </x:c>
      <x:c r="R369" s="76" t="str">
        <x:v>Medium</x:v>
      </x:c>
      <x:c r="S369" s="76" t="str"/>
      <x:c r="T369" s="76" t="str">
        <x:v>Unique</x:v>
      </x:c>
    </x:row>
    <x:row r="370" s="23" customFormat="1" ht="36" customHeight="1">
      <x:c r="A370" s="49" t="b">
        <x:v>0</x:v>
      </x:c>
      <x:c r="B370" s="50" t="str">
        <x:v>FV-0132</x:v>
      </x:c>
      <x:c r="C370" s="51" t="str">
        <x:v>Fan chronology — Old Republic</x:v>
      </x:c>
      <x:c r="D370" s="51" t="str">
        <x:v>Darth Sion — The Prisoner Who Wouldn't Stay Dead | Star Wars Legends</x:v>
      </x:c>
      <x:c r="E370" s="50" t="str"/>
      <x:c r="F370" s="51" t="str">
        <x:v>October 1, 2026</x:v>
      </x:c>
      <x:c r="G370" s="51" t="str">
        <x:v>Fan-made / non-canon</x:v>
      </x:c>
      <x:c r="H370" s="51" t="str">
        <x:v>Fan video</x:v>
      </x:c>
      <x:c r="I370" s="51" t="str">
        <x:v>YouTube — search by title</x:v>
      </x:c>
      <x:c r="J370" s="58" t="e">
        <x:f>HYPERLINK("https://www.youtube.com/results?search_query=Darth%20Sion%20%E2%80%94%20The%20Prisoner%20Who%20Wouldn't%20Stay%20Dead%20%7C%20Star%20Wars%20Legends","Search")</x:f>
        <x:v>HYPERLINK is not implemented. linkLocation=https://www.youtube.com/results?search_query=Darth%20Sion%20%E2%80%94%20The%20Prisoner%20Who%20Wouldn't%20Stay%20Dead%20%7C%20Star%20Wars%20Legends, friendlyName=Search</x:v>
      </x:c>
      <x:c r="K370" s="51" t="str">
        <x:v>Named Old Republic/ancient Sith material.</x:v>
      </x:c>
      <x:c r="L370" s="76" t="str"/>
      <x:c r="M370" s="76" t="str">
        <x:v>Darth Sion — The Prisoner Who Wouldn't Stay Dead | Star Wars Legends</x:v>
      </x:c>
      <x:c r="N370" s="76"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370" s="76" t="str">
        <x:v>Old Republic — Sith legends</x:v>
      </x:c>
      <x:c r="P370" s="76" t="str">
        <x:v>IMG_6315.PNG</x:v>
      </x:c>
      <x:c r="Q370" s="76" t="str">
        <x:v>OCR extracted / placement assigned</x:v>
      </x:c>
      <x:c r="R370" s="76" t="str">
        <x:v>Medium</x:v>
      </x:c>
      <x:c r="S370" s="76" t="str"/>
      <x:c r="T370" s="76" t="str">
        <x:v>Unique</x:v>
      </x:c>
    </x:row>
    <x:row r="371" s="23" customFormat="1" ht="36" customHeight="1">
      <x:c r="A371" s="49" t="b">
        <x:v>0</x:v>
      </x:c>
      <x:c r="B371" s="50" t="str">
        <x:v>FV-0065</x:v>
      </x:c>
      <x:c r="C371" s="51" t="str">
        <x:v>Fan chronology — Old Republic</x:v>
      </x:c>
      <x:c r="D371" s="51" t="str">
        <x:v>Lost Tribe of the Sith — Episode 1 | A Ship Full of Sith Crashes on Kesh @ Star Wars</x:v>
      </x:c>
      <x:c r="E371" s="50" t="str">
        <x:v>Episode 1</x:v>
      </x:c>
      <x:c r="F371" s="51" t="str">
        <x:v>October 8, 2026</x:v>
      </x:c>
      <x:c r="G371" s="51" t="str">
        <x:v>Fan-made / non-canon</x:v>
      </x:c>
      <x:c r="H371" s="51" t="str">
        <x:v>Fan video</x:v>
      </x:c>
      <x:c r="I371" s="51" t="str">
        <x:v>YouTube — search by title</x:v>
      </x:c>
      <x:c r="J371" s="58" t="e">
        <x:f>HYPERLINK("https://www.youtube.com/results?search_query=Lost%20Tribe%20of%20the%20Sith%20%E2%80%94%20Episode%201%20%7C%20A%20Ship%20Full%20of%20Sith%20Crashes%20on%20Kesh%20%40%20Star%20Wars","Search")</x:f>
        <x:v>HYPERLINK is not implemented. linkLocation=https://www.youtube.com/results?search_query=Lost%20Tribe%20of%20the%20Sith%20%E2%80%94%20Episode%201%20%7C%20A%20Ship%20Full%20of%20Sith%20Crashes%20on%20Kesh%20%40%20Star%20Wars, friendlyName=Search</x:v>
      </x:c>
      <x:c r="K371" s="51" t="str">
        <x:v>Named Old Republic/ancient Sith material.</x:v>
      </x:c>
      <x:c r="L371" s="76" t="str">
        <x:v>Lost Tribe of the Sith</x:v>
      </x:c>
      <x:c r="M371" s="76" t="str">
        <x:v>Lost Tribe of the Sith — Episode 1 | A Ship Full of Sith Crashes on Kesh @ Star Wars</x:v>
      </x:c>
      <x:c r="N371" s="76"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371" s="76" t="str">
        <x:v>Old Republic — Sith legends</x:v>
      </x:c>
      <x:c r="P371" s="76" t="str">
        <x:v>IMG_6248.PNG</x:v>
      </x:c>
      <x:c r="Q371" s="76" t="str">
        <x:v>OCR extracted / placement assigned</x:v>
      </x:c>
      <x:c r="R371" s="76" t="str">
        <x:v>Medium</x:v>
      </x:c>
      <x:c r="S371" s="76" t="str"/>
      <x:c r="T371" s="76" t="str">
        <x:v>Unique</x:v>
      </x:c>
    </x:row>
    <x:row r="372" s="23" customFormat="1" ht="36" customHeight="1">
      <x:c r="A372" s="49" t="b">
        <x:v>0</x:v>
      </x:c>
      <x:c r="B372" s="50" t="str">
        <x:v>FV-0063</x:v>
      </x:c>
      <x:c r="C372" s="51" t="str">
        <x:v>Fan chronology — Old Republic</x:v>
      </x:c>
      <x:c r="D372" s="51" t="str">
        <x:v>Lost Tribe of the Sith — Episode 2 | Brother Against Brother é Star Wars Legends</x:v>
      </x:c>
      <x:c r="E372" s="50" t="str">
        <x:v>Episode 2</x:v>
      </x:c>
      <x:c r="F372" s="51" t="str">
        <x:v>October 9, 2026</x:v>
      </x:c>
      <x:c r="G372" s="51" t="str">
        <x:v>Fan-made / non-canon</x:v>
      </x:c>
      <x:c r="H372" s="51" t="str">
        <x:v>Fan video</x:v>
      </x:c>
      <x:c r="I372" s="51" t="str">
        <x:v>YouTube — search by title</x:v>
      </x:c>
      <x:c r="J372" s="58" t="e">
        <x:f>HYPERLINK("https://www.youtube.com/results?search_query=Lost%20Tribe%20of%20the%20Sith%20%E2%80%94%20Episode%202%20%7C%20Brother%20Against%20Brother%20%C3%A9%20Star%20Wars%20Legends","Search")</x:f>
        <x:v>HYPERLINK is not implemented. linkLocation=https://www.youtube.com/results?search_query=Lost%20Tribe%20of%20the%20Sith%20%E2%80%94%20Episode%202%20%7C%20Brother%20Against%20Brother%20%C3%A9%20Star%20Wars%20Legends, friendlyName=Search</x:v>
      </x:c>
      <x:c r="K372" s="51" t="str">
        <x:v>Named Old Republic/ancient Sith material.</x:v>
      </x:c>
      <x:c r="L372" s="76" t="str">
        <x:v>Lost Tribe of the Sith</x:v>
      </x:c>
      <x:c r="M372" s="76" t="str">
        <x:v>Lost Tribe of the Sith — Episode 2 | Brother Against Brother é Star Wars Legends</x:v>
      </x:c>
      <x:c r="N372" s="76"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372" s="76" t="str">
        <x:v>Old Republic — Sith legends</x:v>
      </x:c>
      <x:c r="P372" s="76" t="str">
        <x:v>IMG_6246.PNG</x:v>
      </x:c>
      <x:c r="Q372" s="76" t="str">
        <x:v>OCR extracted / placement assigned</x:v>
      </x:c>
      <x:c r="R372" s="76" t="str">
        <x:v>Medium</x:v>
      </x:c>
      <x:c r="S372" s="76" t="str"/>
      <x:c r="T372" s="76" t="str">
        <x:v>Unique</x:v>
      </x:c>
    </x:row>
    <x:row r="373" s="23" customFormat="1" ht="36" customHeight="1">
      <x:c r="A373" s="49" t="b">
        <x:v>0</x:v>
      </x:c>
      <x:c r="B373" s="50" t="str">
        <x:v>FV-0380</x:v>
      </x:c>
      <x:c r="C373" s="51" t="str">
        <x:v>Fan chronology — Old Republic</x:v>
      </x:c>
      <x:c r="D373" s="51" t="str">
        <x:v>Sith Initiates: Never Watch the Blade | Dark Side Training Begins</x:v>
      </x:c>
      <x:c r="E373" s="50" t="str"/>
      <x:c r="F373" s="51" t="str">
        <x:v>August 24, 2026</x:v>
      </x:c>
      <x:c r="G373" s="51" t="str">
        <x:v>Fan-made / non-canon</x:v>
      </x:c>
      <x:c r="H373" s="51" t="str">
        <x:v>Fan video</x:v>
      </x:c>
      <x:c r="I373" s="51" t="str">
        <x:v>YouTube — search by title</x:v>
      </x:c>
      <x:c r="J373" s="58" t="e">
        <x:f>HYPERLINK("https://www.youtube.com/results?search_query=Sith%20Initiates%3A%20Never%20Watch%20the%20Blade%20%7C%20Dark%20Side%20Training%20Begins","Search")</x:f>
        <x:v>HYPERLINK is not implemented. linkLocation=https://www.youtube.com/results?search_query=Sith%20Initiates%3A%20Never%20Watch%20the%20Blade%20%7C%20Dark%20Side%20Training%20Begins, friendlyName=Search</x:v>
      </x:c>
      <x:c r="K373" s="51" t="str">
        <x:v>Named Old Republic/ancient Sith material.</x:v>
      </x:c>
      <x:c r="L373" s="76" t="str">
        <x:v>Sith Initiates</x:v>
      </x:c>
      <x:c r="M373" s="76" t="str">
        <x:v>Sith Initiates: Never Watch the Blade | Dark Side Training Begins</x:v>
      </x:c>
      <x:c r="N373" s="76"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373" s="76" t="str">
        <x:v>Old Republic — Sith legends</x:v>
      </x:c>
      <x:c r="P373" s="76" t="str">
        <x:v>IMG_6566.PNG</x:v>
      </x:c>
      <x:c r="Q373" s="76" t="str">
        <x:v>OCR extracted / placement assigned</x:v>
      </x:c>
      <x:c r="R373" s="76" t="str">
        <x:v>Medium</x:v>
      </x:c>
      <x:c r="S373" s="76" t="str"/>
      <x:c r="T373" s="76" t="str">
        <x:v>Unique</x:v>
      </x:c>
    </x:row>
    <x:row r="374" s="23" customFormat="1" ht="36" customHeight="1">
      <x:c r="A374" s="49" t="b">
        <x:v>0</x:v>
      </x:c>
      <x:c r="B374" s="50" t="str">
        <x:v>FV-0379</x:v>
      </x:c>
      <x:c r="C374" s="51" t="str">
        <x:v>Fan chronology — Old Republic</x:v>
      </x:c>
      <x:c r="D374" s="51" t="str">
        <x:v>Sith Initiates: The Weight of the Dark Side | Episode Il</x:v>
      </x:c>
      <x:c r="E374" s="50" t="str">
        <x:v>Episode Il</x:v>
      </x:c>
      <x:c r="F374" s="51" t="str">
        <x:v>August 24, 2026</x:v>
      </x:c>
      <x:c r="G374" s="51" t="str">
        <x:v>Fan-made / non-canon</x:v>
      </x:c>
      <x:c r="H374" s="51" t="str">
        <x:v>Fan video</x:v>
      </x:c>
      <x:c r="I374" s="51" t="str">
        <x:v>YouTube — search by title</x:v>
      </x:c>
      <x:c r="J374" s="58" t="e">
        <x:f>HYPERLINK("https://www.youtube.com/results?search_query=Sith%20Initiates%3A%20The%20Weight%20of%20the%20Dark%20Side%20%7C%20Episode%20Il","Search")</x:f>
        <x:v>HYPERLINK is not implemented. linkLocation=https://www.youtube.com/results?search_query=Sith%20Initiates%3A%20The%20Weight%20of%20the%20Dark%20Side%20%7C%20Episode%20Il, friendlyName=Search</x:v>
      </x:c>
      <x:c r="K374" s="51" t="str">
        <x:v>Named Old Republic/ancient Sith material.</x:v>
      </x:c>
      <x:c r="L374" s="76" t="str">
        <x:v>Sith Initiates</x:v>
      </x:c>
      <x:c r="M374" s="76" t="str">
        <x:v>Sith Initiates: The Weight of the Dark Side | Episode Il</x:v>
      </x:c>
      <x:c r="N374" s="76"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374" s="76" t="str">
        <x:v>Old Republic — Sith legends</x:v>
      </x:c>
      <x:c r="P374" s="76" t="str">
        <x:v>IMG_6565.PNG</x:v>
      </x:c>
      <x:c r="Q374" s="76" t="str">
        <x:v>OCR extracted / placement assigned</x:v>
      </x:c>
      <x:c r="R374" s="76" t="str">
        <x:v>Medium</x:v>
      </x:c>
      <x:c r="S374" s="76" t="str"/>
      <x:c r="T374" s="76" t="str">
        <x:v>Unique</x:v>
      </x:c>
    </x:row>
    <x:row r="375" s="23" customFormat="1" ht="36" customHeight="1">
      <x:c r="A375" s="49" t="b">
        <x:v>0</x:v>
      </x:c>
      <x:c r="B375" s="50" t="str">
        <x:v>FV-0237</x:v>
      </x:c>
      <x:c r="C375" s="51" t="str">
        <x:v>Fan chronology — Old Republic</x:v>
      </x:c>
      <x:c r="D375" s="51" t="str">
        <x:v>The Hunger Beneath Malachor | Sith Triumvirate Episode 1</x:v>
      </x:c>
      <x:c r="E375" s="50" t="str">
        <x:v>Episode 1</x:v>
      </x:c>
      <x:c r="F375" s="51" t="str">
        <x:v>September 9, 2026</x:v>
      </x:c>
      <x:c r="G375" s="51" t="str">
        <x:v>Fan-made / non-canon</x:v>
      </x:c>
      <x:c r="H375" s="51" t="str">
        <x:v>Fan video</x:v>
      </x:c>
      <x:c r="I375" s="51" t="str">
        <x:v>YouTube — search by title</x:v>
      </x:c>
      <x:c r="J375" s="58" t="e">
        <x:f>HYPERLINK("https://www.youtube.com/results?search_query=The%20Hunger%20Beneath%20Malachor%20%7C%20Sith%20Triumvirate%20Episode%201","Search")</x:f>
        <x:v>HYPERLINK is not implemented. linkLocation=https://www.youtube.com/results?search_query=The%20Hunger%20Beneath%20Malachor%20%7C%20Sith%20Triumvirate%20Episode%201, friendlyName=Search</x:v>
      </x:c>
      <x:c r="K375" s="51" t="str">
        <x:v>Named Old Republic/ancient Sith material.</x:v>
      </x:c>
      <x:c r="L375" s="76" t="str">
        <x:v>Sith Triumvirate</x:v>
      </x:c>
      <x:c r="M375" s="76" t="str">
        <x:v>The Hunger Beneath Malachor | Sith Triumvirate Episode 1</x:v>
      </x:c>
      <x:c r="N375" s="76"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375" s="76" t="str">
        <x:v>Old Republic — Sith legends</x:v>
      </x:c>
      <x:c r="P375" s="76" t="str">
        <x:v>IMG_6420.PNG</x:v>
      </x:c>
      <x:c r="Q375" s="76" t="str">
        <x:v>OCR extracted / placement assigned</x:v>
      </x:c>
      <x:c r="R375" s="76" t="str">
        <x:v>Medium</x:v>
      </x:c>
      <x:c r="S375" s="76" t="str"/>
      <x:c r="T375" s="76" t="str">
        <x:v>Unique</x:v>
      </x:c>
    </x:row>
    <x:row r="376" s="23" customFormat="1" ht="36" customHeight="1">
      <x:c r="A376" s="49" t="b">
        <x:v>0</x:v>
      </x:c>
      <x:c r="B376" s="50" t="str">
        <x:v>FV-0172</x:v>
      </x:c>
      <x:c r="C376" s="51" t="str">
        <x:v>Fan chronology — Old Republic</x:v>
      </x:c>
      <x:c r="D376" s="51" t="str">
        <x:v>DARTH JADUS é HE LIFTS AN ENTIRE WAR MACHINE! | Episode 2</x:v>
      </x:c>
      <x:c r="E376" s="50" t="str">
        <x:v>Episode 2</x:v>
      </x:c>
      <x:c r="F376" s="51" t="str">
        <x:v>September 26, 2026</x:v>
      </x:c>
      <x:c r="G376" s="51" t="str">
        <x:v>Fan-made / non-canon</x:v>
      </x:c>
      <x:c r="H376" s="51" t="str">
        <x:v>Fan video</x:v>
      </x:c>
      <x:c r="I376" s="51" t="str">
        <x:v>YouTube — search by title</x:v>
      </x:c>
      <x:c r="J376" s="58" t="e">
        <x:f>HYPERLINK("https://www.youtube.com/results?search_query=DARTH%20JADUS%20%C3%A9%20HE%20LIFTS%20AN%20ENTIRE%20WAR%20MACHINE!%20%7C%20Episode%202","Search")</x:f>
        <x:v>HYPERLINK is not implemented. linkLocation=https://www.youtube.com/results?search_query=DARTH%20JADUS%20%C3%A9%20HE%20LIFTS%20AN%20ENTIRE%20WAR%20MACHINE!%20%7C%20Episode%202, friendlyName=Search</x:v>
      </x:c>
      <x:c r="K376" s="51" t="str">
        <x:v>Named SWTOR-era character or event.</x:v>
      </x:c>
      <x:c r="L376" s="76" t="str">
        <x:v>DARTH JADUS é HE LIFTS AN ENTIRE WAR MACHINE!</x:v>
      </x:c>
      <x:c r="M376" s="76" t="str">
        <x:v>DARTH JADUS é HE LIFTS AN ENTIRE WAR MACHINE! | Episode 2</x:v>
      </x:c>
      <x:c r="N376" s="76"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376" s="76" t="str">
        <x:v>Old Republic — The Old Republic era</x:v>
      </x:c>
      <x:c r="P376" s="76" t="str">
        <x:v>IMG_6355.PNG</x:v>
      </x:c>
      <x:c r="Q376" s="76" t="str">
        <x:v>OCR extracted / placement assigned</x:v>
      </x:c>
      <x:c r="R376" s="76" t="str">
        <x:v>High</x:v>
      </x:c>
      <x:c r="S376" s="76" t="str"/>
      <x:c r="T376" s="76" t="str">
        <x:v>Unique</x:v>
      </x:c>
    </x:row>
    <x:row r="377" s="23" customFormat="1" ht="36" customHeight="1">
      <x:c r="A377" s="49" t="b">
        <x:v>0</x:v>
      </x:c>
      <x:c r="B377" s="50" t="str">
        <x:v>FV-0168</x:v>
      </x:c>
      <x:c r="C377" s="51" t="str">
        <x:v>Fan chronology — Old Republic</x:v>
      </x:c>
      <x:c r="D377" s="51" t="str">
        <x:v>DARTH JADUS vs DARTH MARR &amp; THE DARK COUNCIL DIVIDED! | Episode 3</x:v>
      </x:c>
      <x:c r="E377" s="50" t="str">
        <x:v>Episode 3</x:v>
      </x:c>
      <x:c r="F377" s="51" t="str">
        <x:v>September 27, 2026</x:v>
      </x:c>
      <x:c r="G377" s="51" t="str">
        <x:v>Fan-made / non-canon</x:v>
      </x:c>
      <x:c r="H377" s="51" t="str">
        <x:v>Fan video</x:v>
      </x:c>
      <x:c r="I377" s="51" t="str">
        <x:v>YouTube — search by title</x:v>
      </x:c>
      <x:c r="J377" s="58" t="e">
        <x:f>HYPERLINK("https://www.youtube.com/results?search_query=DARTH%20JADUS%20vs%20DARTH%20MARR%20%26%20THE%20DARK%20COUNCIL%20DIVIDED!%20%7C%20Episode%203","Search")</x:f>
        <x:v>HYPERLINK is not implemented. linkLocation=https://www.youtube.com/results?search_query=DARTH%20JADUS%20vs%20DARTH%20MARR%20%26%20THE%20DARK%20COUNCIL%20DIVIDED!%20%7C%20Episode%203, friendlyName=Search</x:v>
      </x:c>
      <x:c r="K377" s="51" t="str">
        <x:v>Named SWTOR-era character or event.</x:v>
      </x:c>
      <x:c r="L377" s="76" t="str">
        <x:v>DARTH JADUS vs DARTH MARR &amp; THE DARK COUNCIL DIVIDED!</x:v>
      </x:c>
      <x:c r="M377" s="76" t="str">
        <x:v>DARTH JADUS vs DARTH MARR &amp; THE DARK COUNCIL DIVIDED! | Episode 3</x:v>
      </x:c>
      <x:c r="N377" s="76"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377" s="76" t="str">
        <x:v>Old Republic — The Old Republic era</x:v>
      </x:c>
      <x:c r="P377" s="76" t="str">
        <x:v>IMG_6351.PNG</x:v>
      </x:c>
      <x:c r="Q377" s="76" t="str">
        <x:v>OCR extracted / placement assigned</x:v>
      </x:c>
      <x:c r="R377" s="76" t="str">
        <x:v>High</x:v>
      </x:c>
      <x:c r="S377" s="76" t="str"/>
      <x:c r="T377" s="76" t="str">
        <x:v>Unique</x:v>
      </x:c>
    </x:row>
    <x:row r="378" s="23" customFormat="1" ht="36" customHeight="1">
      <x:c r="A378" s="49" t="b">
        <x:v>0</x:v>
      </x:c>
      <x:c r="B378" s="50" t="str">
        <x:v>FV-0176</x:v>
      </x:c>
      <x:c r="C378" s="51" t="str">
        <x:v>Fan chronology — Old Republic</x:v>
      </x:c>
      <x:c r="D378" s="51" t="str">
        <x:v>DARTH JADUS: AN EPOCH OF FEAR é | Star Wars: The Old Republic #Shorts</x:v>
      </x:c>
      <x:c r="E378" s="50" t="str">
        <x:v>EPOCH</x:v>
      </x:c>
      <x:c r="F378" s="51" t="str">
        <x:v>September 25, 2026</x:v>
      </x:c>
      <x:c r="G378" s="51" t="str">
        <x:v>Fan-made / non-canon</x:v>
      </x:c>
      <x:c r="H378" s="51" t="str">
        <x:v>Fan video</x:v>
      </x:c>
      <x:c r="I378" s="51" t="str">
        <x:v>YouTube — search by title</x:v>
      </x:c>
      <x:c r="J378" s="58" t="e">
        <x:f>HYPERLINK("https://www.youtube.com/results?search_query=DARTH%20JADUS%3A%20AN%20EPOCH%20OF%20FEAR%20%C3%A9%20%7C%20Star%20Wars%3A%20The%20Old%20Republic%20%23Shorts","Search")</x:f>
        <x:v>HYPERLINK is not implemented. linkLocation=https://www.youtube.com/results?search_query=DARTH%20JADUS%3A%20AN%20EPOCH%20OF%20FEAR%20%C3%A9%20%7C%20Star%20Wars%3A%20The%20Old%20Republic%20%23Shorts, friendlyName=Search</x:v>
      </x:c>
      <x:c r="K378" s="51" t="str">
        <x:v>Named SWTOR-era character or event.</x:v>
      </x:c>
      <x:c r="L378" s="76" t="str">
        <x:v>Star Wars: The Old Republic</x:v>
      </x:c>
      <x:c r="M378" s="76" t="str">
        <x:v>DARTH JADUS: AN EPOCH OF FEAR é | Star Wars: The Old Republic #Shorts</x:v>
      </x:c>
      <x:c r="N378" s="76"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378" s="76" t="str">
        <x:v>Old Republic — The Old Republic era</x:v>
      </x:c>
      <x:c r="P378" s="76" t="str">
        <x:v>IMG_6359.PNG</x:v>
      </x:c>
      <x:c r="Q378" s="76" t="str">
        <x:v>OCR extracted / placement assigned</x:v>
      </x:c>
      <x:c r="R378" s="76" t="str">
        <x:v>High</x:v>
      </x:c>
      <x:c r="S378" s="76" t="str"/>
      <x:c r="T378" s="76" t="str">
        <x:v>Unique</x:v>
      </x:c>
    </x:row>
    <x:row r="379" s="23" customFormat="1" ht="36" customHeight="1">
      <x:c r="A379" s="49" t="b">
        <x:v>0</x:v>
      </x:c>
      <x:c r="B379" s="50" t="str">
        <x:v>FV-0266</x:v>
      </x:c>
      <x:c r="C379" s="51" t="str">
        <x:v>Fan chronology — Old Republic</x:v>
      </x:c>
      <x:c r="D379" s="51" t="str">
        <x:v>DARTH MALGUS — BUILD SOMETHING STRONGER</x:v>
      </x:c>
      <x:c r="E379" s="50" t="str"/>
      <x:c r="F379" s="51" t="str">
        <x:v>September 4, 2026</x:v>
      </x:c>
      <x:c r="G379" s="51" t="str">
        <x:v>Fan-made / non-canon</x:v>
      </x:c>
      <x:c r="H379" s="51" t="str">
        <x:v>Fan video</x:v>
      </x:c>
      <x:c r="I379" s="51" t="str">
        <x:v>YouTube — search by title</x:v>
      </x:c>
      <x:c r="J379" s="58" t="e">
        <x:f>HYPERLINK("https://www.youtube.com/results?search_query=DARTH%20MALGUS%20%E2%80%94%20BUILD%20SOMETHING%20STRONGER","Search")</x:f>
        <x:v>HYPERLINK is not implemented. linkLocation=https://www.youtube.com/results?search_query=DARTH%20MALGUS%20%E2%80%94%20BUILD%20SOMETHING%20STRONGER, friendlyName=Search</x:v>
      </x:c>
      <x:c r="K379" s="51" t="str">
        <x:v>Named SWTOR-era character or event.</x:v>
      </x:c>
      <x:c r="L379" s="76" t="str"/>
      <x:c r="M379" s="76" t="str">
        <x:v>DARTH MALGUS — BUILD SOMETHING STRONGER</x:v>
      </x:c>
      <x:c r="N379" s="76"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379" s="76" t="str">
        <x:v>Old Republic — The Old Republic era</x:v>
      </x:c>
      <x:c r="P379" s="76" t="str">
        <x:v>IMG_6451.PNG</x:v>
      </x:c>
      <x:c r="Q379" s="76" t="str">
        <x:v>OCR extracted / placement assigned</x:v>
      </x:c>
      <x:c r="R379" s="76" t="str">
        <x:v>High</x:v>
      </x:c>
      <x:c r="S379" s="76" t="str"/>
      <x:c r="T379" s="76" t="str">
        <x:v>Unique</x:v>
      </x:c>
    </x:row>
    <x:row r="380" s="23" customFormat="1" ht="36" customHeight="1">
      <x:c r="A380" s="49" t="b">
        <x:v>0</x:v>
      </x:c>
      <x:c r="B380" s="50" t="str">
        <x:v>FV-0361</x:v>
      </x:c>
      <x:c r="C380" s="51" t="str">
        <x:v>Fan chronology — Old Republic</x:v>
      </x:c>
      <x:c r="D380" s="51" t="str">
        <x:v>Darth Malgus Arrives — And the Entire Battle Turns</x:v>
      </x:c>
      <x:c r="E380" s="50" t="str"/>
      <x:c r="F380" s="51" t="str">
        <x:v>August 25, 2026</x:v>
      </x:c>
      <x:c r="G380" s="51" t="str">
        <x:v>Fan-made / non-canon</x:v>
      </x:c>
      <x:c r="H380" s="51" t="str">
        <x:v>Fan video</x:v>
      </x:c>
      <x:c r="I380" s="51" t="str">
        <x:v>YouTube — search by title</x:v>
      </x:c>
      <x:c r="J380" s="58" t="e">
        <x:f>HYPERLINK("https://www.youtube.com/results?search_query=Darth%20Malgus%20Arrives%20%E2%80%94%20And%20the%20Entire%20Battle%20Turns","Search")</x:f>
        <x:v>HYPERLINK is not implemented. linkLocation=https://www.youtube.com/results?search_query=Darth%20Malgus%20Arrives%20%E2%80%94%20And%20the%20Entire%20Battle%20Turns, friendlyName=Search</x:v>
      </x:c>
      <x:c r="K380" s="51" t="str">
        <x:v>Named SWTOR-era character or event.</x:v>
      </x:c>
      <x:c r="L380" s="76" t="str"/>
      <x:c r="M380" s="76" t="str">
        <x:v>Darth Malgus Arrives — And the Entire Battle Turns</x:v>
      </x:c>
      <x:c r="N380" s="76"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380" s="76" t="str">
        <x:v>Old Republic — The Old Republic era</x:v>
      </x:c>
      <x:c r="P380" s="76" t="str">
        <x:v>IMG_6547.PNG</x:v>
      </x:c>
      <x:c r="Q380" s="76" t="str">
        <x:v>OCR extracted / placement assigned</x:v>
      </x:c>
      <x:c r="R380" s="76" t="str">
        <x:v>High</x:v>
      </x:c>
      <x:c r="S380" s="76" t="str"/>
      <x:c r="T380" s="76" t="str">
        <x:v>Unique</x:v>
      </x:c>
    </x:row>
    <x:row r="381" s="23" customFormat="1" ht="36" customHeight="1">
      <x:c r="A381" s="49" t="b">
        <x:v>0</x:v>
      </x:c>
      <x:c r="B381" s="50" t="str">
        <x:v>FV-0157</x:v>
      </x:c>
      <x:c r="C381" s="51" t="str">
        <x:v>Fan chronology — Old Republic</x:v>
      </x:c>
      <x:c r="D381" s="51" t="str">
        <x:v>Darth Traya — Three Blades, One Will « | Star Wars: The Old Republic Era</x:v>
      </x:c>
      <x:c r="E381" s="50" t="str"/>
      <x:c r="F381" s="51" t="str">
        <x:v>September 29, 2026</x:v>
      </x:c>
      <x:c r="G381" s="51" t="str">
        <x:v>Fan-made / non-canon</x:v>
      </x:c>
      <x:c r="H381" s="51" t="str">
        <x:v>Fan video</x:v>
      </x:c>
      <x:c r="I381" s="51" t="str">
        <x:v>YouTube — search by title</x:v>
      </x:c>
      <x:c r="J381" s="58" t="e">
        <x:f>HYPERLINK("https://www.youtube.com/results?search_query=Darth%20Traya%20%E2%80%94%20Three%20Blades%2C%20One%20Will%20%C2%AB%20%7C%20Star%20Wars%3A%20The%20Old%20Republic%20Era","Search")</x:f>
        <x:v>HYPERLINK is not implemented. linkLocation=https://www.youtube.com/results?search_query=Darth%20Traya%20%E2%80%94%20Three%20Blades%2C%20One%20Will%20%C2%AB%20%7C%20Star%20Wars%3A%20The%20Old%20Republic%20Era, friendlyName=Search</x:v>
      </x:c>
      <x:c r="K381" s="51" t="str">
        <x:v>Named SWTOR-era character or event.</x:v>
      </x:c>
      <x:c r="L381" s="76" t="str">
        <x:v>Star Wars: The Old Republic</x:v>
      </x:c>
      <x:c r="M381" s="76" t="str">
        <x:v>Darth Traya — Three Blades, One Will « | Star Wars: The Old Republic Era</x:v>
      </x:c>
      <x:c r="N381" s="76"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381" s="76" t="str">
        <x:v>Old Republic — The Old Republic era</x:v>
      </x:c>
      <x:c r="P381" s="76" t="str">
        <x:v>IMG_6340.PNG</x:v>
      </x:c>
      <x:c r="Q381" s="76" t="str">
        <x:v>OCR extracted / placement assigned</x:v>
      </x:c>
      <x:c r="R381" s="76" t="str">
        <x:v>High</x:v>
      </x:c>
      <x:c r="S381" s="76" t="str"/>
      <x:c r="T381" s="76" t="str">
        <x:v>Unique</x:v>
      </x:c>
    </x:row>
    <x:row r="382" s="23" customFormat="1" ht="36" customHeight="1">
      <x:c r="A382" s="49" t="b">
        <x:v>0</x:v>
      </x:c>
      <x:c r="B382" s="50" t="str">
        <x:v>FV-0170</x:v>
      </x:c>
      <x:c r="C382" s="51" t="str">
        <x:v>Fan chronology — Old Republic</x:v>
      </x:c>
      <x:c r="D382" s="51" t="str">
        <x:v>DARTH VITIATE é YOU CANNOT DEFEAT THE SITH EMPEROR! | Episode 1</x:v>
      </x:c>
      <x:c r="E382" s="50" t="str">
        <x:v>Episode 1</x:v>
      </x:c>
      <x:c r="F382" s="51" t="str">
        <x:v>September 26, 2026</x:v>
      </x:c>
      <x:c r="G382" s="51" t="str">
        <x:v>Fan-made / non-canon</x:v>
      </x:c>
      <x:c r="H382" s="51" t="str">
        <x:v>Fan video</x:v>
      </x:c>
      <x:c r="I382" s="51" t="str">
        <x:v>YouTube — search by title</x:v>
      </x:c>
      <x:c r="J382" s="58" t="e">
        <x:f>HYPERLINK("https://www.youtube.com/results?search_query=DARTH%20VITIATE%20%C3%A9%20YOU%20CANNOT%20DEFEAT%20THE%20SITH%20EMPEROR!%20%7C%20Episode%201","Search")</x:f>
        <x:v>HYPERLINK is not implemented. linkLocation=https://www.youtube.com/results?search_query=DARTH%20VITIATE%20%C3%A9%20YOU%20CANNOT%20DEFEAT%20THE%20SITH%20EMPEROR!%20%7C%20Episode%201, friendlyName=Search</x:v>
      </x:c>
      <x:c r="K382" s="51" t="str">
        <x:v>Named SWTOR-era character or event.</x:v>
      </x:c>
      <x:c r="L382" s="76" t="str">
        <x:v>DARTH VITIATE é YOU CANNOT DEFEAT THE SITH EMPEROR!</x:v>
      </x:c>
      <x:c r="M382" s="76" t="str">
        <x:v>DARTH VITIATE é YOU CANNOT DEFEAT THE SITH EMPEROR! | Episode 1</x:v>
      </x:c>
      <x:c r="N382" s="76"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382" s="76" t="str">
        <x:v>Old Republic — The Old Republic era</x:v>
      </x:c>
      <x:c r="P382" s="76" t="str">
        <x:v>IMG_6353.PNG</x:v>
      </x:c>
      <x:c r="Q382" s="76" t="str">
        <x:v>OCR extracted / placement assigned</x:v>
      </x:c>
      <x:c r="R382" s="76" t="str">
        <x:v>High</x:v>
      </x:c>
      <x:c r="S382" s="76" t="str"/>
      <x:c r="T382" s="76" t="str">
        <x:v>Unique</x:v>
      </x:c>
    </x:row>
    <x:row r="383" s="23" customFormat="1" ht="36" customHeight="1">
      <x:c r="A383" s="49" t="b">
        <x:v>0</x:v>
      </x:c>
      <x:c r="B383" s="56" t="str">
        <x:v>FV-0177</x:v>
      </x:c>
      <x:c r="C383" s="53" t="str">
        <x:v>Fan chronology — Old Republic</x:v>
      </x:c>
      <x:c r="D383" s="53" t="str">
        <x:v>QUI-GON JINN vs KHEM VAL é The Jedi Devourer | Star Wars #Shorts</x:v>
      </x:c>
      <x:c r="E383" s="53" t="str"/>
      <x:c r="F383" s="53" t="str">
        <x:v>September 25, 2026</x:v>
      </x:c>
      <x:c r="G383" s="53" t="str">
        <x:v>Fan-made / non-canon</x:v>
      </x:c>
      <x:c r="H383" s="53" t="str">
        <x:v>Fan video</x:v>
      </x:c>
      <x:c r="I383" s="53" t="str">
        <x:v>YouTube — search by title</x:v>
      </x:c>
      <x:c r="J383" s="59" t="e">
        <x:f>HYPERLINK("https://www.youtube.com/results?search_query=QUI-GON%20JINN%20vs%20KHEM%20VAL%20%C3%A9%20The%20Jedi%20Devourer%20%7C%20Star%20Wars%20%23Shorts","Search")</x:f>
        <x:v>HYPERLINK is not implemented. linkLocation=https://www.youtube.com/results?search_query=QUI-GON%20JINN%20vs%20KHEM%20VAL%20%C3%A9%20The%20Jedi%20Devourer%20%7C%20Star%20Wars%20%23Shorts, friendlyName=Search</x:v>
      </x:c>
      <x:c r="K383" s="53" t="str">
        <x:v>Named SWTOR-era character or event.</x:v>
      </x:c>
      <x:c r="L383" s="76" t="str"/>
      <x:c r="M383" s="76" t="str">
        <x:v>QUI-GON JINN vs KHEM VAL é The Jedi Devourer | Star Wars #Shorts</x:v>
      </x:c>
      <x:c r="N383" s="76" t="str">
        <x:v>What happens when Qui-Gon Jinn faces an enemy
who can resist the Force?
Deep inside an ancient Sith tomb, Khem Val—the
terrifying Dashade known as the Jedi Devourer—
charges into battle. When a Force push barely slows
him down, the Jedi must use the tomb itself to
survive.
But Khem Val is still hungry...
Who takes this fight?
A fan-made, Al-generated Star Wars: The Old
Republic crossover. Not an official Star Wars
production.</x:v>
      </x:c>
      <x:c r="O383" s="76" t="str">
        <x:v>Old Republic — The Old Republic era</x:v>
      </x:c>
      <x:c r="P383" s="76" t="str">
        <x:v>IMG_6360.PNG</x:v>
      </x:c>
      <x:c r="Q383" s="76" t="str">
        <x:v>OCR extracted / placement assigned</x:v>
      </x:c>
      <x:c r="R383" s="76" t="str">
        <x:v>High</x:v>
      </x:c>
      <x:c r="S383" s="76" t="str"/>
      <x:c r="T383" s="76" t="str">
        <x:v>Unique</x:v>
      </x:c>
    </x:row>
    <x:row r="384" s="23" customFormat="1" ht="36" customHeight="1">
      <x:c r="A384" s="49" t="b">
        <x:v>0</x:v>
      </x:c>
      <x:c r="B384" s="56" t="str">
        <x:v>FV-0122</x:v>
      </x:c>
      <x:c r="C384" s="53" t="str">
        <x:v>Fan chronology — Old Republic</x:v>
      </x:c>
      <x:c r="D384" s="53" t="str">
        <x:v>Satele Shan — “Now We Can Talk” | Star Wars: The Old Republic</x:v>
      </x:c>
      <x:c r="E384" s="53" t="str"/>
      <x:c r="F384" s="53" t="str">
        <x:v>October 2, 2026</x:v>
      </x:c>
      <x:c r="G384" s="53" t="str">
        <x:v>Fan-made / non-canon</x:v>
      </x:c>
      <x:c r="H384" s="53" t="str">
        <x:v>Fan video</x:v>
      </x:c>
      <x:c r="I384" s="53" t="str">
        <x:v>YouTube — search by title</x:v>
      </x:c>
      <x:c r="J384" s="59" t="e">
        <x:f>HYPERLINK("https://www.youtube.com/results?search_query=Satele%20Shan%20%E2%80%94%20%E2%80%9CNow%20We%20Can%20Talk%E2%80%9D%20%7C%20Star%20Wars%3A%20The%20Old%20Republic","Search")</x:f>
        <x:v>HYPERLINK is not implemented. linkLocation=https://www.youtube.com/results?search_query=Satele%20Shan%20%E2%80%94%20%E2%80%9CNow%20We%20Can%20Talk%E2%80%9D%20%7C%20Star%20Wars%3A%20The%20Old%20Republic, friendlyName=Search</x:v>
      </x:c>
      <x:c r="K384" s="53" t="str">
        <x:v>Named SWTOR-era character or event.</x:v>
      </x:c>
      <x:c r="L384" s="76" t="str">
        <x:v>Star Wars: The Old Republic</x:v>
      </x:c>
      <x:c r="M384" s="76" t="str">
        <x:v>Satele Shan — “Now We Can Talk” | Star Wars: The Old Republic</x:v>
      </x:c>
      <x:c r="N384" s="76"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384" s="76" t="str">
        <x:v>Old Republic — The Old Republic era</x:v>
      </x:c>
      <x:c r="P384" s="76" t="str">
        <x:v>IMG_6305.PNG</x:v>
      </x:c>
      <x:c r="Q384" s="76" t="str">
        <x:v>OCR extracted / placement assigned</x:v>
      </x:c>
      <x:c r="R384" s="76" t="str">
        <x:v>High</x:v>
      </x:c>
      <x:c r="S384" s="76" t="str"/>
      <x:c r="T384" s="76" t="str">
        <x:v>Unique</x:v>
      </x:c>
    </x:row>
    <x:row r="385" s="23" customFormat="1" ht="36" customHeight="1">
      <x:c r="A385" s="49" t="b">
        <x:v>0</x:v>
      </x:c>
      <x:c r="B385" s="56" t="str">
        <x:v>FV-0050</x:v>
      </x:c>
      <x:c r="C385" s="53" t="str">
        <x:v>Fan chronology — Old Republic</x:v>
      </x:c>
      <x:c r="D385" s="53" t="str">
        <x:v>Satele Shan vs Darth Malgus | She Turns His Power Against Him | Star Wars: The Old Republic</x:v>
      </x:c>
      <x:c r="E385" s="53" t="str"/>
      <x:c r="F385" s="53" t="str">
        <x:v>October 10, 2026</x:v>
      </x:c>
      <x:c r="G385" s="53" t="str">
        <x:v>Fan-made / non-canon</x:v>
      </x:c>
      <x:c r="H385" s="53" t="str">
        <x:v>Fan video</x:v>
      </x:c>
      <x:c r="I385" s="53" t="str">
        <x:v>YouTube — search by title</x:v>
      </x:c>
      <x:c r="J385" s="59" t="e">
        <x:f>HYPERLINK("https://www.youtube.com/results?search_query=Satele%20Shan%20vs%20Darth%20Malgus%20%7C%20She%20Turns%20His%20Power%20Against%20Him%20%7C%20Star%20Wars%3A%20The%20Old%20Republic","Search")</x:f>
        <x:v>HYPERLINK is not implemented. linkLocation=https://www.youtube.com/results?search_query=Satele%20Shan%20vs%20Darth%20Malgus%20%7C%20She%20Turns%20His%20Power%20Against%20Him%20%7C%20Star%20Wars%3A%20The%20Old%20Republic, friendlyName=Search</x:v>
      </x:c>
      <x:c r="K385" s="53" t="str">
        <x:v>Named SWTOR-era character or event.</x:v>
      </x:c>
      <x:c r="L385" s="76" t="str">
        <x:v>Star Wars: The Old Republic</x:v>
      </x:c>
      <x:c r="M385" s="76" t="str">
        <x:v>Satele Shan vs Darth Malgus | She Turns His Power Against Him | Star Wars: The Old Republic</x:v>
      </x:c>
      <x:c r="N385" s="76"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385" s="76" t="str">
        <x:v>Old Republic — The Old Republic era</x:v>
      </x:c>
      <x:c r="P385" s="76" t="str">
        <x:v>IMG_6233.PNG</x:v>
      </x:c>
      <x:c r="Q385" s="76" t="str">
        <x:v>OCR extracted / placement assigned</x:v>
      </x:c>
      <x:c r="R385" s="76" t="str">
        <x:v>High</x:v>
      </x:c>
      <x:c r="S385" s="76" t="str"/>
      <x:c r="T385" s="76" t="str">
        <x:v>Unique</x:v>
      </x:c>
    </x:row>
    <x:row r="386" s="23" customFormat="1" ht="36" customHeight="1">
      <x:c r="A386" s="49" t="b">
        <x:v>0</x:v>
      </x:c>
      <x:c r="B386" s="56" t="str">
        <x:v>FV-0183</x:v>
      </x:c>
      <x:c r="C386" s="53" t="str">
        <x:v>Fan chronology — Old Republic</x:v>
      </x:c>
      <x:c r="D386" s="53" t="str">
        <x:v>STAR WARS: THE OLD REPUBLIC — CORELLIA &amp; Episode 1: The City Fights Back</x:v>
      </x:c>
      <x:c r="E386" s="53" t="str">
        <x:v>Episode 1</x:v>
      </x:c>
      <x:c r="F386" s="53" t="str">
        <x:v>September 24, 2026</x:v>
      </x:c>
      <x:c r="G386" s="53" t="str">
        <x:v>Fan-made / non-canon</x:v>
      </x:c>
      <x:c r="H386" s="53" t="str">
        <x:v>Fan video</x:v>
      </x:c>
      <x:c r="I386" s="53" t="str">
        <x:v>YouTube — search by title</x:v>
      </x:c>
      <x:c r="J386" s="59" t="e">
        <x:f>HYPERLINK("https://www.youtube.com/results?search_query=STAR%20WARS%3A%20THE%20OLD%20REPUBLIC%20%E2%80%94%20CORELLIA%20%26%20Episode%201%3A%20The%20City%20Fights%20Back","Search")</x:f>
        <x:v>HYPERLINK is not implemented. linkLocation=https://www.youtube.com/results?search_query=STAR%20WARS%3A%20THE%20OLD%20REPUBLIC%20%E2%80%94%20CORELLIA%20%26%20Episode%201%3A%20The%20City%20Fights%20Back, friendlyName=Search</x:v>
      </x:c>
      <x:c r="K386" s="53" t="str">
        <x:v>Named SWTOR-era character or event.</x:v>
      </x:c>
      <x:c r="L386" s="76" t="str">
        <x:v>Star Wars: The Old Republic</x:v>
      </x:c>
      <x:c r="M386" s="76" t="str">
        <x:v>STAR WARS: THE OLD REPUBLIC — CORELLIA &amp; Episode 1: The City Fights Back</x:v>
      </x:c>
      <x:c r="N386" s="76"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386" s="76" t="str">
        <x:v>Old Republic — The Old Republic era</x:v>
      </x:c>
      <x:c r="P386" s="76" t="str">
        <x:v>IMG_6366.PNG</x:v>
      </x:c>
      <x:c r="Q386" s="76" t="str">
        <x:v>OCR extracted / placement assigned</x:v>
      </x:c>
      <x:c r="R386" s="76" t="str">
        <x:v>High</x:v>
      </x:c>
      <x:c r="S386" s="76" t="str"/>
      <x:c r="T386" s="76" t="str">
        <x:v>Unique</x:v>
      </x:c>
    </x:row>
    <x:row r="387" s="23" customFormat="1" ht="36" customHeight="1">
      <x:c r="A387" s="49" t="b">
        <x:v>0</x:v>
      </x:c>
      <x:c r="B387" s="56" t="str">
        <x:v>FV-0365</x:v>
      </x:c>
      <x:c r="C387" s="53" t="str">
        <x:v>Fan chronology — Old Republic</x:v>
      </x:c>
      <x:c r="D387" s="53" t="str">
        <x:v>Tenebrae. Vitiate. Valkorion. Three Faces of the Immortal Emperor</x:v>
      </x:c>
      <x:c r="E387" s="53" t="str"/>
      <x:c r="F387" s="53" t="str">
        <x:v>August 25, 2026</x:v>
      </x:c>
      <x:c r="G387" s="53" t="str">
        <x:v>Fan-made / non-canon</x:v>
      </x:c>
      <x:c r="H387" s="53" t="str">
        <x:v>Fan video</x:v>
      </x:c>
      <x:c r="I387" s="53" t="str">
        <x:v>YouTube — search by title</x:v>
      </x:c>
      <x:c r="J387" s="59" t="e">
        <x:f>HYPERLINK("https://www.youtube.com/results?search_query=Tenebrae.%20Vitiate.%20Valkorion.%20Three%20Faces%20of%20the%20Immortal%20Emperor","Search")</x:f>
        <x:v>HYPERLINK is not implemented. linkLocation=https://www.youtube.com/results?search_query=Tenebrae.%20Vitiate.%20Valkorion.%20Three%20Faces%20of%20the%20Immortal%20Emperor, friendlyName=Search</x:v>
      </x:c>
      <x:c r="K387" s="53" t="str">
        <x:v>Story centers on Tenebrae, Vitiate, or Valkorion.</x:v>
      </x:c>
      <x:c r="L387" s="76" t="str"/>
      <x:c r="M387" s="76" t="str">
        <x:v>Tenebrae. Vitiate. Valkorion. Three Faces of the Immortal Emperor</x:v>
      </x:c>
      <x:c r="N387" s="76"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387" s="76" t="str">
        <x:v>Old Republic — Vitiate/Valkorion era</x:v>
      </x:c>
      <x:c r="P387" s="76" t="str">
        <x:v>IMG_6551.PNG</x:v>
      </x:c>
      <x:c r="Q387" s="76" t="str">
        <x:v>OCR extracted / placement assigned</x:v>
      </x:c>
      <x:c r="R387" s="76" t="str">
        <x:v>High</x:v>
      </x:c>
      <x:c r="S387" s="76" t="str"/>
      <x:c r="T387" s="76" t="str">
        <x:v>Unique</x:v>
      </x:c>
    </x:row>
    <x:row r="388" s="23" customFormat="1" ht="36" customHeight="1">
      <x:c r="A388" s="49" t="b">
        <x:v>0</x:v>
      </x:c>
      <x:c r="B388" s="56" t="str">
        <x:v>FV-0307</x:v>
      </x:c>
      <x:c r="C388" s="53" t="str">
        <x:v>Fan chronology — Old Republic</x:v>
      </x:c>
      <x:c r="D388" s="53" t="str">
        <x:v>The Thing That Remembered Him | The Valkorion Chronicles — Episode 5</x:v>
      </x:c>
      <x:c r="E388" s="53" t="str">
        <x:v>Episode 5</x:v>
      </x:c>
      <x:c r="F388" s="53" t="str">
        <x:v>August 31, 2026</x:v>
      </x:c>
      <x:c r="G388" s="53" t="str">
        <x:v>Fan-made / non-canon</x:v>
      </x:c>
      <x:c r="H388" s="53" t="str">
        <x:v>Fan video</x:v>
      </x:c>
      <x:c r="I388" s="53" t="str">
        <x:v>YouTube — search by title</x:v>
      </x:c>
      <x:c r="J388" s="59" t="e">
        <x:f>HYPERLINK("https://www.youtube.com/results?search_query=The%20Thing%20That%20Remembered%20Him%20%7C%20The%20Valkorion%20Chronicles%20%E2%80%94%20Episode%205","Search")</x:f>
        <x:v>HYPERLINK is not implemented. linkLocation=https://www.youtube.com/results?search_query=The%20Thing%20That%20Remembered%20Him%20%7C%20The%20Valkorion%20Chronicles%20%E2%80%94%20Episode%205, friendlyName=Search</x:v>
      </x:c>
      <x:c r="K388" s="53" t="str">
        <x:v>Story centers on Tenebrae, Vitiate, or Valkorion.</x:v>
      </x:c>
      <x:c r="L388" s="76" t="str">
        <x:v>The Valkorion Chronicles</x:v>
      </x:c>
      <x:c r="M388" s="76" t="str">
        <x:v>The Thing That Remembered Him | The Valkorion Chronicles — Episode 5</x:v>
      </x:c>
      <x:c r="N388" s="76"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388" s="76" t="str">
        <x:v>Old Republic — Vitiate/Valkorion era</x:v>
      </x:c>
      <x:c r="P388" s="76" t="str">
        <x:v>IMG_6493.PNG</x:v>
      </x:c>
      <x:c r="Q388" s="76" t="str">
        <x:v>OCR extracted / placement assigned</x:v>
      </x:c>
      <x:c r="R388" s="76" t="str">
        <x:v>High</x:v>
      </x:c>
      <x:c r="S388" s="76" t="str"/>
      <x:c r="T388" s="76" t="str">
        <x:v>Unique</x:v>
      </x:c>
    </x:row>
    <x:row r="389" s="23" customFormat="1" ht="36" customHeight="1">
      <x:c r="A389" s="49" t="b">
        <x:v>0</x:v>
      </x:c>
      <x:c r="B389" s="56" t="str">
        <x:v>FV-0295</x:v>
      </x:c>
      <x:c r="C389" s="53" t="str">
        <x:v>Fan chronology — Old Republic</x:v>
      </x:c>
      <x:c r="D389" s="53" t="str">
        <x:v>The Valkorion Chronicles: The City That Called Him Tenebrae | Episode 7</x:v>
      </x:c>
      <x:c r="E389" s="53" t="str">
        <x:v>Episode 7</x:v>
      </x:c>
      <x:c r="F389" s="53" t="str">
        <x:v>September 3, 2026</x:v>
      </x:c>
      <x:c r="G389" s="53" t="str">
        <x:v>Fan-made / non-canon</x:v>
      </x:c>
      <x:c r="H389" s="53" t="str">
        <x:v>Fan video</x:v>
      </x:c>
      <x:c r="I389" s="53" t="str">
        <x:v>YouTube — search by title</x:v>
      </x:c>
      <x:c r="J389" s="59" t="e">
        <x:f>HYPERLINK("https://www.youtube.com/results?search_query=The%20Valkorion%20Chronicles%3A%20The%20City%20That%20Called%20Him%20Tenebrae%20%7C%20Episode%207","Search")</x:f>
        <x:v>HYPERLINK is not implemented. linkLocation=https://www.youtube.com/results?search_query=The%20Valkorion%20Chronicles%3A%20The%20City%20That%20Called%20Him%20Tenebrae%20%7C%20Episode%207, friendlyName=Search</x:v>
      </x:c>
      <x:c r="K389" s="53" t="str">
        <x:v>Story centers on Tenebrae, Vitiate, or Valkorion.</x:v>
      </x:c>
      <x:c r="L389" s="76" t="str">
        <x:v>The Valkorion Chronicles</x:v>
      </x:c>
      <x:c r="M389" s="76" t="str">
        <x:v>The Valkorion Chronicles: The City That Called Him Tenebrae | Episode 7</x:v>
      </x:c>
      <x:c r="N389" s="76"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389" s="76" t="str">
        <x:v>Old Republic — Vitiate/Valkorion era</x:v>
      </x:c>
      <x:c r="P389" s="76" t="str">
        <x:v>IMG_6480.PNG</x:v>
      </x:c>
      <x:c r="Q389" s="76" t="str">
        <x:v>OCR extracted / placement assigned</x:v>
      </x:c>
      <x:c r="R389" s="76" t="str">
        <x:v>High</x:v>
      </x:c>
      <x:c r="S389" s="76" t="str"/>
      <x:c r="T389" s="76" t="str">
        <x:v>Unique</x:v>
      </x:c>
    </x:row>
    <x:row r="390" s="23" customFormat="1" ht="36" customHeight="1">
      <x:c r="A390" s="49" t="b">
        <x:v>0</x:v>
      </x:c>
      <x:c r="B390" s="56" t="str">
        <x:v>FV-0367</x:v>
      </x:c>
      <x:c r="C390" s="53" t="str">
        <x:v>Fan chronology — Old Republic</x:v>
      </x:c>
      <x:c r="D390" s="53" t="str">
        <x:v>They Built a Prison Above Something Worse... | Belsavis Chronicles</x:v>
      </x:c>
      <x:c r="E390" s="53" t="str"/>
      <x:c r="F390" s="53" t="str">
        <x:v>August 25, 2026</x:v>
      </x:c>
      <x:c r="G390" s="53" t="str">
        <x:v>Fan-made / non-canon</x:v>
      </x:c>
      <x:c r="H390" s="53" t="str">
        <x:v>Fan video</x:v>
      </x:c>
      <x:c r="I390" s="53" t="str">
        <x:v>YouTube — search by title</x:v>
      </x:c>
      <x:c r="J390" s="59" t="e">
        <x:f>HYPERLINK("https://www.youtube.com/results?search_query=They%20Built%20a%20Prison%20Above%20Something%20Worse...%20%7C%20Belsavis%20Chronicles","Search")</x:f>
        <x:v>HYPERLINK is not implemented. linkLocation=https://www.youtube.com/results?search_query=They%20Built%20a%20Prison%20Above%20Something%20Worse...%20%7C%20Belsavis%20Chronicles, friendlyName=Search</x:v>
      </x:c>
      <x:c r="K390" s="53" t="str">
        <x:v>Story centers on Tenebrae, Vitiate, or Valkorion.</x:v>
      </x:c>
      <x:c r="L390" s="76" t="str">
        <x:v>Belsavis Chronicles</x:v>
      </x:c>
      <x:c r="M390" s="76" t="str">
        <x:v>They Built a Prison Above Something Worse... | Belsavis Chronicles</x:v>
      </x:c>
      <x:c r="N390" s="76"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390" s="76" t="str">
        <x:v>Old Republic — Vitiate/Valkorion era</x:v>
      </x:c>
      <x:c r="P390" s="76" t="str">
        <x:v>IMG_6553.PNG</x:v>
      </x:c>
      <x:c r="Q390" s="76" t="str">
        <x:v>OCR extracted / placement assigned</x:v>
      </x:c>
      <x:c r="R390" s="76" t="str">
        <x:v>High</x:v>
      </x:c>
      <x:c r="S390" s="76" t="str"/>
      <x:c r="T390" s="76" t="str">
        <x:v>Unique</x:v>
      </x:c>
    </x:row>
    <x:row r="391" s="23" customFormat="1" ht="36" customHeight="1">
      <x:c r="A391" s="49" t="b">
        <x:v>0</x:v>
      </x:c>
      <x:c r="B391" s="56" t="str">
        <x:v>FV-0325</x:v>
      </x:c>
      <x:c r="C391" s="53" t="str">
        <x:v>Fan chronology — Old Republic</x:v>
      </x:c>
      <x:c r="D391" s="53" t="str">
        <x:v>Valkorion Chronicles — Chapter 4: “You Did.”</x:v>
      </x:c>
      <x:c r="E391" s="53" t="str">
        <x:v>Chapter 4</x:v>
      </x:c>
      <x:c r="F391" s="53" t="str">
        <x:v>August 29, 2026</x:v>
      </x:c>
      <x:c r="G391" s="53" t="str">
        <x:v>Fan-made / non-canon</x:v>
      </x:c>
      <x:c r="H391" s="53" t="str">
        <x:v>Fan video</x:v>
      </x:c>
      <x:c r="I391" s="53" t="str">
        <x:v>YouTube — search by title</x:v>
      </x:c>
      <x:c r="J391" s="59" t="e">
        <x:f>HYPERLINK("https://www.youtube.com/results?search_query=Valkorion%20Chronicles%20%E2%80%94%20Chapter%204%3A%20%E2%80%9CYou%20Did.%E2%80%9D","Search")</x:f>
        <x:v>HYPERLINK is not implemented. linkLocation=https://www.youtube.com/results?search_query=Valkorion%20Chronicles%20%E2%80%94%20Chapter%204%3A%20%E2%80%9CYou%20Did.%E2%80%9D, friendlyName=Search</x:v>
      </x:c>
      <x:c r="K391" s="53" t="str">
        <x:v>Story centers on Tenebrae, Vitiate, or Valkorion.</x:v>
      </x:c>
      <x:c r="L391" s="76" t="str">
        <x:v>Valkorion Chronicles</x:v>
      </x:c>
      <x:c r="M391" s="76" t="str">
        <x:v>Valkorion Chronicles — Chapter 4: “You Did.”</x:v>
      </x:c>
      <x:c r="N391" s="76" t="str">
        <x:v>Cash App: $brednew
PayPal: @blainehenry688
Valkorion returned to a chamber he believed had
been buried forever.
Waiting inside was a mysterious lightsaber he had
never seen.
He asked one question:
“Who put this here?”
The answer from the darkness was impossible.
“You did."</x:v>
      </x:c>
      <x:c r="O391" s="76" t="str">
        <x:v>Old Republic — Vitiate/Valkorion era</x:v>
      </x:c>
      <x:c r="P391" s="76" t="str">
        <x:v>IMG_6511.PNG</x:v>
      </x:c>
      <x:c r="Q391" s="76" t="str">
        <x:v>OCR extracted / placement assigned</x:v>
      </x:c>
      <x:c r="R391" s="76" t="str">
        <x:v>High</x:v>
      </x:c>
      <x:c r="S391" s="76" t="str"/>
      <x:c r="T391" s="76" t="str">
        <x:v>Unique</x:v>
      </x:c>
    </x:row>
    <x:row r="392" s="23" customFormat="1" ht="36" customHeight="1">
      <x:c r="A392" s="49" t="b">
        <x:v>0</x:v>
      </x:c>
      <x:c r="B392" s="56" t="str">
        <x:v>FV-0338</x:v>
      </x:c>
      <x:c r="C392" s="53" t="str">
        <x:v>Fan chronology — Old Republic</x:v>
      </x:c>
      <x:c r="D392" s="53" t="str">
        <x:v>VALKORION CHRONICLES — The Emperor's Darkest Secret |</x:v>
      </x:c>
      <x:c r="E392" s="53" t="str"/>
      <x:c r="F392" s="53" t="str">
        <x:v>August 28, 2026</x:v>
      </x:c>
      <x:c r="G392" s="53" t="str">
        <x:v>Fan-made / non-canon</x:v>
      </x:c>
      <x:c r="H392" s="53" t="str">
        <x:v>Fan video</x:v>
      </x:c>
      <x:c r="I392" s="53" t="str">
        <x:v>YouTube — search by title</x:v>
      </x:c>
      <x:c r="J392" s="59" t="e">
        <x:f>HYPERLINK("https://www.youtube.com/results?search_query=VALKORION%20CHRONICLES%20%E2%80%94%20The%20Emperor's%20Darkest%20Secret%20%7C","Search")</x:f>
        <x:v>HYPERLINK is not implemented. linkLocation=https://www.youtube.com/results?search_query=VALKORION%20CHRONICLES%20%E2%80%94%20The%20Emperor's%20Darkest%20Secret%20%7C, friendlyName=Search</x:v>
      </x:c>
      <x:c r="K392" s="53" t="str">
        <x:v>Story centers on Tenebrae, Vitiate, or Valkorion.</x:v>
      </x:c>
      <x:c r="L392" s="76" t="str">
        <x:v>Valkorion Chronicles</x:v>
      </x:c>
      <x:c r="M392" s="76" t="str">
        <x:v>VALKORION CHRONICLES — The Emperor's Darkest Secret |</x:v>
      </x:c>
      <x:c r="N392" s="76"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392" s="76" t="str">
        <x:v>Old Republic — Vitiate/Valkorion era</x:v>
      </x:c>
      <x:c r="P392" s="76" t="str">
        <x:v>IMG_6524.PNG</x:v>
      </x:c>
      <x:c r="Q392" s="76" t="str">
        <x:v>OCR extracted / placement assigned</x:v>
      </x:c>
      <x:c r="R392" s="76" t="str">
        <x:v>High</x:v>
      </x:c>
      <x:c r="S392" s="76" t="str"/>
      <x:c r="T392" s="76" t="str">
        <x:v>Unique</x:v>
      </x:c>
    </x:row>
    <x:row r="393" s="23" customFormat="1" ht="36" customHeight="1">
      <x:c r="A393" s="49" t="b">
        <x:v>0</x:v>
      </x:c>
      <x:c r="B393" s="56" t="str">
        <x:v>FV-0294</x:v>
      </x:c>
      <x:c r="C393" s="53" t="str">
        <x:v>Fan chronology — Old Republic</x:v>
      </x:c>
      <x:c r="D393" s="53" t="str">
        <x:v>Valkorion Chronicles Ep. 6 — They Knew His Name Before He Did</x:v>
      </x:c>
      <x:c r="E393" s="53" t="str">
        <x:v>Ep. 6</x:v>
      </x:c>
      <x:c r="F393" s="53" t="str">
        <x:v>September 1, 2026</x:v>
      </x:c>
      <x:c r="G393" s="53" t="str">
        <x:v>Fan-made / non-canon</x:v>
      </x:c>
      <x:c r="H393" s="53" t="str">
        <x:v>Fan video</x:v>
      </x:c>
      <x:c r="I393" s="53" t="str">
        <x:v>YouTube — search by title</x:v>
      </x:c>
      <x:c r="J393" s="59" t="e">
        <x:f>HYPERLINK("https://www.youtube.com/results?search_query=Valkorion%20Chronicles%20Ep.%206%20%E2%80%94%20They%20Knew%20His%20Name%20Before%20He%20Did","Search")</x:f>
        <x:v>HYPERLINK is not implemented. linkLocation=https://www.youtube.com/results?search_query=Valkorion%20Chronicles%20Ep.%206%20%E2%80%94%20They%20Knew%20His%20Name%20Before%20He%20Did, friendlyName=Search</x:v>
      </x:c>
      <x:c r="K393" s="53" t="str">
        <x:v>Story centers on Tenebrae, Vitiate, or Valkorion.</x:v>
      </x:c>
      <x:c r="L393" s="76" t="str">
        <x:v>Valkorion Chronicles</x:v>
      </x:c>
      <x:c r="M393" s="76" t="str">
        <x:v>Valkorion Chronicles Ep. 6 — They Knew His Name Before He Did</x:v>
      </x:c>
      <x:c r="N393" s="76"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393" s="76" t="str">
        <x:v>Old Republic — Vitiate/Valkorion era</x:v>
      </x:c>
      <x:c r="P393" s="76" t="str">
        <x:v>IMG_6479.PNG</x:v>
      </x:c>
      <x:c r="Q393" s="76" t="str">
        <x:v>OCR extracted / placement assigned</x:v>
      </x:c>
      <x:c r="R393" s="76" t="str">
        <x:v>High</x:v>
      </x:c>
      <x:c r="S393" s="76" t="str"/>
      <x:c r="T393" s="76" t="str">
        <x:v>Unique</x:v>
      </x:c>
    </x:row>
    <x:row r="394" s="23" customFormat="1" ht="36" customHeight="1">
      <x:c r="A394" s="49" t="b">
        <x:v>0</x:v>
      </x:c>
      <x:c r="B394" s="56" t="str">
        <x:v>FV-0356</x:v>
      </x:c>
      <x:c r="C394" s="53" t="str">
        <x:v>Fan chronology — Old Republic</x:v>
      </x:c>
      <x:c r="D394" s="53" t="str">
        <x:v>Valkorion Chronicles: Chapter Two — He Brought the Emperor With Him</x:v>
      </x:c>
      <x:c r="E394" s="53" t="str">
        <x:v>Chapter Two</x:v>
      </x:c>
      <x:c r="F394" s="53" t="str">
        <x:v>August 26, 2026</x:v>
      </x:c>
      <x:c r="G394" s="53" t="str">
        <x:v>Fan-made / non-canon</x:v>
      </x:c>
      <x:c r="H394" s="53" t="str">
        <x:v>Fan video</x:v>
      </x:c>
      <x:c r="I394" s="53" t="str">
        <x:v>YouTube — search by title</x:v>
      </x:c>
      <x:c r="J394" s="59" t="e">
        <x:f>HYPERLINK("https://www.youtube.com/results?search_query=Valkorion%20Chronicles%3A%20Chapter%20Two%20%E2%80%94%20He%20Brought%20the%20Emperor%20With%20Him","Search")</x:f>
        <x:v>HYPERLINK is not implemented. linkLocation=https://www.youtube.com/results?search_query=Valkorion%20Chronicles%3A%20Chapter%20Two%20%E2%80%94%20He%20Brought%20the%20Emperor%20With%20Him, friendlyName=Search</x:v>
      </x:c>
      <x:c r="K394" s="53" t="str">
        <x:v>Story centers on Tenebrae, Vitiate, or Valkorion.</x:v>
      </x:c>
      <x:c r="L394" s="76" t="str">
        <x:v>Valkorion Chronicles</x:v>
      </x:c>
      <x:c r="M394" s="76" t="str">
        <x:v>Valkorion Chronicles: Chapter Two — He Brought the Emperor With Him</x:v>
      </x:c>
      <x:c r="N394" s="76"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394" s="76" t="str">
        <x:v>Old Republic — Vitiate/Valkorion era</x:v>
      </x:c>
      <x:c r="P394" s="76" t="str">
        <x:v>IMG_6542.PNG</x:v>
      </x:c>
      <x:c r="Q394" s="76" t="str">
        <x:v>OCR extracted / placement assigned</x:v>
      </x:c>
      <x:c r="R394" s="76" t="str">
        <x:v>High</x:v>
      </x:c>
      <x:c r="S394" s="76" t="str"/>
      <x:c r="T394" s="76" t="str">
        <x:v>Unique</x:v>
      </x:c>
    </x:row>
    <x:row r="395" s="23" customFormat="1" ht="36" customHeight="1">
      <x:c r="A395" s="49" t="b">
        <x:v>0</x:v>
      </x:c>
      <x:c r="B395" s="56" t="str">
        <x:v>FV-0368</x:v>
      </x:c>
      <x:c r="C395" s="53" t="str">
        <x:v>Fan chronology — Old Republic</x:v>
      </x:c>
      <x:c r="D395" s="53" t="str">
        <x:v>Valkorion Chronicles: You Can Kill His Body... But Not Him</x:v>
      </x:c>
      <x:c r="E395" s="53" t="str"/>
      <x:c r="F395" s="53" t="str">
        <x:v>August 25, 2026</x:v>
      </x:c>
      <x:c r="G395" s="53" t="str">
        <x:v>Fan-made / non-canon</x:v>
      </x:c>
      <x:c r="H395" s="53" t="str">
        <x:v>Fan video</x:v>
      </x:c>
      <x:c r="I395" s="53" t="str">
        <x:v>YouTube — search by title</x:v>
      </x:c>
      <x:c r="J395" s="59" t="e">
        <x:f>HYPERLINK("https://www.youtube.com/results?search_query=Valkorion%20Chronicles%3A%20You%20Can%20Kill%20His%20Body...%20But%20Not%20Him","Search")</x:f>
        <x:v>HYPERLINK is not implemented. linkLocation=https://www.youtube.com/results?search_query=Valkorion%20Chronicles%3A%20You%20Can%20Kill%20His%20Body...%20But%20Not%20Him, friendlyName=Search</x:v>
      </x:c>
      <x:c r="K395" s="53" t="str">
        <x:v>Story centers on Tenebrae, Vitiate, or Valkorion.</x:v>
      </x:c>
      <x:c r="L395" s="76" t="str">
        <x:v>Valkorion Chronicles</x:v>
      </x:c>
      <x:c r="M395" s="76" t="str">
        <x:v>Valkorion Chronicles: You Can Kill His Body... But Not Him</x:v>
      </x:c>
      <x:c r="N395" s="76"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395" s="76" t="str">
        <x:v>Old Republic — Vitiate/Valkorion era</x:v>
      </x:c>
      <x:c r="P395" s="76" t="str">
        <x:v>IMG_6554.PNG</x:v>
      </x:c>
      <x:c r="Q395" s="76" t="str">
        <x:v>OCR extracted / placement assigned</x:v>
      </x:c>
      <x:c r="R395" s="76" t="str">
        <x:v>High</x:v>
      </x:c>
      <x:c r="S395" s="76" t="str"/>
      <x:c r="T395" s="76" t="str">
        <x:v>Unique</x:v>
      </x:c>
    </x:row>
    <x:row r="396" s="23" customFormat="1" ht="36" customHeight="1">
      <x:c r="A396" s="49" t="b">
        <x:v>0</x:v>
      </x:c>
      <x:c r="B396" s="56" t="str">
        <x:v>FV-0314</x:v>
      </x:c>
      <x:c r="C396" s="53" t="str">
        <x:v>Fan chronology — Old Republic</x:v>
      </x:c>
      <x:c r="D396" s="53" t="str">
        <x:v>Valkorion Unearths the Body He Buried | The Valkorion Chronicles—Chapter Five</x:v>
      </x:c>
      <x:c r="E396" s="53" t="str">
        <x:v>Chapter Five</x:v>
      </x:c>
      <x:c r="F396" s="53" t="str">
        <x:v>August 30, 2026</x:v>
      </x:c>
      <x:c r="G396" s="53" t="str">
        <x:v>Fan-made / non-canon</x:v>
      </x:c>
      <x:c r="H396" s="53" t="str">
        <x:v>Fan video</x:v>
      </x:c>
      <x:c r="I396" s="53" t="str">
        <x:v>YouTube — search by title</x:v>
      </x:c>
      <x:c r="J396" s="59" t="e">
        <x:f>HYPERLINK("https://www.youtube.com/results?search_query=Valkorion%20Unearths%20the%20Body%20He%20Buried%20%7C%20The%20Valkorion%20Chronicles%E2%80%94Chapter%20Five","Search")</x:f>
        <x:v>HYPERLINK is not implemented. linkLocation=https://www.youtube.com/results?search_query=Valkorion%20Unearths%20the%20Body%20He%20Buried%20%7C%20The%20Valkorion%20Chronicles%E2%80%94Chapter%20Five, friendlyName=Search</x:v>
      </x:c>
      <x:c r="K396" s="53" t="str">
        <x:v>Story centers on Tenebrae, Vitiate, or Valkorion.</x:v>
      </x:c>
      <x:c r="L396" s="76" t="str">
        <x:v>The Valkorion Chronicles</x:v>
      </x:c>
      <x:c r="M396" s="76" t="str">
        <x:v>Valkorion Unearths the Body He Buried | The Valkorion Chronicles—Chapter Five</x:v>
      </x:c>
      <x:c r="N396" s="76"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396" s="76" t="str">
        <x:v>Old Republic — Vitiate/Valkorion era</x:v>
      </x:c>
      <x:c r="P396" s="76" t="str">
        <x:v>IMG_6500.PNG</x:v>
      </x:c>
      <x:c r="Q396" s="76" t="str">
        <x:v>OCR extracted / placement assigned</x:v>
      </x:c>
      <x:c r="R396" s="76" t="str">
        <x:v>High</x:v>
      </x:c>
      <x:c r="S396" s="76" t="str"/>
      <x:c r="T396" s="76" t="str">
        <x:v>Unique</x:v>
      </x:c>
    </x:row>
    <x:row r="397" s="23" customFormat="1" ht="36" customHeight="1">
      <x:c r="A397" s="49" t="b">
        <x:v>0</x:v>
      </x:c>
      <x:c r="B397" s="56" t="str">
        <x:v>FV-0171</x:v>
      </x:c>
      <x:c r="C397" s="53" t="str">
        <x:v>Fan chronology — High Republic</x:v>
      </x:c>
      <x:c r="D397" s="53" t="str">
        <x:v>DAGAN GERA é THE FALLEN JEDI AWAKENS! | High Republic Episode 1</x:v>
      </x:c>
      <x:c r="E397" s="53" t="str">
        <x:v>Episode 1</x:v>
      </x:c>
      <x:c r="F397" s="53" t="str">
        <x:v>September 26, 2026</x:v>
      </x:c>
      <x:c r="G397" s="53" t="str">
        <x:v>Fan-made / non-canon</x:v>
      </x:c>
      <x:c r="H397" s="53" t="str">
        <x:v>Fan video</x:v>
      </x:c>
      <x:c r="I397" s="53" t="str">
        <x:v>YouTube — search by title</x:v>
      </x:c>
      <x:c r="J397" s="59" t="e">
        <x:f>HYPERLINK("https://www.youtube.com/results?search_query=DAGAN%20GERA%20%C3%A9%20THE%20FALLEN%20JEDI%20AWAKENS!%20%7C%20High%20Republic%20Episode%201","Search")</x:f>
        <x:v>HYPERLINK is not implemented. linkLocation=https://www.youtube.com/results?search_query=DAGAN%20GERA%20%C3%A9%20THE%20FALLEN%20JEDI%20AWAKENS!%20%7C%20High%20Republic%20Episode%201, friendlyName=Search</x:v>
      </x:c>
      <x:c r="K397" s="53" t="str">
        <x:v>High Republic flashback material associated with Jedi: Survivor.</x:v>
      </x:c>
      <x:c r="L397" s="76" t="str">
        <x:v>High Republic</x:v>
      </x:c>
      <x:c r="M397" s="76" t="str">
        <x:v>DAGAN GERA é THE FALLEN JEDI AWAKENS! | High Republic Episode 1</x:v>
      </x:c>
      <x:c r="N397" s="76"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397" s="76" t="str">
        <x:v>High Republic — Dagan Gera</x:v>
      </x:c>
      <x:c r="P397" s="76" t="str">
        <x:v>IMG_6354.PNG</x:v>
      </x:c>
      <x:c r="Q397" s="76" t="str">
        <x:v>OCR extracted / placement assigned</x:v>
      </x:c>
      <x:c r="R397" s="76" t="str">
        <x:v>High</x:v>
      </x:c>
      <x:c r="S397" s="76" t="str"/>
      <x:c r="T397" s="76" t="str">
        <x:v>Unique</x:v>
      </x:c>
    </x:row>
    <x:row r="398" s="23" customFormat="1" ht="36" customHeight="1">
      <x:c r="A398" s="49" t="b">
        <x:v>0</x:v>
      </x:c>
      <x:c r="B398" s="56" t="str">
        <x:v>SWS-049</x:v>
      </x:c>
      <x:c r="C398" s="53" t="str">
        <x:v>Fan chronology — Fall of the Jedi</x:v>
      </x:c>
      <x:c r="D398" s="53" t="str">
        <x:v>Star Wars - Palpatine and Plagueis Discuss Power, Legacy, and the Rule of Two</x:v>
      </x:c>
      <x:c r="E398" s="53" t="str"/>
      <x:c r="F398" s="53" t="str">
        <x:v>Displayed as “1y ago” on October 17, 2026</x:v>
      </x:c>
      <x:c r="G398" s="53" t="str">
        <x:v>Fan-made / non-canon</x:v>
      </x:c>
      <x:c r="H398" s="53" t="str">
        <x:v>AI fan film</x:v>
      </x:c>
      <x:c r="I398" s="53" t="str">
        <x:v>YouTube — Skywalker Stories</x:v>
      </x:c>
      <x:c r="J398" s="59" t="e">
        <x:f>HYPERLINK("https://www.youtube.com/watch?v=0nuUWBSGZjM","Open")</x:f>
        <x:v>HYPERLINK is not implemented. linkLocation=https://www.youtube.com/watch?v=0nuUWBSGZjM, friendlyName=Open</x:v>
      </x:c>
      <x:c r="K398" s="53" t="str">
        <x:v>Skywalker Stories. Before or around Episode I, while Darth Plagueis is still alive. Placement confidence: Medium.</x:v>
      </x:c>
      <x:c r="L398" s="76" t="str"/>
      <x:c r="M398" s="76" t="str">
        <x:v>Star Wars - Palpatine and Plagueis Discuss Power, Legacy, and the Rule of Two</x:v>
      </x:c>
      <x:c r="N398" s="76" t="str"/>
      <x:c r="O398" s="76" t="str"/>
      <x:c r="P398" s="76" t="str"/>
      <x:c r="Q398" s="76" t="str">
        <x:v>Previously verified channel entry</x:v>
      </x:c>
      <x:c r="R398" s="76" t="str"/>
      <x:c r="S398" s="76" t="str"/>
      <x:c r="T398" s="76" t="str"/>
    </x:row>
    <x:row r="399" s="23" customFormat="1" ht="36" customHeight="1">
      <x:c r="A399" s="49" t="b">
        <x:v>0</x:v>
      </x:c>
      <x:c r="B399" s="56" t="str">
        <x:v>SWS-022</x:v>
      </x:c>
      <x:c r="C399" s="53" t="str">
        <x:v>Fan chronology — Fall of the Jedi</x:v>
      </x:c>
      <x:c r="D399" s="53" t="str">
        <x:v>Star Wars: Count Dooku Becomes Darth Tyranus</x:v>
      </x:c>
      <x:c r="E399" s="53" t="str"/>
      <x:c r="F399" s="53" t="str">
        <x:v>Displayed as “1y ago” on October 17, 2026</x:v>
      </x:c>
      <x:c r="G399" s="53" t="str">
        <x:v>Fan-made / non-canon</x:v>
      </x:c>
      <x:c r="H399" s="53" t="str">
        <x:v>AI fan film</x:v>
      </x:c>
      <x:c r="I399" s="53" t="str">
        <x:v>YouTube — Skywalker Stories</x:v>
      </x:c>
      <x:c r="J399" s="59" t="e">
        <x:f>HYPERLINK("https://www.youtube.com/watch?v=m0EYZ5kk48Y","Open")</x:f>
        <x:v>HYPERLINK is not implemented. linkLocation=https://www.youtube.com/watch?v=m0EYZ5kk48Y, friendlyName=Open</x:v>
      </x:c>
      <x:c r="K399" s="53" t="str">
        <x:v>Skywalker Stories. Between Episodes I and II, before the clone army conspiracy is complete. Placement confidence: High.</x:v>
      </x:c>
      <x:c r="L399" s="76" t="str"/>
      <x:c r="M399" s="76" t="str">
        <x:v>Star Wars: Count Dooku Becomes Darth Tyranus</x:v>
      </x:c>
      <x:c r="N399" s="76" t="str"/>
      <x:c r="O399" s="76" t="str"/>
      <x:c r="P399" s="76" t="str"/>
      <x:c r="Q399" s="76" t="str">
        <x:v>Previously verified channel entry</x:v>
      </x:c>
      <x:c r="R399" s="76" t="str"/>
      <x:c r="S399" s="76" t="str"/>
      <x:c r="T399" s="76" t="str"/>
    </x:row>
    <x:row r="400" s="23" customFormat="1" ht="36" customHeight="1">
      <x:c r="A400" s="49" t="b">
        <x:v>0</x:v>
      </x:c>
      <x:c r="B400" s="56" t="str">
        <x:v>SWS-013</x:v>
      </x:c>
      <x:c r="C400" s="53" t="str">
        <x:v>Fan chronology — Fall of the Jedi</x:v>
      </x:c>
      <x:c r="D400" s="53" t="str">
        <x:v>Star Wars: Count Dooku Becomes Darth Tyranus &amp; Recruits Jango Fett For The Clone Army</x:v>
      </x:c>
      <x:c r="E400" s="53" t="str"/>
      <x:c r="F400" s="53" t="str">
        <x:v>Displayed as “9mo ago” on October 17, 2026</x:v>
      </x:c>
      <x:c r="G400" s="53" t="str">
        <x:v>Fan-made / non-canon</x:v>
      </x:c>
      <x:c r="H400" s="53" t="str">
        <x:v>AI fan film</x:v>
      </x:c>
      <x:c r="I400" s="53" t="str">
        <x:v>YouTube — Skywalker Stories</x:v>
      </x:c>
      <x:c r="J400" s="59" t="e">
        <x:f>HYPERLINK("https://www.youtube.com/watch?v=86WZyh5SG7w","Open")</x:f>
        <x:v>HYPERLINK is not implemented. linkLocation=https://www.youtube.com/watch?v=86WZyh5SG7w, friendlyName=Open</x:v>
      </x:c>
      <x:c r="K400" s="53" t="str">
        <x:v>Skywalker Stories. Between Episodes I and II, before the clone army conspiracy is complete. Placement confidence: High.</x:v>
      </x:c>
      <x:c r="L400" s="76" t="str"/>
      <x:c r="M400" s="76" t="str">
        <x:v>Star Wars: Count Dooku Becomes Darth Tyranus &amp; Recruits Jango Fett For The Clone Army</x:v>
      </x:c>
      <x:c r="N400" s="76" t="str"/>
      <x:c r="O400" s="76" t="str"/>
      <x:c r="P400" s="76" t="str"/>
      <x:c r="Q400" s="76" t="str">
        <x:v>Previously verified channel entry</x:v>
      </x:c>
      <x:c r="R400" s="76" t="str"/>
      <x:c r="S400" s="76" t="str"/>
      <x:c r="T400" s="76" t="str"/>
    </x:row>
    <x:row r="401" s="23" customFormat="1" ht="36" customHeight="1">
      <x:c r="A401" s="49" t="b">
        <x:v>0</x:v>
      </x:c>
      <x:c r="B401" s="56" t="str">
        <x:v>SWS-032</x:v>
      </x:c>
      <x:c r="C401" s="53" t="str">
        <x:v>Fan chronology — Fall of the Jedi</x:v>
      </x:c>
      <x:c r="D401" s="53" t="str">
        <x:v>Star Wars: Count Dooku Has Sifo-Dyas Killed &amp; Recruits Jango Fett For The Clone Army</x:v>
      </x:c>
      <x:c r="E401" s="53" t="str"/>
      <x:c r="F401" s="53" t="str">
        <x:v>Displayed as “1y ago” on October 17, 2026</x:v>
      </x:c>
      <x:c r="G401" s="53" t="str">
        <x:v>Fan-made / non-canon</x:v>
      </x:c>
      <x:c r="H401" s="53" t="str">
        <x:v>AI fan film</x:v>
      </x:c>
      <x:c r="I401" s="53" t="str">
        <x:v>YouTube — Skywalker Stories</x:v>
      </x:c>
      <x:c r="J401" s="59" t="e">
        <x:f>HYPERLINK("https://www.youtube.com/watch?v=flBV1QCY_oQ","Open")</x:f>
        <x:v>HYPERLINK is not implemented. linkLocation=https://www.youtube.com/watch?v=flBV1QCY_oQ, friendlyName=Open</x:v>
      </x:c>
      <x:c r="K401" s="53" t="str">
        <x:v>Skywalker Stories. Between Episodes I and II, during creation of the clone army. Placement confidence: High.</x:v>
      </x:c>
      <x:c r="L401" s="76" t="str"/>
      <x:c r="M401" s="76" t="str">
        <x:v>Star Wars: Count Dooku Has Sifo-Dyas Killed &amp; Recruits Jango Fett For The Clone Army</x:v>
      </x:c>
      <x:c r="N401" s="76" t="str"/>
      <x:c r="O401" s="76" t="str"/>
      <x:c r="P401" s="76" t="str"/>
      <x:c r="Q401" s="76" t="str">
        <x:v>Previously verified channel entry</x:v>
      </x:c>
      <x:c r="R401" s="76" t="str"/>
      <x:c r="S401" s="76" t="str"/>
      <x:c r="T401" s="76" t="str"/>
    </x:row>
    <x:row r="402" s="23" customFormat="1" ht="36" customHeight="1">
      <x:c r="A402" s="49" t="b">
        <x:v>0</x:v>
      </x:c>
      <x:c r="B402" s="56" t="str">
        <x:v>SWS-036</x:v>
      </x:c>
      <x:c r="C402" s="53" t="str">
        <x:v>Fan chronology — Fall of the Jedi</x:v>
      </x:c>
      <x:c r="D402" s="53" t="str">
        <x:v>Star Wars: Count Dooku Leaves the Jedi Order &amp; Joins Darth Sidious</x:v>
      </x:c>
      <x:c r="E402" s="53" t="str"/>
      <x:c r="F402" s="53" t="str">
        <x:v>Displayed as “1y ago” on October 17, 2026</x:v>
      </x:c>
      <x:c r="G402" s="53" t="str">
        <x:v>Fan-made / non-canon</x:v>
      </x:c>
      <x:c r="H402" s="53" t="str">
        <x:v>AI fan film</x:v>
      </x:c>
      <x:c r="I402" s="53" t="str">
        <x:v>YouTube — Skywalker Stories</x:v>
      </x:c>
      <x:c r="J402" s="59" t="e">
        <x:f>HYPERLINK("https://www.youtube.com/watch?v=rzyuNoS8WwI","Open")</x:f>
        <x:v>HYPERLINK is not implemented. linkLocation=https://www.youtube.com/watch?v=rzyuNoS8WwI, friendlyName=Open</x:v>
      </x:c>
      <x:c r="K402" s="53" t="str">
        <x:v>Skywalker Stories. After Qui-Gon Jinn's death and before Episode II. Placement confidence: High.</x:v>
      </x:c>
      <x:c r="L402" s="76" t="str"/>
      <x:c r="M402" s="76" t="str">
        <x:v>Star Wars: Count Dooku Leaves the Jedi Order &amp; Joins Darth Sidious</x:v>
      </x:c>
      <x:c r="N402" s="76" t="str"/>
      <x:c r="O402" s="76" t="str"/>
      <x:c r="P402" s="76" t="str"/>
      <x:c r="Q402" s="76" t="str">
        <x:v>Previously verified channel entry</x:v>
      </x:c>
      <x:c r="R402" s="76" t="str"/>
      <x:c r="S402" s="76" t="str"/>
      <x:c r="T402" s="76" t="str"/>
    </x:row>
    <x:row r="403" s="23" customFormat="1" ht="36" customHeight="1">
      <x:c r="A403" s="49" t="b">
        <x:v>0</x:v>
      </x:c>
      <x:c r="B403" s="56" t="str">
        <x:v>SWS-033</x:v>
      </x:c>
      <x:c r="C403" s="53" t="str">
        <x:v>Fan chronology — Fall of the Jedi</x:v>
      </x:c>
      <x:c r="D403" s="53" t="str">
        <x:v>Star Wars: Darth Plagueis influences Sifo Dyas To Order The Clone Army from Kamino</x:v>
      </x:c>
      <x:c r="E403" s="53" t="str"/>
      <x:c r="F403" s="53" t="str">
        <x:v>Displayed as “1y ago” on October 17, 2026</x:v>
      </x:c>
      <x:c r="G403" s="53" t="str">
        <x:v>Fan-made / non-canon</x:v>
      </x:c>
      <x:c r="H403" s="53" t="str">
        <x:v>AI fan film</x:v>
      </x:c>
      <x:c r="I403" s="53" t="str">
        <x:v>YouTube — Skywalker Stories</x:v>
      </x:c>
      <x:c r="J403" s="59" t="e">
        <x:f>HYPERLINK("https://www.youtube.com/watch?v=iRE10jSTzWA","Open")</x:f>
        <x:v>HYPERLINK is not implemented. linkLocation=https://www.youtube.com/watch?v=iRE10jSTzWA, friendlyName=Open</x:v>
      </x:c>
      <x:c r="K403" s="53" t="str">
        <x:v>Skywalker Stories. Around the Naboo crisis, before the clone army is ordered; Legends-inspired. Placement confidence: Medium.</x:v>
      </x:c>
      <x:c r="L403" s="76" t="str"/>
      <x:c r="M403" s="76" t="str">
        <x:v>Star Wars: Darth Plagueis influences Sifo Dyas To Order The Clone Army from Kamino</x:v>
      </x:c>
      <x:c r="N403" s="76" t="str"/>
      <x:c r="O403" s="76" t="str"/>
      <x:c r="P403" s="76" t="str"/>
      <x:c r="Q403" s="76" t="str">
        <x:v>Previously verified channel entry</x:v>
      </x:c>
      <x:c r="R403" s="76" t="str"/>
      <x:c r="S403" s="76" t="str"/>
      <x:c r="T403" s="76" t="str"/>
    </x:row>
    <x:row r="404" s="23" customFormat="1" ht="36" customHeight="1">
      <x:c r="A404" s="49" t="b">
        <x:v>0</x:v>
      </x:c>
      <x:c r="B404" s="56" t="str">
        <x:v>SWS-004</x:v>
      </x:c>
      <x:c r="C404" s="53" t="str">
        <x:v>Fan chronology — Fall of the Jedi</x:v>
      </x:c>
      <x:c r="D404" s="53" t="str">
        <x:v>Star Wars: Dooku Becomes Darth Tyranus &amp; Recruits Jango Fett For The Clone Army</x:v>
      </x:c>
      <x:c r="E404" s="53" t="str"/>
      <x:c r="F404" s="53" t="str">
        <x:v>Displayed as “4mo ago” on October 17, 2026</x:v>
      </x:c>
      <x:c r="G404" s="53" t="str">
        <x:v>Fan-made / non-canon</x:v>
      </x:c>
      <x:c r="H404" s="53" t="str">
        <x:v>AI fan film</x:v>
      </x:c>
      <x:c r="I404" s="53" t="str">
        <x:v>YouTube — Skywalker Stories</x:v>
      </x:c>
      <x:c r="J404" s="59" t="e">
        <x:f>HYPERLINK("https://www.youtube.com/watch?v=a4A4vwGA7dY","Open")</x:f>
        <x:v>HYPERLINK is not implemented. linkLocation=https://www.youtube.com/watch?v=a4A4vwGA7dY, friendlyName=Open</x:v>
      </x:c>
      <x:c r="K404" s="53" t="str">
        <x:v>Skywalker Stories. Between Episodes I and II, before the clone army conspiracy is complete. Placement confidence: High.</x:v>
      </x:c>
      <x:c r="L404" s="76" t="str"/>
      <x:c r="M404" s="76" t="str">
        <x:v>Star Wars: Dooku Becomes Darth Tyranus &amp; Recruits Jango Fett For The Clone Army</x:v>
      </x:c>
      <x:c r="N404" s="76" t="str"/>
      <x:c r="O404" s="76" t="str"/>
      <x:c r="P404" s="76" t="str"/>
      <x:c r="Q404" s="76" t="str">
        <x:v>Previously verified channel entry</x:v>
      </x:c>
      <x:c r="R404" s="76" t="str"/>
      <x:c r="S404" s="76" t="str"/>
      <x:c r="T404" s="76" t="str"/>
    </x:row>
    <x:row r="405" s="23" customFormat="1" ht="36" customHeight="1">
      <x:c r="A405" s="49" t="b">
        <x:v>0</x:v>
      </x:c>
      <x:c r="B405" s="56" t="str">
        <x:v>SWS-010</x:v>
      </x:c>
      <x:c r="C405" s="53" t="str">
        <x:v>Fan chronology — Fall of the Jedi</x:v>
      </x:c>
      <x:c r="D405" s="53" t="str">
        <x:v>Star Wars: Dooku Sends Jango &amp; Boba Fett To Kill A Clone Before Attack Of The Clones</x:v>
      </x:c>
      <x:c r="E405" s="53" t="str"/>
      <x:c r="F405" s="53" t="str">
        <x:v>Displayed as “7mo ago” on October 17, 2026</x:v>
      </x:c>
      <x:c r="G405" s="53" t="str">
        <x:v>Fan-made / non-canon</x:v>
      </x:c>
      <x:c r="H405" s="53" t="str">
        <x:v>AI fan film</x:v>
      </x:c>
      <x:c r="I405" s="53" t="str">
        <x:v>YouTube — Skywalker Stories</x:v>
      </x:c>
      <x:c r="J405" s="59" t="e">
        <x:f>HYPERLINK("https://www.youtube.com/watch?v=zwOdVAkpUVM","Open")</x:f>
        <x:v>HYPERLINK is not implemented. linkLocation=https://www.youtube.com/watch?v=zwOdVAkpUVM, friendlyName=Open</x:v>
      </x:c>
      <x:c r="K405" s="53" t="str">
        <x:v>Skywalker Stories. Between Episodes I and II, during creation of the clone army. Placement confidence: High.</x:v>
      </x:c>
      <x:c r="L405" s="76" t="str"/>
      <x:c r="M405" s="76" t="str">
        <x:v>Star Wars: Dooku Sends Jango &amp; Boba Fett To Kill A Clone Before Attack Of The Clones</x:v>
      </x:c>
      <x:c r="N405" s="76" t="str"/>
      <x:c r="O405" s="76" t="str"/>
      <x:c r="P405" s="76" t="str"/>
      <x:c r="Q405" s="76" t="str">
        <x:v>Previously verified channel entry</x:v>
      </x:c>
      <x:c r="R405" s="76" t="str"/>
      <x:c r="S405" s="76" t="str"/>
      <x:c r="T405" s="76" t="str"/>
    </x:row>
    <x:row r="406" s="23" customFormat="1" ht="36" customHeight="1">
      <x:c r="A406" s="49" t="b">
        <x:v>0</x:v>
      </x:c>
      <x:c r="B406" s="56" t="str">
        <x:v>SWS-011</x:v>
      </x:c>
      <x:c r="C406" s="53" t="str">
        <x:v>Fan chronology — Fall of the Jedi</x:v>
      </x:c>
      <x:c r="D406" s="53" t="str">
        <x:v>Star Wars: Duel of the Fates</x:v>
      </x:c>
      <x:c r="E406" s="53" t="str"/>
      <x:c r="F406" s="53" t="str">
        <x:v>Displayed as “8mo ago” on October 17, 2026</x:v>
      </x:c>
      <x:c r="G406" s="53" t="str">
        <x:v>Fan-made / non-canon</x:v>
      </x:c>
      <x:c r="H406" s="53" t="str">
        <x:v>AI fan film</x:v>
      </x:c>
      <x:c r="I406" s="53" t="str">
        <x:v>YouTube — Skywalker Stories</x:v>
      </x:c>
      <x:c r="J406" s="59" t="e">
        <x:f>HYPERLINK("https://www.youtube.com/watch?v=x-OiA2TsDuo","Open")</x:f>
        <x:v>HYPERLINK is not implemented. linkLocation=https://www.youtube.com/watch?v=x-OiA2TsDuo, friendlyName=Open</x:v>
      </x:c>
      <x:c r="K406" s="53" t="str">
        <x:v>Skywalker Stories. Alongside the climax of Episode I: The Phantom Menace. Placement confidence: High.</x:v>
      </x:c>
      <x:c r="L406" s="76" t="str"/>
      <x:c r="M406" s="76" t="str">
        <x:v>Star Wars: Duel of the Fates</x:v>
      </x:c>
      <x:c r="N406" s="76" t="str"/>
      <x:c r="O406" s="76" t="str"/>
      <x:c r="P406" s="76" t="str"/>
      <x:c r="Q406" s="76" t="str">
        <x:v>Previously verified channel entry</x:v>
      </x:c>
      <x:c r="R406" s="76" t="str"/>
      <x:c r="S406" s="76" t="str"/>
      <x:c r="T406" s="76" t="str"/>
    </x:row>
    <x:row r="407" s="23" customFormat="1" ht="36" customHeight="1">
      <x:c r="A407" s="49" t="b">
        <x:v>0</x:v>
      </x:c>
      <x:c r="B407" s="56" t="str">
        <x:v>FV-0017</x:v>
      </x:c>
      <x:c r="C407" s="53" t="str">
        <x:v>Fan chronology — Fall of the Jedi</x:v>
      </x:c>
      <x:c r="D407" s="53" t="str">
        <x:v>Before He Became the Emperor... | Young Sidious &amp; Darth Plagueis | Official Series Trailer</x:v>
      </x:c>
      <x:c r="E407" s="53" t="str"/>
      <x:c r="F407" s="53" t="str">
        <x:v>October 14, 2026</x:v>
      </x:c>
      <x:c r="G407" s="53" t="str">
        <x:v>Fan-made / non-canon</x:v>
      </x:c>
      <x:c r="H407" s="53" t="str">
        <x:v>Fan video</x:v>
      </x:c>
      <x:c r="I407" s="53" t="str">
        <x:v>YouTube — search by title</x:v>
      </x:c>
      <x:c r="J407" s="59" t="e">
        <x:f>HYPERLINK("https://www.youtube.com/results?search_query=Before%20He%20Became%20the%20Emperor...%20%7C%20Young%20Sidious%20%26%20Darth%20Plagueis%20%7C%20Official%20Series%20Trailer","Search")</x:f>
        <x:v>HYPERLINK is not implemented. linkLocation=https://www.youtube.com/results?search_query=Before%20He%20Became%20the%20Emperor...%20%7C%20Young%20Sidious%20%26%20Darth%20Plagueis%20%7C%20Official%20Series%20Trailer, friendlyName=Search</x:v>
      </x:c>
      <x:c r="K407" s="53" t="str">
        <x:v>Plagueis/Tenebrous and young Sidious era, before The Phantom Menace.</x:v>
      </x:c>
      <x:c r="L407" s="76" t="str"/>
      <x:c r="M407" s="76" t="str">
        <x:v>Before He Became the Emperor... | Young Sidious &amp; Darth Plagueis | Official Series Trailer</x:v>
      </x:c>
      <x:c r="N407" s="76"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407" s="76" t="str">
        <x:v>Fall of the Jedi — before Episode I</x:v>
      </x:c>
      <x:c r="P407" s="76" t="str">
        <x:v>IMG_6200.PNG</x:v>
      </x:c>
      <x:c r="Q407" s="76" t="str">
        <x:v>OCR extracted / placement assigned</x:v>
      </x:c>
      <x:c r="R407" s="76" t="str">
        <x:v>High</x:v>
      </x:c>
      <x:c r="S407" s="76" t="str"/>
      <x:c r="T407" s="76" t="str">
        <x:v>Unique</x:v>
      </x:c>
    </x:row>
    <x:row r="408" s="23" customFormat="1" ht="36" customHeight="1">
      <x:c r="A408" s="49" t="b">
        <x:v>0</x:v>
      </x:c>
      <x:c r="B408" s="56" t="str">
        <x:v>FV-0268</x:v>
      </x:c>
      <x:c r="C408" s="53" t="str">
        <x:v>Fan chronology — Fall of the Jedi</x:v>
      </x:c>
      <x:c r="D408" s="53" t="str">
        <x:v>Darth Plagueis — Death Has No Power Here</x:v>
      </x:c>
      <x:c r="E408" s="53" t="str"/>
      <x:c r="F408" s="53" t="str">
        <x:v>September 4, 2026</x:v>
      </x:c>
      <x:c r="G408" s="53" t="str">
        <x:v>Fan-made / non-canon</x:v>
      </x:c>
      <x:c r="H408" s="53" t="str">
        <x:v>Fan video</x:v>
      </x:c>
      <x:c r="I408" s="53" t="str">
        <x:v>YouTube — search by title</x:v>
      </x:c>
      <x:c r="J408" s="59" t="e">
        <x:f>HYPERLINK("https://www.youtube.com/results?search_query=Darth%20Plagueis%20%E2%80%94%20Death%20Has%20No%20Power%20Here","Search")</x:f>
        <x:v>HYPERLINK is not implemented. linkLocation=https://www.youtube.com/results?search_query=Darth%20Plagueis%20%E2%80%94%20Death%20Has%20No%20Power%20Here, friendlyName=Search</x:v>
      </x:c>
      <x:c r="K408" s="53" t="str">
        <x:v>Plagueis/Tenebrous and young Sidious era, before The Phantom Menace.</x:v>
      </x:c>
      <x:c r="L408" s="76" t="str"/>
      <x:c r="M408" s="76" t="str">
        <x:v>Darth Plagueis — Death Has No Power Here</x:v>
      </x:c>
      <x:c r="N408" s="76" t="str">
        <x:v>A creature of darkness thought it had found
helpless prey. It found Darth Plagueis instead. With
terrifying control over the Force, the Sith Lord turns
the attack into a brutal demonstration of power—
and reminds the galaxy why even death fears his
name.</x:v>
      </x:c>
      <x:c r="O408" s="76" t="str">
        <x:v>Fall of the Jedi — before Episode I</x:v>
      </x:c>
      <x:c r="P408" s="76" t="str">
        <x:v>IMG_6453.PNG</x:v>
      </x:c>
      <x:c r="Q408" s="76" t="str">
        <x:v>OCR extracted / placement assigned</x:v>
      </x:c>
      <x:c r="R408" s="76" t="str">
        <x:v>High</x:v>
      </x:c>
      <x:c r="S408" s="76" t="str"/>
      <x:c r="T408" s="76" t="str">
        <x:v>Unique</x:v>
      </x:c>
    </x:row>
    <x:row r="409" s="23" customFormat="1" ht="36" customHeight="1">
      <x:c r="A409" s="49" t="b">
        <x:v>0</x:v>
      </x:c>
      <x:c r="B409" s="56" t="str">
        <x:v>FV-0196</x:v>
      </x:c>
      <x:c r="C409" s="53" t="str">
        <x:v>Fan chronology — Fall of the Jedi</x:v>
      </x:c>
      <x:c r="D409" s="53" t="str">
        <x:v>Darth Plagueis — The Hidden Signal | Episode 12</x:v>
      </x:c>
      <x:c r="E409" s="53" t="str">
        <x:v>Episode 12</x:v>
      </x:c>
      <x:c r="F409" s="53" t="str">
        <x:v>September 22, 2026</x:v>
      </x:c>
      <x:c r="G409" s="53" t="str">
        <x:v>Fan-made / non-canon</x:v>
      </x:c>
      <x:c r="H409" s="53" t="str">
        <x:v>Fan video</x:v>
      </x:c>
      <x:c r="I409" s="53" t="str">
        <x:v>YouTube — search by title</x:v>
      </x:c>
      <x:c r="J409" s="59" t="e">
        <x:f>HYPERLINK("https://www.youtube.com/results?search_query=Darth%20Plagueis%20%E2%80%94%20The%20Hidden%20Signal%20%7C%20Episode%2012","Search")</x:f>
        <x:v>HYPERLINK is not implemented. linkLocation=https://www.youtube.com/results?search_query=Darth%20Plagueis%20%E2%80%94%20The%20Hidden%20Signal%20%7C%20Episode%2012, friendlyName=Search</x:v>
      </x:c>
      <x:c r="K409" s="53" t="str">
        <x:v>Plagueis/Tenebrous and young Sidious era, before The Phantom Menace.</x:v>
      </x:c>
      <x:c r="L409" s="76" t="str">
        <x:v>Darth Plagueis — The Hidden Signal</x:v>
      </x:c>
      <x:c r="M409" s="76" t="str">
        <x:v>Darth Plagueis — The Hidden Signal | Episode 12</x:v>
      </x:c>
      <x:c r="N409" s="76"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409" s="76" t="str">
        <x:v>Fall of the Jedi — before Episode I</x:v>
      </x:c>
      <x:c r="P409" s="76" t="str">
        <x:v>IMG_6379.PNG</x:v>
      </x:c>
      <x:c r="Q409" s="76" t="str">
        <x:v>OCR extracted / placement assigned</x:v>
      </x:c>
      <x:c r="R409" s="76" t="str">
        <x:v>High</x:v>
      </x:c>
      <x:c r="S409" s="76" t="str"/>
      <x:c r="T409" s="76" t="str">
        <x:v>Unique</x:v>
      </x:c>
    </x:row>
    <x:row r="410" s="23" customFormat="1" ht="36" customHeight="1">
      <x:c r="A410" s="49" t="b">
        <x:v>0</x:v>
      </x:c>
      <x:c r="B410" s="56" t="str">
        <x:v>FV-0053</x:v>
      </x:c>
      <x:c r="C410" s="53" t="str">
        <x:v>Fan chronology — Fall of the Jedi</x:v>
      </x:c>
      <x:c r="D410" s="53" t="str">
        <x:v>Darth Plagueis &amp; Young Sidious | Episode 2: Strike Your Master @</x:v>
      </x:c>
      <x:c r="E410" s="53" t="str">
        <x:v>Episode 2</x:v>
      </x:c>
      <x:c r="F410" s="53" t="str">
        <x:v>October 10, 2026</x:v>
      </x:c>
      <x:c r="G410" s="53" t="str">
        <x:v>Fan-made / non-canon</x:v>
      </x:c>
      <x:c r="H410" s="53" t="str">
        <x:v>Fan video</x:v>
      </x:c>
      <x:c r="I410" s="53" t="str">
        <x:v>YouTube — search by title</x:v>
      </x:c>
      <x:c r="J410" s="59" t="e">
        <x:f>HYPERLINK("https://www.youtube.com/results?search_query=Darth%20Plagueis%20%26%20Young%20Sidious%20%7C%20Episode%202%3A%20Strike%20Your%20Master%20%40","Search")</x:f>
        <x:v>HYPERLINK is not implemented. linkLocation=https://www.youtube.com/results?search_query=Darth%20Plagueis%20%26%20Young%20Sidious%20%7C%20Episode%202%3A%20Strike%20Your%20Master%20%40, friendlyName=Search</x:v>
      </x:c>
      <x:c r="K410" s="53" t="str">
        <x:v>Plagueis/Tenebrous and young Sidious era, before The Phantom Menace.</x:v>
      </x:c>
      <x:c r="L410" s="76" t="str">
        <x:v>Darth Plagueis &amp; Young Sidious</x:v>
      </x:c>
      <x:c r="M410" s="76" t="str">
        <x:v>Darth Plagueis &amp; Young Sidious | Episode 2: Strike Your Master @</x:v>
      </x:c>
      <x:c r="N410" s="76"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410" s="76" t="str">
        <x:v>Fall of the Jedi — before Episode I</x:v>
      </x:c>
      <x:c r="P410" s="76" t="str">
        <x:v>IMG_6236.PNG</x:v>
      </x:c>
      <x:c r="Q410" s="76" t="str">
        <x:v>OCR extracted / placement assigned</x:v>
      </x:c>
      <x:c r="R410" s="76" t="str">
        <x:v>High</x:v>
      </x:c>
      <x:c r="S410" s="76" t="str"/>
      <x:c r="T410" s="76" t="str">
        <x:v>Unique</x:v>
      </x:c>
    </x:row>
    <x:row r="411" s="23" customFormat="1" ht="36" customHeight="1">
      <x:c r="A411" s="49" t="b">
        <x:v>0</x:v>
      </x:c>
      <x:c r="B411" s="56" t="str">
        <x:v>FV-0018</x:v>
      </x:c>
      <x:c r="C411" s="53" t="str">
        <x:v>Fan chronology — Fall of the Jedi</x:v>
      </x:c>
      <x:c r="D411" s="53" t="str">
        <x:v>Darth Plagueis &amp; Young Sidious | Sojourn: The Gathering | James Luceno’s Darth Plagueis</x:v>
      </x:c>
      <x:c r="E411" s="53" t="str"/>
      <x:c r="F411" s="53" t="str">
        <x:v>October 14, 2026</x:v>
      </x:c>
      <x:c r="G411" s="53" t="str">
        <x:v>Fan-made / non-canon</x:v>
      </x:c>
      <x:c r="H411" s="53" t="str">
        <x:v>Fan video</x:v>
      </x:c>
      <x:c r="I411" s="53" t="str">
        <x:v>YouTube — search by title</x:v>
      </x:c>
      <x:c r="J411" s="59" t="e">
        <x:f>HYPERLINK("https://www.youtube.com/results?search_query=Darth%20Plagueis%20%26%20Young%20Sidious%20%7C%20Sojourn%3A%20The%20Gathering%20%7C%20James%20Luceno%E2%80%99s%20Darth%20Plagueis","Search")</x:f>
        <x:v>HYPERLINK is not implemented. linkLocation=https://www.youtube.com/results?search_query=Darth%20Plagueis%20%26%20Young%20Sidious%20%7C%20Sojourn%3A%20The%20Gathering%20%7C%20James%20Luceno%E2%80%99s%20Darth%20Plagueis, friendlyName=Search</x:v>
      </x:c>
      <x:c r="K411" s="53" t="str">
        <x:v>Plagueis/Tenebrous and young Sidious era, before The Phantom Menace.</x:v>
      </x:c>
      <x:c r="L411" s="76" t="str"/>
      <x:c r="M411" s="76" t="str">
        <x:v>Darth Plagueis &amp; Young Sidious | Sojourn: The Gathering | James Luceno’s Darth Plagueis</x:v>
      </x:c>
      <x:c r="N411" s="76"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411" s="76" t="str">
        <x:v>Fall of the Jedi — before Episode I</x:v>
      </x:c>
      <x:c r="P411" s="76" t="str">
        <x:v>IMG_6201.PNG</x:v>
      </x:c>
      <x:c r="Q411" s="76" t="str">
        <x:v>OCR extracted / placement assigned</x:v>
      </x:c>
      <x:c r="R411" s="76" t="str">
        <x:v>High</x:v>
      </x:c>
      <x:c r="S411" s="76" t="str"/>
      <x:c r="T411" s="76" t="str">
        <x:v>Unique</x:v>
      </x:c>
    </x:row>
    <x:row r="412" s="23" customFormat="1" ht="36" customHeight="1">
      <x:c r="A412" s="49" t="b">
        <x:v>0</x:v>
      </x:c>
      <x:c r="B412" s="56" t="str">
        <x:v>FV-0057</x:v>
      </x:c>
      <x:c r="C412" s="53" t="str">
        <x:v>Fan chronology — Fall of the Jedi</x:v>
      </x:c>
      <x:c r="D412" s="53" t="str">
        <x:v>Darth Plagueis by James Luceno | Episode 1 — Sidious Celebrated Too Soon @</x:v>
      </x:c>
      <x:c r="E412" s="53" t="str">
        <x:v>Episode 1</x:v>
      </x:c>
      <x:c r="F412" s="53" t="str">
        <x:v>October 9, 2026</x:v>
      </x:c>
      <x:c r="G412" s="53" t="str">
        <x:v>Fan-made / non-canon</x:v>
      </x:c>
      <x:c r="H412" s="53" t="str">
        <x:v>Fan video</x:v>
      </x:c>
      <x:c r="I412" s="53" t="str">
        <x:v>YouTube — search by title</x:v>
      </x:c>
      <x:c r="J412" s="59" t="e">
        <x:f>HYPERLINK("https://www.youtube.com/results?search_query=Darth%20Plagueis%20by%20James%20Luceno%20%7C%20Episode%201%20%E2%80%94%20Sidious%20Celebrated%20Too%20Soon%20%40","Search")</x:f>
        <x:v>HYPERLINK is not implemented. linkLocation=https://www.youtube.com/results?search_query=Darth%20Plagueis%20by%20James%20Luceno%20%7C%20Episode%201%20%E2%80%94%20Sidious%20Celebrated%20Too%20Soon%20%40, friendlyName=Search</x:v>
      </x:c>
      <x:c r="K412" s="53" t="str">
        <x:v>Plagueis/Tenebrous and young Sidious era, before The Phantom Menace.</x:v>
      </x:c>
      <x:c r="L412" s="76" t="str">
        <x:v>Darth Plagueis by James Luceno</x:v>
      </x:c>
      <x:c r="M412" s="76" t="str">
        <x:v>Darth Plagueis by James Luceno | Episode 1 — Sidious Celebrated Too Soon @</x:v>
      </x:c>
      <x:c r="N412" s="76"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412" s="76" t="str">
        <x:v>Fall of the Jedi — before Episode I</x:v>
      </x:c>
      <x:c r="P412" s="76" t="str">
        <x:v>IMG_6240.PNG</x:v>
      </x:c>
      <x:c r="Q412" s="76" t="str">
        <x:v>OCR extracted / placement assigned</x:v>
      </x:c>
      <x:c r="R412" s="76" t="str">
        <x:v>High</x:v>
      </x:c>
      <x:c r="S412" s="76" t="str"/>
      <x:c r="T412" s="76" t="str">
        <x:v>Unique</x:v>
      </x:c>
    </x:row>
    <x:row r="413" s="23" customFormat="1" ht="36" customHeight="1">
      <x:c r="A413" s="49" t="b">
        <x:v>0</x:v>
      </x:c>
      <x:c r="B413" s="56" t="str">
        <x:v>FV-0005</x:v>
      </x:c>
      <x:c r="C413" s="53" t="str">
        <x:v>Fan chronology — Fall of the Jedi</x:v>
      </x:c>
      <x:c r="D413" s="53" t="str">
        <x:v>Darth Plagueis by James Luceno | Legends Inspired | Before Sidious — Ep. 2: The Tour</x:v>
      </x:c>
      <x:c r="E413" s="53" t="str">
        <x:v>Ep. 2</x:v>
      </x:c>
      <x:c r="F413" s="53" t="str">
        <x:v>17h ago</x:v>
      </x:c>
      <x:c r="G413" s="53" t="str">
        <x:v>Fan-made / non-canon</x:v>
      </x:c>
      <x:c r="H413" s="53" t="str">
        <x:v>Fan video</x:v>
      </x:c>
      <x:c r="I413" s="53" t="str">
        <x:v>YouTube — search by title</x:v>
      </x:c>
      <x:c r="J413" s="59" t="e">
        <x:f>HYPERLINK("https://www.youtube.com/results?search_query=Darth%20Plagueis%20by%20James%20Luceno%20%7C%20Legends%20Inspired%20%7C%20Before%20Sidious%20%E2%80%94%20Ep.%202%3A%20The%20Tour","Search")</x:f>
        <x:v>HYPERLINK is not implemented. linkLocation=https://www.youtube.com/results?search_query=Darth%20Plagueis%20by%20James%20Luceno%20%7C%20Legends%20Inspired%20%7C%20Before%20Sidious%20%E2%80%94%20Ep.%202%3A%20The%20Tour, friendlyName=Search</x:v>
      </x:c>
      <x:c r="K413" s="53" t="str">
        <x:v>Plagueis/Tenebrous and young Sidious era, before The Phantom Menace.</x:v>
      </x:c>
      <x:c r="L413" s="76" t="str">
        <x:v>Before Sidious</x:v>
      </x:c>
      <x:c r="M413" s="76" t="str">
        <x:v>Darth Plagueis by James Luceno | Legends Inspired | Before Sidious — Ep. 2: The Tour</x:v>
      </x:c>
      <x:c r="N413" s="76"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413" s="76" t="str">
        <x:v>Fall of the Jedi — before Episode I</x:v>
      </x:c>
      <x:c r="P413" s="76" t="str">
        <x:v>IMG_6188.PNG</x:v>
      </x:c>
      <x:c r="Q413" s="76" t="str">
        <x:v>Needs review</x:v>
      </x:c>
      <x:c r="R413" s="76" t="str">
        <x:v>High</x:v>
      </x:c>
      <x:c r="S413" s="76" t="str">
        <x:v>Screenshot shows only a relative publication time</x:v>
      </x:c>
      <x:c r="T413" s="76" t="str">
        <x:v>Unique</x:v>
      </x:c>
    </x:row>
    <x:row r="414" s="23" customFormat="1" ht="36" customHeight="1">
      <x:c r="A414" s="49" t="b">
        <x:v>0</x:v>
      </x:c>
      <x:c r="B414" s="56" t="str">
        <x:v>FV-0006</x:v>
      </x:c>
      <x:c r="C414" s="53" t="str">
        <x:v>Fan chronology — Fall of the Jedi</x:v>
      </x:c>
      <x:c r="D414" s="53" t="str">
        <x:v>Darth Plagueis by James Luceno | Legends Inspired | Before Sidious — Episode 1</x:v>
      </x:c>
      <x:c r="E414" s="53" t="str">
        <x:v>Episode 1</x:v>
      </x:c>
      <x:c r="F414" s="53" t="str">
        <x:v>19h ago</x:v>
      </x:c>
      <x:c r="G414" s="53" t="str">
        <x:v>Fan-made / non-canon</x:v>
      </x:c>
      <x:c r="H414" s="53" t="str">
        <x:v>Fan video</x:v>
      </x:c>
      <x:c r="I414" s="53" t="str">
        <x:v>YouTube — search by title</x:v>
      </x:c>
      <x:c r="J414" s="59" t="e">
        <x:f>HYPERLINK("https://www.youtube.com/results?search_query=Darth%20Plagueis%20by%20James%20Luceno%20%7C%20Legends%20Inspired%20%7C%20Before%20Sidious%20%E2%80%94%20Episode%201","Search")</x:f>
        <x:v>HYPERLINK is not implemented. linkLocation=https://www.youtube.com/results?search_query=Darth%20Plagueis%20by%20James%20Luceno%20%7C%20Legends%20Inspired%20%7C%20Before%20Sidious%20%E2%80%94%20Episode%201, friendlyName=Search</x:v>
      </x:c>
      <x:c r="K414" s="53" t="str">
        <x:v>Plagueis/Tenebrous and young Sidious era, before The Phantom Menace.</x:v>
      </x:c>
      <x:c r="L414" s="76" t="str">
        <x:v>Before Sidious</x:v>
      </x:c>
      <x:c r="M414" s="76" t="str">
        <x:v>Darth Plagueis by James Luceno | Legends Inspired | Before Sidious — Episode 1</x:v>
      </x:c>
      <x:c r="N414" s="76"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414" s="76" t="str">
        <x:v>Fall of the Jedi — before Episode I</x:v>
      </x:c>
      <x:c r="P414" s="76" t="str">
        <x:v>IMG_6189.PNG</x:v>
      </x:c>
      <x:c r="Q414" s="76" t="str">
        <x:v>Needs review</x:v>
      </x:c>
      <x:c r="R414" s="76" t="str">
        <x:v>High</x:v>
      </x:c>
      <x:c r="S414" s="76" t="str">
        <x:v>Screenshot shows only a relative publication time</x:v>
      </x:c>
      <x:c r="T414" s="76" t="str">
        <x:v>Unique</x:v>
      </x:c>
    </x:row>
    <x:row r="415" s="23" customFormat="1" ht="36" customHeight="1">
      <x:c r="A415" s="49" t="b">
        <x:v>0</x:v>
      </x:c>
      <x:c r="B415" s="56" t="str">
        <x:v>FV-0273</x:v>
      </x:c>
      <x:c r="C415" s="53" t="str">
        <x:v>Fan chronology — Fall of the Jedi</x:v>
      </x:c>
      <x:c r="D415" s="53" t="str">
        <x:v>Darth Plagueis Called Into Death—Something Answered | Episode 6</x:v>
      </x:c>
      <x:c r="E415" s="53" t="str">
        <x:v>Episode 6</x:v>
      </x:c>
      <x:c r="F415" s="53" t="str">
        <x:v>September 3, 2026</x:v>
      </x:c>
      <x:c r="G415" s="53" t="str">
        <x:v>Fan-made / non-canon</x:v>
      </x:c>
      <x:c r="H415" s="53" t="str">
        <x:v>Fan video</x:v>
      </x:c>
      <x:c r="I415" s="53" t="str">
        <x:v>YouTube — search by title</x:v>
      </x:c>
      <x:c r="J415" s="59" t="e">
        <x:f>HYPERLINK("https://www.youtube.com/results?search_query=Darth%20Plagueis%20Called%20Into%20Death%E2%80%94Something%20Answered%20%7C%20Episode%206","Search")</x:f>
        <x:v>HYPERLINK is not implemented. linkLocation=https://www.youtube.com/results?search_query=Darth%20Plagueis%20Called%20Into%20Death%E2%80%94Something%20Answered%20%7C%20Episode%206, friendlyName=Search</x:v>
      </x:c>
      <x:c r="K415" s="53" t="str">
        <x:v>Plagueis/Tenebrous and young Sidious era, before The Phantom Menace.</x:v>
      </x:c>
      <x:c r="L415" s="76" t="str">
        <x:v>Darth Plagueis Called Into Death—Something Answered</x:v>
      </x:c>
      <x:c r="M415" s="76" t="str">
        <x:v>Darth Plagueis Called Into Death—Something Answered | Episode 6</x:v>
      </x:c>
      <x:c r="N415" s="76"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415" s="76" t="str">
        <x:v>Fall of the Jedi — before Episode I</x:v>
      </x:c>
      <x:c r="P415" s="76" t="str">
        <x:v>IMG_6458.PNG</x:v>
      </x:c>
      <x:c r="Q415" s="76" t="str">
        <x:v>OCR extracted / placement assigned</x:v>
      </x:c>
      <x:c r="R415" s="76" t="str">
        <x:v>High</x:v>
      </x:c>
      <x:c r="S415" s="76" t="str"/>
      <x:c r="T415" s="76" t="str">
        <x:v>Unique</x:v>
      </x:c>
    </x:row>
    <x:row r="416" s="23" customFormat="1" ht="36" customHeight="1">
      <x:c r="A416" s="49" t="b">
        <x:v>0</x:v>
      </x:c>
      <x:c r="B416" s="56" t="str">
        <x:v>FV-0286</x:v>
      </x:c>
      <x:c r="C416" s="53" t="str">
        <x:v>Fan chronology — Fall of the Jedi</x:v>
      </x:c>
      <x:c r="D416" s="53" t="str">
        <x:v>Darth Plagueis Chapter IV — Death Is Only an Experiment</x:v>
      </x:c>
      <x:c r="E416" s="53" t="str">
        <x:v>Chapter IV</x:v>
      </x:c>
      <x:c r="F416" s="53" t="str">
        <x:v>September 2, 2026</x:v>
      </x:c>
      <x:c r="G416" s="53" t="str">
        <x:v>Fan-made / non-canon</x:v>
      </x:c>
      <x:c r="H416" s="53" t="str">
        <x:v>Fan video</x:v>
      </x:c>
      <x:c r="I416" s="53" t="str">
        <x:v>YouTube — search by title</x:v>
      </x:c>
      <x:c r="J416" s="59" t="e">
        <x:f>HYPERLINK("https://www.youtube.com/results?search_query=Darth%20Plagueis%20Chapter%20IV%20%E2%80%94%20Death%20Is%20Only%20an%20Experiment","Search")</x:f>
        <x:v>HYPERLINK is not implemented. linkLocation=https://www.youtube.com/results?search_query=Darth%20Plagueis%20Chapter%20IV%20%E2%80%94%20Death%20Is%20Only%20an%20Experiment, friendlyName=Search</x:v>
      </x:c>
      <x:c r="K416" s="53" t="str">
        <x:v>Plagueis/Tenebrous and young Sidious era, before The Phantom Menace.</x:v>
      </x:c>
      <x:c r="L416" s="76" t="str">
        <x:v>Darth Plagueis</x:v>
      </x:c>
      <x:c r="M416" s="76" t="str">
        <x:v>Darth Plagueis Chapter IV — Death Is Only an Experiment</x:v>
      </x:c>
      <x:c r="N416" s="76"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416" s="76" t="str">
        <x:v>Fall of the Jedi — before Episode I</x:v>
      </x:c>
      <x:c r="P416" s="76" t="str">
        <x:v>IMG_6471.PNG</x:v>
      </x:c>
      <x:c r="Q416" s="76" t="str">
        <x:v>OCR extracted / placement assigned</x:v>
      </x:c>
      <x:c r="R416" s="76" t="str">
        <x:v>High</x:v>
      </x:c>
      <x:c r="S416" s="76" t="str"/>
      <x:c r="T416" s="76" t="str">
        <x:v>Unique</x:v>
      </x:c>
    </x:row>
    <x:row r="417" s="23" customFormat="1" ht="36" customHeight="1">
      <x:c r="A417" s="49" t="b">
        <x:v>0</x:v>
      </x:c>
      <x:c r="B417" s="56" t="str">
        <x:v>FV-0285</x:v>
      </x:c>
      <x:c r="C417" s="53" t="str">
        <x:v>Fan chronology — Fall of the Jedi</x:v>
      </x:c>
      <x:c r="D417" s="53" t="str">
        <x:v>Darth Plagueis Chapter V — He Never Needed a Lightsaber</x:v>
      </x:c>
      <x:c r="E417" s="53" t="str">
        <x:v>Chapter V</x:v>
      </x:c>
      <x:c r="F417" s="53" t="str">
        <x:v>September 2, 2026</x:v>
      </x:c>
      <x:c r="G417" s="53" t="str">
        <x:v>Fan-made / non-canon</x:v>
      </x:c>
      <x:c r="H417" s="53" t="str">
        <x:v>Fan video</x:v>
      </x:c>
      <x:c r="I417" s="53" t="str">
        <x:v>YouTube — search by title</x:v>
      </x:c>
      <x:c r="J417" s="59" t="e">
        <x:f>HYPERLINK("https://www.youtube.com/results?search_query=Darth%20Plagueis%20Chapter%20V%20%E2%80%94%20He%20Never%20Needed%20a%20Lightsaber","Search")</x:f>
        <x:v>HYPERLINK is not implemented. linkLocation=https://www.youtube.com/results?search_query=Darth%20Plagueis%20Chapter%20V%20%E2%80%94%20He%20Never%20Needed%20a%20Lightsaber, friendlyName=Search</x:v>
      </x:c>
      <x:c r="K417" s="53" t="str">
        <x:v>Plagueis/Tenebrous and young Sidious era, before The Phantom Menace.</x:v>
      </x:c>
      <x:c r="L417" s="76" t="str">
        <x:v>Darth Plagueis</x:v>
      </x:c>
      <x:c r="M417" s="76" t="str">
        <x:v>Darth Plagueis Chapter V — He Never Needed a Lightsaber</x:v>
      </x:c>
      <x:c r="N417" s="76"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417" s="76" t="str">
        <x:v>Fall of the Jedi — before Episode I</x:v>
      </x:c>
      <x:c r="P417" s="76" t="str">
        <x:v>IMG_6470.PNG</x:v>
      </x:c>
      <x:c r="Q417" s="76" t="str">
        <x:v>OCR extracted / placement assigned</x:v>
      </x:c>
      <x:c r="R417" s="76" t="str">
        <x:v>High</x:v>
      </x:c>
      <x:c r="S417" s="76" t="str"/>
      <x:c r="T417" s="76" t="str">
        <x:v>Unique</x:v>
      </x:c>
    </x:row>
    <x:row r="418" s="23" customFormat="1" ht="36" customHeight="1">
      <x:c r="A418" s="49" t="b">
        <x:v>0</x:v>
      </x:c>
      <x:c r="B418" s="56" t="str">
        <x:v>FV-0260</x:v>
      </x:c>
      <x:c r="C418" s="53" t="str">
        <x:v>Fan chronology — Fall of the Jedi</x:v>
      </x:c>
      <x:c r="D418" s="53" t="str">
        <x:v>DARTH PLAGUEIS POISONED VENAMIS— THEN KEPT HIM ALIVE | EPISODE 8</x:v>
      </x:c>
      <x:c r="E418" s="53" t="str">
        <x:v>EPISODE 8</x:v>
      </x:c>
      <x:c r="F418" s="53" t="str">
        <x:v>September 5, 2026</x:v>
      </x:c>
      <x:c r="G418" s="53" t="str">
        <x:v>Fan-made / non-canon</x:v>
      </x:c>
      <x:c r="H418" s="53" t="str">
        <x:v>Fan video</x:v>
      </x:c>
      <x:c r="I418" s="53" t="str">
        <x:v>YouTube — search by title</x:v>
      </x:c>
      <x:c r="J418" s="59" t="e">
        <x:f>HYPERLINK("https://www.youtube.com/results?search_query=DARTH%20PLAGUEIS%20POISONED%20VENAMIS%E2%80%94%20THEN%20KEPT%20HIM%20ALIVE%20%7C%20EPISODE%208","Search")</x:f>
        <x:v>HYPERLINK is not implemented. linkLocation=https://www.youtube.com/results?search_query=DARTH%20PLAGUEIS%20POISONED%20VENAMIS%E2%80%94%20THEN%20KEPT%20HIM%20ALIVE%20%7C%20EPISODE%208, friendlyName=Search</x:v>
      </x:c>
      <x:c r="K418" s="53" t="str">
        <x:v>Plagueis/Tenebrous and young Sidious era, before The Phantom Menace.</x:v>
      </x:c>
      <x:c r="L418" s="76" t="str">
        <x:v>DARTH PLAGUEIS POISONED VENAMIS— THEN KEPT HIM ALIVE</x:v>
      </x:c>
      <x:c r="M418" s="76" t="str">
        <x:v>DARTH PLAGUEIS POISONED VENAMIS— THEN KEPT HIM ALIVE | EPISODE 8</x:v>
      </x:c>
      <x:c r="N418" s="76"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418" s="76" t="str">
        <x:v>Fall of the Jedi — before Episode I</x:v>
      </x:c>
      <x:c r="P418" s="76" t="str">
        <x:v>IMG_6445.PNG</x:v>
      </x:c>
      <x:c r="Q418" s="76" t="str">
        <x:v>OCR extracted / placement assigned</x:v>
      </x:c>
      <x:c r="R418" s="76" t="str">
        <x:v>High</x:v>
      </x:c>
      <x:c r="S418" s="76" t="str"/>
      <x:c r="T418" s="76" t="str">
        <x:v>Unique</x:v>
      </x:c>
    </x:row>
    <x:row r="419" s="23" customFormat="1" ht="36" customHeight="1">
      <x:c r="A419" s="49" t="b">
        <x:v>0</x:v>
      </x:c>
      <x:c r="B419" s="56" t="str">
        <x:v>FV-0247</x:v>
      </x:c>
      <x:c r="C419" s="53" t="str">
        <x:v>Fan chronology — Fall of the Jedi</x:v>
      </x:c>
      <x:c r="D419" s="53" t="str">
        <x:v>DARTH PLAGUEIS PUT VENAMIS IN THE TANK</x:v>
      </x:c>
      <x:c r="E419" s="53" t="str"/>
      <x:c r="F419" s="53" t="str">
        <x:v>September 7, 2026</x:v>
      </x:c>
      <x:c r="G419" s="53" t="str">
        <x:v>Fan-made / non-canon</x:v>
      </x:c>
      <x:c r="H419" s="53" t="str">
        <x:v>Fan video</x:v>
      </x:c>
      <x:c r="I419" s="53" t="str">
        <x:v>YouTube — search by title</x:v>
      </x:c>
      <x:c r="J419" s="59" t="e">
        <x:f>HYPERLINK("https://www.youtube.com/results?search_query=DARTH%20PLAGUEIS%20PUT%20VENAMIS%20IN%20THE%20TANK","Search")</x:f>
        <x:v>HYPERLINK is not implemented. linkLocation=https://www.youtube.com/results?search_query=DARTH%20PLAGUEIS%20PUT%20VENAMIS%20IN%20THE%20TANK, friendlyName=Search</x:v>
      </x:c>
      <x:c r="K419" s="53" t="str">
        <x:v>Plagueis/Tenebrous and young Sidious era, before The Phantom Menace.</x:v>
      </x:c>
      <x:c r="L419" s="76" t="str"/>
      <x:c r="M419" s="76" t="str">
        <x:v>DARTH PLAGUEIS PUT VENAMIS IN THE TANK</x:v>
      </x:c>
      <x:c r="N419" s="76"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419" s="76" t="str">
        <x:v>Fall of the Jedi — before Episode I</x:v>
      </x:c>
      <x:c r="P419" s="76" t="str">
        <x:v>IMG_6430.PNG</x:v>
      </x:c>
      <x:c r="Q419" s="76" t="str">
        <x:v>OCR extracted / placement assigned</x:v>
      </x:c>
      <x:c r="R419" s="76" t="str">
        <x:v>High</x:v>
      </x:c>
      <x:c r="S419" s="76" t="str"/>
      <x:c r="T419" s="76" t="str">
        <x:v>Unique</x:v>
      </x:c>
    </x:row>
    <x:row r="420" s="23" customFormat="1" ht="36" customHeight="1">
      <x:c r="A420" s="49" t="b">
        <x:v>0</x:v>
      </x:c>
      <x:c r="B420" s="56" t="str">
        <x:v>FV-0241</x:v>
      </x:c>
      <x:c r="C420" s="53" t="str">
        <x:v>Fan chronology — Fall of the Jedi</x:v>
      </x:c>
      <x:c r="D420" s="53" t="str">
        <x:v>DARTH PLAGUEIS STOPPED HIS HEART— THEN STARTED IT AGAIN | EPISODE 9</x:v>
      </x:c>
      <x:c r="E420" s="53" t="str">
        <x:v>EPISODE 9</x:v>
      </x:c>
      <x:c r="F420" s="53" t="str">
        <x:v>September 8, 2026</x:v>
      </x:c>
      <x:c r="G420" s="53" t="str">
        <x:v>Fan-made / non-canon</x:v>
      </x:c>
      <x:c r="H420" s="53" t="str">
        <x:v>Fan video</x:v>
      </x:c>
      <x:c r="I420" s="53" t="str">
        <x:v>YouTube — search by title</x:v>
      </x:c>
      <x:c r="J420" s="59" t="e">
        <x:f>HYPERLINK("https://www.youtube.com/results?search_query=DARTH%20PLAGUEIS%20STOPPED%20HIS%20HEART%E2%80%94%20THEN%20STARTED%20IT%20AGAIN%20%7C%20EPISODE%209","Search")</x:f>
        <x:v>HYPERLINK is not implemented. linkLocation=https://www.youtube.com/results?search_query=DARTH%20PLAGUEIS%20STOPPED%20HIS%20HEART%E2%80%94%20THEN%20STARTED%20IT%20AGAIN%20%7C%20EPISODE%209, friendlyName=Search</x:v>
      </x:c>
      <x:c r="K420" s="53" t="str">
        <x:v>Plagueis/Tenebrous and young Sidious era, before The Phantom Menace.</x:v>
      </x:c>
      <x:c r="L420" s="76" t="str">
        <x:v>DARTH PLAGUEIS STOPPED HIS HEART— THEN STARTED IT AGAIN</x:v>
      </x:c>
      <x:c r="M420" s="76" t="str">
        <x:v>DARTH PLAGUEIS STOPPED HIS HEART— THEN STARTED IT AGAIN | EPISODE 9</x:v>
      </x:c>
      <x:c r="N420" s="76"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420" s="76" t="str">
        <x:v>Fall of the Jedi — before Episode I</x:v>
      </x:c>
      <x:c r="P420" s="76" t="str">
        <x:v>IMG_6424.PNG</x:v>
      </x:c>
      <x:c r="Q420" s="76" t="str">
        <x:v>OCR extracted / placement assigned</x:v>
      </x:c>
      <x:c r="R420" s="76" t="str">
        <x:v>High</x:v>
      </x:c>
      <x:c r="S420" s="76" t="str"/>
      <x:c r="T420" s="76" t="str">
        <x:v>Unique</x:v>
      </x:c>
    </x:row>
    <x:row r="421" s="23" customFormat="1" ht="36" customHeight="1">
      <x:c r="A421" s="49" t="b">
        <x:v>0</x:v>
      </x:c>
      <x:c r="B421" s="56" t="str">
        <x:v>FV-0291</x:v>
      </x:c>
      <x:c r="C421" s="53" t="str">
        <x:v>Fan chronology — Fall of the Jedi</x:v>
      </x:c>
      <x:c r="D421" s="53" t="str">
        <x:v>Darth Plagueis the Wise — The Sith Who Commanded Life and Death</x:v>
      </x:c>
      <x:c r="E421" s="53" t="str"/>
      <x:c r="F421" s="53" t="str">
        <x:v>September 1, 2026</x:v>
      </x:c>
      <x:c r="G421" s="53" t="str">
        <x:v>Fan-made / non-canon</x:v>
      </x:c>
      <x:c r="H421" s="53" t="str">
        <x:v>Fan video</x:v>
      </x:c>
      <x:c r="I421" s="53" t="str">
        <x:v>YouTube — search by title</x:v>
      </x:c>
      <x:c r="J421" s="59" t="e">
        <x:f>HYPERLINK("https://www.youtube.com/results?search_query=Darth%20Plagueis%20the%20Wise%20%E2%80%94%20The%20Sith%20Who%20Commanded%20Life%20and%20Death","Search")</x:f>
        <x:v>HYPERLINK is not implemented. linkLocation=https://www.youtube.com/results?search_query=Darth%20Plagueis%20the%20Wise%20%E2%80%94%20The%20Sith%20Who%20Commanded%20Life%20and%20Death, friendlyName=Search</x:v>
      </x:c>
      <x:c r="K421" s="53" t="str">
        <x:v>Plagueis/Tenebrous and young Sidious era, before The Phantom Menace.</x:v>
      </x:c>
      <x:c r="L421" s="76" t="str"/>
      <x:c r="M421" s="76" t="str">
        <x:v>Darth Plagueis the Wise — The Sith Who Commanded Life and Death</x:v>
      </x:c>
      <x:c r="N421" s="76"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421" s="76" t="str">
        <x:v>Fall of the Jedi — before Episode I</x:v>
      </x:c>
      <x:c r="P421" s="76" t="str">
        <x:v>IMG_6476.PNG</x:v>
      </x:c>
      <x:c r="Q421" s="76" t="str">
        <x:v>OCR extracted / placement assigned</x:v>
      </x:c>
      <x:c r="R421" s="76" t="str">
        <x:v>High</x:v>
      </x:c>
      <x:c r="S421" s="76" t="str"/>
      <x:c r="T421" s="76" t="str">
        <x:v>Unique</x:v>
      </x:c>
    </x:row>
    <x:row r="422" s="23" customFormat="1" ht="36" customHeight="1">
      <x:c r="A422" s="49" t="b">
        <x:v>0</x:v>
      </x:c>
      <x:c r="B422" s="56" t="str">
        <x:v>FV-0298</x:v>
      </x:c>
      <x:c r="C422" s="53" t="str">
        <x:v>Fan chronology — Fall of the Jedi</x:v>
      </x:c>
      <x:c r="D422" s="53" t="str">
        <x:v>Darth Plagueis the Wise — The Sith Who Tried to Conquer Death</x:v>
      </x:c>
      <x:c r="E422" s="53" t="str"/>
      <x:c r="F422" s="53" t="str">
        <x:v>September 1, 2026</x:v>
      </x:c>
      <x:c r="G422" s="53" t="str">
        <x:v>Fan-made / non-canon</x:v>
      </x:c>
      <x:c r="H422" s="53" t="str">
        <x:v>Fan video</x:v>
      </x:c>
      <x:c r="I422" s="53" t="str">
        <x:v>YouTube — search by title</x:v>
      </x:c>
      <x:c r="J422" s="59" t="e">
        <x:f>HYPERLINK("https://www.youtube.com/results?search_query=Darth%20Plagueis%20the%20Wise%20%E2%80%94%20The%20Sith%20Who%20Tried%20to%20Conquer%20Death","Search")</x:f>
        <x:v>HYPERLINK is not implemented. linkLocation=https://www.youtube.com/results?search_query=Darth%20Plagueis%20the%20Wise%20%E2%80%94%20The%20Sith%20Who%20Tried%20to%20Conquer%20Death, friendlyName=Search</x:v>
      </x:c>
      <x:c r="K422" s="53" t="str">
        <x:v>Plagueis/Tenebrous and young Sidious era, before The Phantom Menace.</x:v>
      </x:c>
      <x:c r="L422" s="76" t="str"/>
      <x:c r="M422" s="76" t="str">
        <x:v>Darth Plagueis the Wise — The Sith Who Tried to Conquer Death</x:v>
      </x:c>
      <x:c r="N422" s="76"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422" s="76" t="str">
        <x:v>Fall of the Jedi — before Episode I</x:v>
      </x:c>
      <x:c r="P422" s="76" t="str">
        <x:v>IMG_6484.PNG</x:v>
      </x:c>
      <x:c r="Q422" s="76" t="str">
        <x:v>OCR extracted / placement assigned</x:v>
      </x:c>
      <x:c r="R422" s="76" t="str">
        <x:v>High</x:v>
      </x:c>
      <x:c r="S422" s="76" t="str"/>
      <x:c r="T422" s="76" t="str">
        <x:v>Unique</x:v>
      </x:c>
    </x:row>
    <x:row r="423" s="23" customFormat="1" ht="36" customHeight="1">
      <x:c r="A423" s="49" t="b">
        <x:v>0</x:v>
      </x:c>
      <x:c r="B423" s="56" t="str">
        <x:v>FV-0153</x:v>
      </x:c>
      <x:c r="C423" s="53" t="str">
        <x:v>Fan chronology — Fall of the Jedi</x:v>
      </x:c>
      <x:c r="D423" s="53" t="str">
        <x:v>DARTH PLAGUEIS vs DARTH TENEBROUS 4 THE LAB TURNS AGAINST THEM | Episode 16</x:v>
      </x:c>
      <x:c r="E423" s="53" t="str">
        <x:v>Episode 16</x:v>
      </x:c>
      <x:c r="F423" s="53" t="str">
        <x:v>September 29, 2026</x:v>
      </x:c>
      <x:c r="G423" s="53" t="str">
        <x:v>Fan-made / non-canon</x:v>
      </x:c>
      <x:c r="H423" s="53" t="str">
        <x:v>Fan video</x:v>
      </x:c>
      <x:c r="I423" s="53" t="str">
        <x:v>YouTube — search by title</x:v>
      </x:c>
      <x:c r="J423" s="59" t="e">
        <x:f>HYPERLINK("https://www.youtube.com/results?search_query=DARTH%20PLAGUEIS%20vs%20DARTH%20TENEBROUS%204%20THE%20LAB%20TURNS%20AGAINST%20THEM%20%7C%20Episode%2016","Search")</x:f>
        <x:v>HYPERLINK is not implemented. linkLocation=https://www.youtube.com/results?search_query=DARTH%20PLAGUEIS%20vs%20DARTH%20TENEBROUS%204%20THE%20LAB%20TURNS%20AGAINST%20THEM%20%7C%20Episode%2016, friendlyName=Search</x:v>
      </x:c>
      <x:c r="K423" s="53" t="str">
        <x:v>Plagueis/Tenebrous and young Sidious era, before The Phantom Menace.</x:v>
      </x:c>
      <x:c r="L423" s="76" t="str">
        <x:v>DARTH PLAGUEIS vs DARTH TENEBROUS 4 THE LAB TURNS AGAINST THEM</x:v>
      </x:c>
      <x:c r="M423" s="76" t="str">
        <x:v>DARTH PLAGUEIS vs DARTH TENEBROUS 4 THE LAB TURNS AGAINST THEM | Episode 16</x:v>
      </x:c>
      <x:c r="N423" s="76"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423" s="76" t="str">
        <x:v>Fall of the Jedi — before Episode I</x:v>
      </x:c>
      <x:c r="P423" s="76" t="str">
        <x:v>IMG_6336.PNG</x:v>
      </x:c>
      <x:c r="Q423" s="76" t="str">
        <x:v>OCR extracted / placement assigned</x:v>
      </x:c>
      <x:c r="R423" s="76" t="str">
        <x:v>High</x:v>
      </x:c>
      <x:c r="S423" s="76" t="str"/>
      <x:c r="T423" s="76" t="str">
        <x:v>Unique</x:v>
      </x:c>
    </x:row>
    <x:row r="424" s="23" customFormat="1" ht="36" customHeight="1">
      <x:c r="A424" s="49" t="b">
        <x:v>0</x:v>
      </x:c>
      <x:c r="B424" s="56" t="str">
        <x:v>FV-0178</x:v>
      </x:c>
      <x:c r="C424" s="53" t="str">
        <x:v>Fan chronology — Fall of the Jedi</x:v>
      </x:c>
      <x:c r="D424" s="53" t="str">
        <x:v>DARTH PLAGUEIS vs TENEBROUS é HIS DEAD MASTER RETURNS! | Episode 13</x:v>
      </x:c>
      <x:c r="E424" s="53" t="str">
        <x:v>Episode 13</x:v>
      </x:c>
      <x:c r="F424" s="53" t="str">
        <x:v>September 25, 2026</x:v>
      </x:c>
      <x:c r="G424" s="53" t="str">
        <x:v>Fan-made / non-canon</x:v>
      </x:c>
      <x:c r="H424" s="53" t="str">
        <x:v>Fan video</x:v>
      </x:c>
      <x:c r="I424" s="53" t="str">
        <x:v>YouTube — search by title</x:v>
      </x:c>
      <x:c r="J424" s="59" t="e">
        <x:f>HYPERLINK("https://www.youtube.com/results?search_query=DARTH%20PLAGUEIS%20vs%20TENEBROUS%20%C3%A9%20HIS%20DEAD%20MASTER%20RETURNS!%20%7C%20Episode%2013","Search")</x:f>
        <x:v>HYPERLINK is not implemented. linkLocation=https://www.youtube.com/results?search_query=DARTH%20PLAGUEIS%20vs%20TENEBROUS%20%C3%A9%20HIS%20DEAD%20MASTER%20RETURNS!%20%7C%20Episode%2013, friendlyName=Search</x:v>
      </x:c>
      <x:c r="K424" s="53" t="str">
        <x:v>Plagueis/Tenebrous and young Sidious era, before The Phantom Menace.</x:v>
      </x:c>
      <x:c r="L424" s="76" t="str">
        <x:v>DARTH PLAGUEIS vs TENEBROUS é HIS DEAD MASTER RETURNS!</x:v>
      </x:c>
      <x:c r="M424" s="76" t="str">
        <x:v>DARTH PLAGUEIS vs TENEBROUS é HIS DEAD MASTER RETURNS! | Episode 13</x:v>
      </x:c>
      <x:c r="N424" s="76"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424" s="76" t="str">
        <x:v>Fall of the Jedi — before Episode I</x:v>
      </x:c>
      <x:c r="P424" s="76" t="str">
        <x:v>IMG_6361.PNG</x:v>
      </x:c>
      <x:c r="Q424" s="76" t="str">
        <x:v>OCR extracted / placement assigned</x:v>
      </x:c>
      <x:c r="R424" s="76" t="str">
        <x:v>High</x:v>
      </x:c>
      <x:c r="S424" s="76" t="str"/>
      <x:c r="T424" s="76" t="str">
        <x:v>Unique</x:v>
      </x:c>
    </x:row>
    <x:row r="425" s="23" customFormat="1" ht="36" customHeight="1">
      <x:c r="A425" s="49" t="b">
        <x:v>0</x:v>
      </x:c>
      <x:c r="B425" s="56" t="str">
        <x:v>FV-0173</x:v>
      </x:c>
      <x:c r="C425" s="53" t="str">
        <x:v>Fan chronology — Fall of the Jedi</x:v>
      </x:c>
      <x:c r="D425" s="53" t="str">
        <x:v>DARTH PLAGUEIS vs TENEBROUS é HIS MASTER'S LAST DEFENSE! | Episode 14</x:v>
      </x:c>
      <x:c r="E425" s="53" t="str">
        <x:v>Episode 14</x:v>
      </x:c>
      <x:c r="F425" s="53" t="str">
        <x:v>September 26, 2026</x:v>
      </x:c>
      <x:c r="G425" s="53" t="str">
        <x:v>Fan-made / non-canon</x:v>
      </x:c>
      <x:c r="H425" s="53" t="str">
        <x:v>Fan video</x:v>
      </x:c>
      <x:c r="I425" s="53" t="str">
        <x:v>YouTube — search by title</x:v>
      </x:c>
      <x:c r="J425" s="59" t="e">
        <x:f>HYPERLINK("https://www.youtube.com/results?search_query=DARTH%20PLAGUEIS%20vs%20TENEBROUS%20%C3%A9%20HIS%20MASTER'S%20LAST%20DEFENSE!%20%7C%20Episode%2014","Search")</x:f>
        <x:v>HYPERLINK is not implemented. linkLocation=https://www.youtube.com/results?search_query=DARTH%20PLAGUEIS%20vs%20TENEBROUS%20%C3%A9%20HIS%20MASTER'S%20LAST%20DEFENSE!%20%7C%20Episode%2014, friendlyName=Search</x:v>
      </x:c>
      <x:c r="K425" s="53" t="str">
        <x:v>Plagueis/Tenebrous and young Sidious era, before The Phantom Menace.</x:v>
      </x:c>
      <x:c r="L425" s="76" t="str">
        <x:v>DARTH PLAGUEIS vs TENEBROUS é HIS MASTER'S LAST DEFENSE!</x:v>
      </x:c>
      <x:c r="M425" s="76" t="str">
        <x:v>DARTH PLAGUEIS vs TENEBROUS é HIS MASTER'S LAST DEFENSE! | Episode 14</x:v>
      </x:c>
      <x:c r="N425" s="76"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425" s="76" t="str">
        <x:v>Fall of the Jedi — before Episode I</x:v>
      </x:c>
      <x:c r="P425" s="76" t="str">
        <x:v>IMG_6356.PNG</x:v>
      </x:c>
      <x:c r="Q425" s="76" t="str">
        <x:v>OCR extracted / placement assigned</x:v>
      </x:c>
      <x:c r="R425" s="76" t="str">
        <x:v>High</x:v>
      </x:c>
      <x:c r="S425" s="76" t="str"/>
      <x:c r="T425" s="76" t="str">
        <x:v>Unique</x:v>
      </x:c>
    </x:row>
    <x:row r="426" s="23" customFormat="1" ht="36" customHeight="1">
      <x:c r="A426" s="49" t="b">
        <x:v>0</x:v>
      </x:c>
      <x:c r="B426" s="56" t="str">
        <x:v>FV-0169</x:v>
      </x:c>
      <x:c r="C426" s="53" t="str">
        <x:v>Fan chronology — Fall of the Jedi</x:v>
      </x:c>
      <x:c r="D426" s="53" t="str">
        <x:v>DARTH PLAGUEIS vs TENEBROUS THE MASTER'S FURY! | Episode 15</x:v>
      </x:c>
      <x:c r="E426" s="53" t="str">
        <x:v>Episode 15</x:v>
      </x:c>
      <x:c r="F426" s="53" t="str">
        <x:v>September 27, 2026</x:v>
      </x:c>
      <x:c r="G426" s="53" t="str">
        <x:v>Fan-made / non-canon</x:v>
      </x:c>
      <x:c r="H426" s="53" t="str">
        <x:v>Fan video</x:v>
      </x:c>
      <x:c r="I426" s="53" t="str">
        <x:v>YouTube — search by title</x:v>
      </x:c>
      <x:c r="J426" s="59" t="e">
        <x:f>HYPERLINK("https://www.youtube.com/results?search_query=DARTH%20PLAGUEIS%20vs%20TENEBROUS%20THE%20MASTER'S%20FURY!%20%7C%20Episode%2015","Search")</x:f>
        <x:v>HYPERLINK is not implemented. linkLocation=https://www.youtube.com/results?search_query=DARTH%20PLAGUEIS%20vs%20TENEBROUS%20THE%20MASTER'S%20FURY!%20%7C%20Episode%2015, friendlyName=Search</x:v>
      </x:c>
      <x:c r="K426" s="53" t="str">
        <x:v>Plagueis/Tenebrous and young Sidious era, before The Phantom Menace.</x:v>
      </x:c>
      <x:c r="L426" s="76" t="str">
        <x:v>DARTH PLAGUEIS vs TENEBROUS THE MASTER'S FURY!</x:v>
      </x:c>
      <x:c r="M426" s="76" t="str">
        <x:v>DARTH PLAGUEIS vs TENEBROUS THE MASTER'S FURY! | Episode 15</x:v>
      </x:c>
      <x:c r="N426" s="76"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426" s="76" t="str">
        <x:v>Fall of the Jedi — before Episode I</x:v>
      </x:c>
      <x:c r="P426" s="76" t="str">
        <x:v>IMG_6352.PNG</x:v>
      </x:c>
      <x:c r="Q426" s="76" t="str">
        <x:v>OCR extracted / placement assigned</x:v>
      </x:c>
      <x:c r="R426" s="76" t="str">
        <x:v>High</x:v>
      </x:c>
      <x:c r="S426" s="76" t="str"/>
      <x:c r="T426" s="76" t="str">
        <x:v>Unique</x:v>
      </x:c>
    </x:row>
    <x:row r="427" s="23" customFormat="1" ht="36" customHeight="1">
      <x:c r="A427" s="49" t="b">
        <x:v>0</x:v>
      </x:c>
      <x:c r="B427" s="56" t="str">
        <x:v>FV-0162</x:v>
      </x:c>
      <x:c r="C427" s="53" t="str">
        <x:v>Fan chronology — Fall of the Jedi</x:v>
      </x:c>
      <x:c r="D427" s="53" t="str">
        <x:v>DARTH PLAGUEIS VS. DARTH TENEBROUS é THE MASTER'S FURY | Episode 15</x:v>
      </x:c>
      <x:c r="E427" s="53" t="str">
        <x:v>Episode 15</x:v>
      </x:c>
      <x:c r="F427" s="53" t="str">
        <x:v>September 28, 2026</x:v>
      </x:c>
      <x:c r="G427" s="53" t="str">
        <x:v>Fan-made / non-canon</x:v>
      </x:c>
      <x:c r="H427" s="53" t="str">
        <x:v>Fan video</x:v>
      </x:c>
      <x:c r="I427" s="53" t="str">
        <x:v>YouTube — search by title</x:v>
      </x:c>
      <x:c r="J427" s="59" t="e">
        <x:f>HYPERLINK("https://www.youtube.com/results?search_query=DARTH%20PLAGUEIS%20VS.%20DARTH%20TENEBROUS%20%C3%A9%20THE%20MASTER'S%20FURY%20%7C%20Episode%2015","Search")</x:f>
        <x:v>HYPERLINK is not implemented. linkLocation=https://www.youtube.com/results?search_query=DARTH%20PLAGUEIS%20VS.%20DARTH%20TENEBROUS%20%C3%A9%20THE%20MASTER'S%20FURY%20%7C%20Episode%2015, friendlyName=Search</x:v>
      </x:c>
      <x:c r="K427" s="53" t="str">
        <x:v>Plagueis/Tenebrous and young Sidious era, before The Phantom Menace.</x:v>
      </x:c>
      <x:c r="L427" s="76" t="str">
        <x:v>DARTH PLAGUEIS VS. DARTH TENEBROUS é THE MASTER'S FURY</x:v>
      </x:c>
      <x:c r="M427" s="76" t="str">
        <x:v>DARTH PLAGUEIS VS. DARTH TENEBROUS é THE MASTER'S FURY | Episode 15</x:v>
      </x:c>
      <x:c r="N427" s="76"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427" s="76" t="str">
        <x:v>Fall of the Jedi — before Episode I</x:v>
      </x:c>
      <x:c r="P427" s="76" t="str">
        <x:v>IMG_6345.PNG</x:v>
      </x:c>
      <x:c r="Q427" s="76" t="str">
        <x:v>OCR extracted / placement assigned</x:v>
      </x:c>
      <x:c r="R427" s="76" t="str">
        <x:v>High</x:v>
      </x:c>
      <x:c r="S427" s="76" t="str"/>
      <x:c r="T427" s="76" t="str">
        <x:v>Unique</x:v>
      </x:c>
    </x:row>
    <x:row r="428" s="23" customFormat="1" ht="36" customHeight="1">
      <x:c r="A428" s="49" t="b">
        <x:v>0</x:v>
      </x:c>
      <x:c r="B428" s="56" t="str">
        <x:v>FV-0235</x:v>
      </x:c>
      <x:c r="C428" s="53" t="str">
        <x:v>Fan chronology — Fall of the Jedi</x:v>
      </x:c>
      <x:c r="D428" s="53" t="str">
        <x:v>DARTH PLAGUEIS: THE RULE OF TWO | Plagueis Chronicles Episode 10</x:v>
      </x:c>
      <x:c r="E428" s="53" t="str">
        <x:v>Episode 10</x:v>
      </x:c>
      <x:c r="F428" s="53" t="str">
        <x:v>September 9, 2026</x:v>
      </x:c>
      <x:c r="G428" s="53" t="str">
        <x:v>Fan-made / non-canon</x:v>
      </x:c>
      <x:c r="H428" s="53" t="str">
        <x:v>Fan video</x:v>
      </x:c>
      <x:c r="I428" s="53" t="str">
        <x:v>YouTube — search by title</x:v>
      </x:c>
      <x:c r="J428" s="59" t="e">
        <x:f>HYPERLINK("https://www.youtube.com/results?search_query=DARTH%20PLAGUEIS%3A%20THE%20RULE%20OF%20TWO%20%7C%20Plagueis%20Chronicles%20Episode%2010","Search")</x:f>
        <x:v>HYPERLINK is not implemented. linkLocation=https://www.youtube.com/results?search_query=DARTH%20PLAGUEIS%3A%20THE%20RULE%20OF%20TWO%20%7C%20Plagueis%20Chronicles%20Episode%2010, friendlyName=Search</x:v>
      </x:c>
      <x:c r="K428" s="53" t="str">
        <x:v>Plagueis/Tenebrous and young Sidious era, before The Phantom Menace.</x:v>
      </x:c>
      <x:c r="L428" s="76" t="str">
        <x:v>Plagueis Chronicles</x:v>
      </x:c>
      <x:c r="M428" s="76" t="str">
        <x:v>DARTH PLAGUEIS: THE RULE OF TWO | Plagueis Chronicles Episode 10</x:v>
      </x:c>
      <x:c r="N428" s="76"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428" s="76" t="str">
        <x:v>Fall of the Jedi — before Episode I</x:v>
      </x:c>
      <x:c r="P428" s="76" t="str">
        <x:v>IMG_6418.PNG</x:v>
      </x:c>
      <x:c r="Q428" s="76" t="str">
        <x:v>OCR extracted / placement assigned</x:v>
      </x:c>
      <x:c r="R428" s="76" t="str">
        <x:v>High</x:v>
      </x:c>
      <x:c r="S428" s="76" t="str"/>
      <x:c r="T428" s="76" t="str">
        <x:v>Unique</x:v>
      </x:c>
    </x:row>
    <x:row r="429" s="23" customFormat="1" ht="36" customHeight="1">
      <x:c r="A429" s="49" t="b">
        <x:v>0</x:v>
      </x:c>
      <x:c r="B429" s="56" t="str">
        <x:v>FV-0213</x:v>
      </x:c>
      <x:c r="C429" s="53" t="str">
        <x:v>Fan chronology — Fall of the Jedi</x:v>
      </x:c>
      <x:c r="D429" s="53" t="str">
        <x:v>Darth Plagueis: Venamis’s Last Trap | Episode 11</x:v>
      </x:c>
      <x:c r="E429" s="53" t="str">
        <x:v>Episode 11</x:v>
      </x:c>
      <x:c r="F429" s="53" t="str">
        <x:v>September 14, 2026</x:v>
      </x:c>
      <x:c r="G429" s="53" t="str">
        <x:v>Fan-made / non-canon</x:v>
      </x:c>
      <x:c r="H429" s="53" t="str">
        <x:v>Fan video</x:v>
      </x:c>
      <x:c r="I429" s="53" t="str">
        <x:v>YouTube — search by title</x:v>
      </x:c>
      <x:c r="J429" s="59" t="e">
        <x:f>HYPERLINK("https://www.youtube.com/results?search_query=Darth%20Plagueis%3A%20Venamis%E2%80%99s%20Last%20Trap%20%7C%20Episode%2011","Search")</x:f>
        <x:v>HYPERLINK is not implemented. linkLocation=https://www.youtube.com/results?search_query=Darth%20Plagueis%3A%20Venamis%E2%80%99s%20Last%20Trap%20%7C%20Episode%2011, friendlyName=Search</x:v>
      </x:c>
      <x:c r="K429" s="53" t="str">
        <x:v>Plagueis/Tenebrous and young Sidious era, before The Phantom Menace.</x:v>
      </x:c>
      <x:c r="L429" s="76" t="str">
        <x:v>Darth Plagueis: Venamis’s Last Trap</x:v>
      </x:c>
      <x:c r="M429" s="76" t="str">
        <x:v>Darth Plagueis: Venamis’s Last Trap | Episode 11</x:v>
      </x:c>
      <x:c r="N429" s="76"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429" s="76" t="str">
        <x:v>Fall of the Jedi — before Episode I</x:v>
      </x:c>
      <x:c r="P429" s="76" t="str">
        <x:v>IMG_6396.PNG</x:v>
      </x:c>
      <x:c r="Q429" s="76" t="str">
        <x:v>OCR extracted / placement assigned</x:v>
      </x:c>
      <x:c r="R429" s="76" t="str">
        <x:v>High</x:v>
      </x:c>
      <x:c r="S429" s="76" t="str"/>
      <x:c r="T429" s="76" t="str">
        <x:v>Unique</x:v>
      </x:c>
    </x:row>
    <x:row r="430" s="23" customFormat="1" ht="36" customHeight="1">
      <x:c r="A430" s="49" t="b">
        <x:v>0</x:v>
      </x:c>
      <x:c r="B430" s="56" t="str">
        <x:v>FV-0195</x:v>
      </x:c>
      <x:c r="C430" s="53" t="str">
        <x:v>Fan chronology — Fall of the Jedi</x:v>
      </x:c>
      <x:c r="D430" s="53" t="str">
        <x:v>DARTH REVAN VS TENEBRAE-— The Force Erupts! @ | Episode 5</x:v>
      </x:c>
      <x:c r="E430" s="53" t="str">
        <x:v>Episode 5</x:v>
      </x:c>
      <x:c r="F430" s="53" t="str">
        <x:v>September 22, 2026</x:v>
      </x:c>
      <x:c r="G430" s="53" t="str">
        <x:v>Fan-made / non-canon</x:v>
      </x:c>
      <x:c r="H430" s="53" t="str">
        <x:v>Fan video</x:v>
      </x:c>
      <x:c r="I430" s="53" t="str">
        <x:v>YouTube — search by title</x:v>
      </x:c>
      <x:c r="J430" s="59" t="e">
        <x:f>HYPERLINK("https://www.youtube.com/results?search_query=DARTH%20REVAN%20VS%20TENEBRAE-%E2%80%94%20The%20Force%20Erupts!%20%40%20%7C%20Episode%205","Search")</x:f>
        <x:v>HYPERLINK is not implemented. linkLocation=https://www.youtube.com/results?search_query=DARTH%20REVAN%20VS%20TENEBRAE-%E2%80%94%20The%20Force%20Erupts!%20%40%20%7C%20Episode%205, friendlyName=Search</x:v>
      </x:c>
      <x:c r="K430" s="53" t="str">
        <x:v>Plagueis/Tenebrous and young Sidious era, before The Phantom Menace.</x:v>
      </x:c>
      <x:c r="L430" s="76" t="str">
        <x:v>DARTH REVAN VS TENEBRAE-— The Force Erupts! @</x:v>
      </x:c>
      <x:c r="M430" s="76" t="str">
        <x:v>DARTH REVAN VS TENEBRAE-— The Force Erupts! @ | Episode 5</x:v>
      </x:c>
      <x:c r="N430" s="76"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430" s="76" t="str">
        <x:v>Fall of the Jedi — before Episode I</x:v>
      </x:c>
      <x:c r="P430" s="76" t="str">
        <x:v>IMG_6378.PNG</x:v>
      </x:c>
      <x:c r="Q430" s="76" t="str">
        <x:v>OCR extracted / placement assigned</x:v>
      </x:c>
      <x:c r="R430" s="76" t="str">
        <x:v>High</x:v>
      </x:c>
      <x:c r="S430" s="76" t="str"/>
      <x:c r="T430" s="76" t="str">
        <x:v>Unique</x:v>
      </x:c>
    </x:row>
    <x:row r="431" s="23" customFormat="1" ht="36" customHeight="1">
      <x:c r="A431" s="49" t="b">
        <x:v>0</x:v>
      </x:c>
      <x:c r="B431" s="56" t="str">
        <x:v>FV-0020</x:v>
      </x:c>
      <x:c r="C431" s="53" t="str">
        <x:v>Fan chronology — Fall of the Jedi</x:v>
      </x:c>
      <x:c r="D431" s="53" t="str">
        <x:v>Star Wars Legends Inspired | Buoyant: Young Sidious Learns to Control the Hunt</x:v>
      </x:c>
      <x:c r="E431" s="53" t="str"/>
      <x:c r="F431" s="53" t="str">
        <x:v>October 14, 2026</x:v>
      </x:c>
      <x:c r="G431" s="53" t="str">
        <x:v>Fan-made / non-canon</x:v>
      </x:c>
      <x:c r="H431" s="53" t="str">
        <x:v>Fan video</x:v>
      </x:c>
      <x:c r="I431" s="53" t="str">
        <x:v>YouTube — search by title</x:v>
      </x:c>
      <x:c r="J431" s="59" t="e">
        <x:f>HYPERLINK("https://www.youtube.com/results?search_query=Star%20Wars%20Legends%20Inspired%20%7C%20Buoyant%3A%20Young%20Sidious%20Learns%20to%20Control%20the%20Hunt","Search")</x:f>
        <x:v>HYPERLINK is not implemented. linkLocation=https://www.youtube.com/results?search_query=Star%20Wars%20Legends%20Inspired%20%7C%20Buoyant%3A%20Young%20Sidious%20Learns%20to%20Control%20the%20Hunt, friendlyName=Search</x:v>
      </x:c>
      <x:c r="K431" s="53" t="str">
        <x:v>Plagueis/Tenebrous and young Sidious era, before The Phantom Menace.</x:v>
      </x:c>
      <x:c r="L431" s="76" t="str"/>
      <x:c r="M431" s="76" t="str">
        <x:v>Star Wars Legends Inspired | Buoyant: Young Sidious Learns to Control the Hunt</x:v>
      </x:c>
      <x:c r="N431" s="76"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431" s="76" t="str">
        <x:v>Fall of the Jedi — before Episode I</x:v>
      </x:c>
      <x:c r="P431" s="76" t="str">
        <x:v>IMG_6203.PNG</x:v>
      </x:c>
      <x:c r="Q431" s="76" t="str">
        <x:v>OCR extracted / placement assigned</x:v>
      </x:c>
      <x:c r="R431" s="76" t="str">
        <x:v>High</x:v>
      </x:c>
      <x:c r="S431" s="76" t="str"/>
      <x:c r="T431" s="76" t="str">
        <x:v>Unique</x:v>
      </x:c>
    </x:row>
    <x:row r="432" s="23" customFormat="1" ht="36" customHeight="1">
      <x:c r="A432" s="49" t="b">
        <x:v>0</x:v>
      </x:c>
      <x:c r="B432" s="56" t="str">
        <x:v>FV-0013</x:v>
      </x:c>
      <x:c r="C432" s="53" t="str">
        <x:v>Fan chronology — Fall of the Jedi</x:v>
      </x:c>
      <x:c r="D432" s="53" t="str">
        <x:v>Star Wars Legends Inspired | Buoyant: Young Sidious Stops the Log... Misses the Threat</x:v>
      </x:c>
      <x:c r="E432" s="53" t="str"/>
      <x:c r="F432" s="53" t="str">
        <x:v>October 15, 2026</x:v>
      </x:c>
      <x:c r="G432" s="53" t="str">
        <x:v>Fan-made / non-canon</x:v>
      </x:c>
      <x:c r="H432" s="53" t="str">
        <x:v>Fan video</x:v>
      </x:c>
      <x:c r="I432" s="53" t="str">
        <x:v>YouTube — search by title</x:v>
      </x:c>
      <x:c r="J432" s="59" t="e">
        <x:f>HYPERLINK("https://www.youtube.com/results?search_query=Star%20Wars%20Legends%20Inspired%20%7C%20Buoyant%3A%20Young%20Sidious%20Stops%20the%20Log...%20Misses%20the%20Threat","Search")</x:f>
        <x:v>HYPERLINK is not implemented. linkLocation=https://www.youtube.com/results?search_query=Star%20Wars%20Legends%20Inspired%20%7C%20Buoyant%3A%20Young%20Sidious%20Stops%20the%20Log...%20Misses%20the%20Threat, friendlyName=Search</x:v>
      </x:c>
      <x:c r="K432" s="53" t="str">
        <x:v>Plagueis/Tenebrous and young Sidious era, before The Phantom Menace.</x:v>
      </x:c>
      <x:c r="L432" s="76" t="str"/>
      <x:c r="M432" s="76" t="str">
        <x:v>Star Wars Legends Inspired | Buoyant: Young Sidious Stops the Log... Misses the Threat</x:v>
      </x:c>
      <x:c r="N432" s="76"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432" s="76" t="str">
        <x:v>Fall of the Jedi — before Episode I</x:v>
      </x:c>
      <x:c r="P432" s="76" t="str">
        <x:v>IMG_6196.PNG</x:v>
      </x:c>
      <x:c r="Q432" s="76" t="str">
        <x:v>OCR extracted / placement assigned</x:v>
      </x:c>
      <x:c r="R432" s="76" t="str">
        <x:v>High</x:v>
      </x:c>
      <x:c r="S432" s="76" t="str"/>
      <x:c r="T432" s="76" t="str">
        <x:v>Unique</x:v>
      </x:c>
    </x:row>
    <x:row r="433" s="23" customFormat="1" ht="36" customHeight="1">
      <x:c r="A433" s="49" t="b">
        <x:v>0</x:v>
      </x:c>
      <x:c r="B433" s="56" t="str">
        <x:v>FV-0023</x:v>
      </x:c>
      <x:c r="C433" s="53" t="str">
        <x:v>Fan chronology — Fall of the Jedi</x:v>
      </x:c>
      <x:c r="D433" s="53" t="str">
        <x:v>Star Wars Legends Inspired | Mygeeto: Young Sidious Learns to Master the Cold — Part 1</x:v>
      </x:c>
      <x:c r="E433" s="53" t="str">
        <x:v>Part 1</x:v>
      </x:c>
      <x:c r="F433" s="53" t="str">
        <x:v>October 13, 2026</x:v>
      </x:c>
      <x:c r="G433" s="53" t="str">
        <x:v>Fan-made / non-canon</x:v>
      </x:c>
      <x:c r="H433" s="53" t="str">
        <x:v>Fan video</x:v>
      </x:c>
      <x:c r="I433" s="53" t="str">
        <x:v>YouTube — search by title</x:v>
      </x:c>
      <x:c r="J433" s="59" t="e">
        <x:f>HYPERLINK("https://www.youtube.com/results?search_query=Star%20Wars%20Legends%20Inspired%20%7C%20Mygeeto%3A%20Young%20Sidious%20Learns%20to%20Master%20the%20Cold%20%E2%80%94%20Part%201","Search")</x:f>
        <x:v>HYPERLINK is not implemented. linkLocation=https://www.youtube.com/results?search_query=Star%20Wars%20Legends%20Inspired%20%7C%20Mygeeto%3A%20Young%20Sidious%20Learns%20to%20Master%20the%20Cold%20%E2%80%94%20Part%201, friendlyName=Search</x:v>
      </x:c>
      <x:c r="K433" s="53" t="str">
        <x:v>Plagueis/Tenebrous and young Sidious era, before The Phantom Menace.</x:v>
      </x:c>
      <x:c r="L433" s="76" t="str">
        <x:v>Mygeeto: Young Sidious Learns to Master the Cold</x:v>
      </x:c>
      <x:c r="M433" s="76" t="str">
        <x:v>Star Wars Legends Inspired | Mygeeto: Young Sidious Learns to Master the Cold — Part 1</x:v>
      </x:c>
      <x:c r="N433" s="76"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433" s="76" t="str">
        <x:v>Fall of the Jedi — before Episode I</x:v>
      </x:c>
      <x:c r="P433" s="76" t="str">
        <x:v>IMG_6206.PNG</x:v>
      </x:c>
      <x:c r="Q433" s="76" t="str">
        <x:v>OCR extracted / placement assigned</x:v>
      </x:c>
      <x:c r="R433" s="76" t="str">
        <x:v>High</x:v>
      </x:c>
      <x:c r="S433" s="76" t="str"/>
      <x:c r="T433" s="76" t="str">
        <x:v>Unique</x:v>
      </x:c>
    </x:row>
    <x:row r="434" s="23" customFormat="1" ht="36" customHeight="1">
      <x:c r="A434" s="49" t="b">
        <x:v>0</x:v>
      </x:c>
      <x:c r="B434" s="56" t="str">
        <x:v>FV-0016</x:v>
      </x:c>
      <x:c r="C434" s="53" t="str">
        <x:v>Fan chronology — Fall of the Jedi</x:v>
      </x:c>
      <x:c r="D434" s="53" t="str">
        <x:v>Star Wars Legends Inspired | Plagueis Force- Chokes Young Sidious—A Lesson in Power</x:v>
      </x:c>
      <x:c r="E434" s="53" t="str"/>
      <x:c r="F434" s="53" t="str">
        <x:v>October 14, 2026</x:v>
      </x:c>
      <x:c r="G434" s="53" t="str">
        <x:v>Fan-made / non-canon</x:v>
      </x:c>
      <x:c r="H434" s="53" t="str">
        <x:v>Fan video</x:v>
      </x:c>
      <x:c r="I434" s="53" t="str">
        <x:v>YouTube — search by title</x:v>
      </x:c>
      <x:c r="J434" s="59" t="e">
        <x:f>HYPERLINK("https://www.youtube.com/results?search_query=Star%20Wars%20Legends%20Inspired%20%7C%20Plagueis%20Force-%20Chokes%20Young%20Sidious%E2%80%94A%20Lesson%20in%20Power","Search")</x:f>
        <x:v>HYPERLINK is not implemented. linkLocation=https://www.youtube.com/results?search_query=Star%20Wars%20Legends%20Inspired%20%7C%20Plagueis%20Force-%20Chokes%20Young%20Sidious%E2%80%94A%20Lesson%20in%20Power, friendlyName=Search</x:v>
      </x:c>
      <x:c r="K434" s="53" t="str">
        <x:v>Plagueis/Tenebrous and young Sidious era, before The Phantom Menace.</x:v>
      </x:c>
      <x:c r="L434" s="76" t="str"/>
      <x:c r="M434" s="76" t="str">
        <x:v>Star Wars Legends Inspired | Plagueis Force- Chokes Young Sidious—A Lesson in Power</x:v>
      </x:c>
      <x:c r="N434" s="76"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434" s="76" t="str">
        <x:v>Fall of the Jedi — before Episode I</x:v>
      </x:c>
      <x:c r="P434" s="76" t="str">
        <x:v>IMG_6199.PNG</x:v>
      </x:c>
      <x:c r="Q434" s="76" t="str">
        <x:v>OCR extracted / placement assigned</x:v>
      </x:c>
      <x:c r="R434" s="76" t="str">
        <x:v>High</x:v>
      </x:c>
      <x:c r="S434" s="76" t="str"/>
      <x:c r="T434" s="76" t="str">
        <x:v>Unique</x:v>
      </x:c>
    </x:row>
    <x:row r="435" s="23" customFormat="1" ht="36" customHeight="1">
      <x:c r="A435" s="49" t="b">
        <x:v>0</x:v>
      </x:c>
      <x:c r="B435" s="56" t="str">
        <x:v>FV-0010</x:v>
      </x:c>
      <x:c r="C435" s="53" t="str">
        <x:v>Fan chronology — Fall of the Jedi</x:v>
      </x:c>
      <x:c r="D435" s="53" t="str">
        <x:v>Star Wars Legends Inspired | Plagueis Tests Young Sidious: The Empty Hand</x:v>
      </x:c>
      <x:c r="E435" s="53" t="str"/>
      <x:c r="F435" s="53" t="str">
        <x:v>October 16, 2026</x:v>
      </x:c>
      <x:c r="G435" s="53" t="str">
        <x:v>Fan-made / non-canon</x:v>
      </x:c>
      <x:c r="H435" s="53" t="str">
        <x:v>Fan video</x:v>
      </x:c>
      <x:c r="I435" s="53" t="str">
        <x:v>YouTube — search by title</x:v>
      </x:c>
      <x:c r="J435" s="59" t="e">
        <x:f>HYPERLINK("https://www.youtube.com/results?search_query=Star%20Wars%20Legends%20Inspired%20%7C%20Plagueis%20Tests%20Young%20Sidious%3A%20The%20Empty%20Hand","Search")</x:f>
        <x:v>HYPERLINK is not implemented. linkLocation=https://www.youtube.com/results?search_query=Star%20Wars%20Legends%20Inspired%20%7C%20Plagueis%20Tests%20Young%20Sidious%3A%20The%20Empty%20Hand, friendlyName=Search</x:v>
      </x:c>
      <x:c r="K435" s="53" t="str">
        <x:v>Plagueis/Tenebrous and young Sidious era, before The Phantom Menace.</x:v>
      </x:c>
      <x:c r="L435" s="76" t="str"/>
      <x:c r="M435" s="76" t="str">
        <x:v>Star Wars Legends Inspired | Plagueis Tests Young Sidious: The Empty Hand</x:v>
      </x:c>
      <x:c r="N435" s="76"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435" s="76" t="str">
        <x:v>Fall of the Jedi — before Episode I</x:v>
      </x:c>
      <x:c r="P435" s="76" t="str">
        <x:v>IMG_6193.PNG</x:v>
      </x:c>
      <x:c r="Q435" s="76" t="str">
        <x:v>OCR extracted / placement assigned</x:v>
      </x:c>
      <x:c r="R435" s="76" t="str">
        <x:v>High</x:v>
      </x:c>
      <x:c r="S435" s="76" t="str"/>
      <x:c r="T435" s="76" t="str">
        <x:v>Unique</x:v>
      </x:c>
    </x:row>
    <x:row r="436" s="23" customFormat="1" ht="36" customHeight="1">
      <x:c r="A436" s="49" t="b">
        <x:v>0</x:v>
      </x:c>
      <x:c r="B436" s="56" t="str">
        <x:v>FV-0008</x:v>
      </x:c>
      <x:c r="C436" s="53" t="str">
        <x:v>Fan chronology — Fall of the Jedi</x:v>
      </x:c>
      <x:c r="D436" s="53" t="str">
        <x:v>Star Wars Legends Inspired | Sidious Fears Plagueis Will Replace Him — The Replacement Ep. 2</x:v>
      </x:c>
      <x:c r="E436" s="53" t="str">
        <x:v>Ep. 2</x:v>
      </x:c>
      <x:c r="F436" s="53" t="str">
        <x:v>22h ago</x:v>
      </x:c>
      <x:c r="G436" s="53" t="str">
        <x:v>Fan-made / non-canon</x:v>
      </x:c>
      <x:c r="H436" s="53" t="str">
        <x:v>Fan video</x:v>
      </x:c>
      <x:c r="I436" s="53" t="str">
        <x:v>YouTube — search by title</x:v>
      </x:c>
      <x:c r="J436" s="59" t="e">
        <x:f>HYPERLINK("https://www.youtube.com/results?search_query=Star%20Wars%20Legends%20Inspired%20%7C%20Sidious%20Fears%20Plagueis%20Will%20Replace%20Him%20%E2%80%94%20The%20Replacement%20Ep.%202","Search")</x:f>
        <x:v>HYPERLINK is not implemented. linkLocation=https://www.youtube.com/results?search_query=Star%20Wars%20Legends%20Inspired%20%7C%20Sidious%20Fears%20Plagueis%20Will%20Replace%20Him%20%E2%80%94%20The%20Replacement%20Ep.%202, friendlyName=Search</x:v>
      </x:c>
      <x:c r="K436" s="53" t="str">
        <x:v>Plagueis/Tenebrous and young Sidious era, before The Phantom Menace.</x:v>
      </x:c>
      <x:c r="L436" s="76" t="str">
        <x:v>Sidious Fears Plagueis Will Replace Him — The Replacement</x:v>
      </x:c>
      <x:c r="M436" s="76" t="str">
        <x:v>Star Wars Legends Inspired | Sidious Fears Plagueis Will Replace Him — The Replacement Ep. 2</x:v>
      </x:c>
      <x:c r="N436" s="76"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436" s="76" t="str">
        <x:v>Fall of the Jedi — before Episode I</x:v>
      </x:c>
      <x:c r="P436" s="76" t="str">
        <x:v>IMG_6191.PNG</x:v>
      </x:c>
      <x:c r="Q436" s="76" t="str">
        <x:v>Needs review</x:v>
      </x:c>
      <x:c r="R436" s="76" t="str">
        <x:v>High</x:v>
      </x:c>
      <x:c r="S436" s="76" t="str">
        <x:v>Screenshot shows only a relative publication time</x:v>
      </x:c>
      <x:c r="T436" s="76" t="str">
        <x:v>Unique</x:v>
      </x:c>
    </x:row>
    <x:row r="437" s="23" customFormat="1" ht="36" customHeight="1">
      <x:c r="A437" s="49" t="b">
        <x:v>0</x:v>
      </x:c>
      <x:c r="B437" s="56" t="str">
        <x:v>FV-0009</x:v>
      </x:c>
      <x:c r="C437" s="53" t="str">
        <x:v>Fan chronology — Fall of the Jedi</x:v>
      </x:c>
      <x:c r="D437" s="53" t="str">
        <x:v>Star Wars Legends Inspired | Young Sidious Fears His Replacement... Plagueis Knows</x:v>
      </x:c>
      <x:c r="E437" s="53" t="str"/>
      <x:c r="F437" s="53" t="str">
        <x:v>23h ago</x:v>
      </x:c>
      <x:c r="G437" s="53" t="str">
        <x:v>Fan-made / non-canon</x:v>
      </x:c>
      <x:c r="H437" s="53" t="str">
        <x:v>Fan video</x:v>
      </x:c>
      <x:c r="I437" s="53" t="str">
        <x:v>YouTube — search by title</x:v>
      </x:c>
      <x:c r="J437" s="59" t="e">
        <x:f>HYPERLINK("https://www.youtube.com/results?search_query=Star%20Wars%20Legends%20Inspired%20%7C%20Young%20Sidious%20Fears%20His%20Replacement...%20Plagueis%20Knows","Search")</x:f>
        <x:v>HYPERLINK is not implemented. linkLocation=https://www.youtube.com/results?search_query=Star%20Wars%20Legends%20Inspired%20%7C%20Young%20Sidious%20Fears%20His%20Replacement...%20Plagueis%20Knows, friendlyName=Search</x:v>
      </x:c>
      <x:c r="K437" s="53" t="str">
        <x:v>Plagueis/Tenebrous and young Sidious era, before The Phantom Menace.</x:v>
      </x:c>
      <x:c r="L437" s="76" t="str"/>
      <x:c r="M437" s="76" t="str">
        <x:v>Star Wars Legends Inspired | Young Sidious Fears His Replacement... Plagueis Knows</x:v>
      </x:c>
      <x:c r="N437" s="76"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437" s="76" t="str">
        <x:v>Fall of the Jedi — before Episode I</x:v>
      </x:c>
      <x:c r="P437" s="76" t="str">
        <x:v>IMG_6192.PNG</x:v>
      </x:c>
      <x:c r="Q437" s="76" t="str">
        <x:v>Needs review</x:v>
      </x:c>
      <x:c r="R437" s="76" t="str">
        <x:v>High</x:v>
      </x:c>
      <x:c r="S437" s="76" t="str">
        <x:v>Screenshot shows only a relative publication time</x:v>
      </x:c>
      <x:c r="T437" s="76" t="str">
        <x:v>Unique</x:v>
      </x:c>
    </x:row>
    <x:row r="438" s="23" customFormat="1" ht="36" customHeight="1">
      <x:c r="A438" s="49" t="b">
        <x:v>0</x:v>
      </x:c>
      <x:c r="B438" s="56" t="str">
        <x:v>FV-0007</x:v>
      </x:c>
      <x:c r="C438" s="53" t="str">
        <x:v>Fan chronology — Fall of the Jedi</x:v>
      </x:c>
      <x:c r="D438" s="53" t="str">
        <x:v>Star Wars Legends Inspired | Young Sidious Turns Security Into His Getaway Driver</x:v>
      </x:c>
      <x:c r="E438" s="53" t="str"/>
      <x:c r="F438" s="53" t="str">
        <x:v>21h ago</x:v>
      </x:c>
      <x:c r="G438" s="53" t="str">
        <x:v>Fan-made / non-canon</x:v>
      </x:c>
      <x:c r="H438" s="53" t="str">
        <x:v>Fan video</x:v>
      </x:c>
      <x:c r="I438" s="53" t="str">
        <x:v>YouTube — search by title</x:v>
      </x:c>
      <x:c r="J438" s="59" t="e">
        <x:f>HYPERLINK("https://www.youtube.com/results?search_query=Star%20Wars%20Legends%20Inspired%20%7C%20Young%20Sidious%20Turns%20Security%20Into%20His%20Getaway%20Driver","Search")</x:f>
        <x:v>HYPERLINK is not implemented. linkLocation=https://www.youtube.com/results?search_query=Star%20Wars%20Legends%20Inspired%20%7C%20Young%20Sidious%20Turns%20Security%20Into%20His%20Getaway%20Driver, friendlyName=Search</x:v>
      </x:c>
      <x:c r="K438" s="53" t="str">
        <x:v>Plagueis/Tenebrous and young Sidious era, before The Phantom Menace.</x:v>
      </x:c>
      <x:c r="L438" s="76" t="str"/>
      <x:c r="M438" s="76" t="str">
        <x:v>Star Wars Legends Inspired | Young Sidious Turns Security Into His Getaway Driver</x:v>
      </x:c>
      <x:c r="N438" s="76"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438" s="76" t="str">
        <x:v>Fall of the Jedi — before Episode I</x:v>
      </x:c>
      <x:c r="P438" s="76" t="str">
        <x:v>IMG_6190.PNG</x:v>
      </x:c>
      <x:c r="Q438" s="76" t="str">
        <x:v>Needs review</x:v>
      </x:c>
      <x:c r="R438" s="76" t="str">
        <x:v>High</x:v>
      </x:c>
      <x:c r="S438" s="76" t="str">
        <x:v>Screenshot shows only a relative publication time</x:v>
      </x:c>
      <x:c r="T438" s="76" t="str">
        <x:v>Unique</x:v>
      </x:c>
    </x:row>
    <x:row r="439" s="23" customFormat="1" ht="36" customHeight="1">
      <x:c r="A439" s="49" t="b">
        <x:v>0</x:v>
      </x:c>
      <x:c r="B439" s="56" t="str">
        <x:v>FV-0290</x:v>
      </x:c>
      <x:c r="C439" s="53" t="str">
        <x:v>Fan chronology — Fall of the Jedi</x:v>
      </x:c>
      <x:c r="D439" s="53" t="str">
        <x:v>The Plagueis Chronicles Ep. 2 — He Brought Him Back From Death</x:v>
      </x:c>
      <x:c r="E439" s="53" t="str">
        <x:v>Ep. 2</x:v>
      </x:c>
      <x:c r="F439" s="53" t="str">
        <x:v>September 1, 2026</x:v>
      </x:c>
      <x:c r="G439" s="53" t="str">
        <x:v>Fan-made / non-canon</x:v>
      </x:c>
      <x:c r="H439" s="53" t="str">
        <x:v>Fan video</x:v>
      </x:c>
      <x:c r="I439" s="53" t="str">
        <x:v>YouTube — search by title</x:v>
      </x:c>
      <x:c r="J439" s="59" t="e">
        <x:f>HYPERLINK("https://www.youtube.com/results?search_query=The%20Plagueis%20Chronicles%20Ep.%202%20%E2%80%94%20He%20Brought%20Him%20Back%20From%20Death","Search")</x:f>
        <x:v>HYPERLINK is not implemented. linkLocation=https://www.youtube.com/results?search_query=The%20Plagueis%20Chronicles%20Ep.%202%20%E2%80%94%20He%20Brought%20Him%20Back%20From%20Death, friendlyName=Search</x:v>
      </x:c>
      <x:c r="K439" s="53" t="str">
        <x:v>Plagueis/Tenebrous and young Sidious era, before The Phantom Menace.</x:v>
      </x:c>
      <x:c r="L439" s="76" t="str">
        <x:v>The Plagueis Chronicles</x:v>
      </x:c>
      <x:c r="M439" s="76" t="str">
        <x:v>The Plagueis Chronicles Ep. 2 — He Brought Him Back From Death</x:v>
      </x:c>
      <x:c r="N439" s="76"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439" s="76" t="str">
        <x:v>Fall of the Jedi — before Episode I</x:v>
      </x:c>
      <x:c r="P439" s="76" t="str">
        <x:v>IMG_6475.PNG</x:v>
      </x:c>
      <x:c r="Q439" s="76" t="str">
        <x:v>OCR extracted / placement assigned</x:v>
      </x:c>
      <x:c r="R439" s="76" t="str">
        <x:v>High</x:v>
      </x:c>
      <x:c r="S439" s="76" t="str"/>
      <x:c r="T439" s="76" t="str">
        <x:v>Unique</x:v>
      </x:c>
    </x:row>
    <x:row r="440" s="23" customFormat="1" ht="36" customHeight="1">
      <x:c r="A440" s="49" t="b">
        <x:v>0</x:v>
      </x:c>
      <x:c r="B440" s="56" t="str">
        <x:v>FV-0019</x:v>
      </x:c>
      <x:c r="C440" s="53" t="str">
        <x:v>Fan chronology — Fall of the Jedi</x:v>
      </x:c>
      <x:c r="D440" s="53" t="str">
        <x:v>Young Palpatine Turns His Enemies Against Each Other | Darth Plagueis: Use Your Enemy</x:v>
      </x:c>
      <x:c r="E440" s="53" t="str"/>
      <x:c r="F440" s="53" t="str">
        <x:v>October 14, 2026</x:v>
      </x:c>
      <x:c r="G440" s="53" t="str">
        <x:v>Fan-made / non-canon</x:v>
      </x:c>
      <x:c r="H440" s="53" t="str">
        <x:v>Fan video</x:v>
      </x:c>
      <x:c r="I440" s="53" t="str">
        <x:v>YouTube — search by title</x:v>
      </x:c>
      <x:c r="J440" s="59" t="e">
        <x:f>HYPERLINK("https://www.youtube.com/results?search_query=Young%20Palpatine%20Turns%20His%20Enemies%20Against%20Each%20Other%20%7C%20Darth%20Plagueis%3A%20Use%20Your%20Enemy","Search")</x:f>
        <x:v>HYPERLINK is not implemented. linkLocation=https://www.youtube.com/results?search_query=Young%20Palpatine%20Turns%20His%20Enemies%20Against%20Each%20Other%20%7C%20Darth%20Plagueis%3A%20Use%20Your%20Enemy, friendlyName=Search</x:v>
      </x:c>
      <x:c r="K440" s="53" t="str">
        <x:v>Plagueis/Tenebrous and young Sidious era, before The Phantom Menace.</x:v>
      </x:c>
      <x:c r="L440" s="76" t="str"/>
      <x:c r="M440" s="76" t="str">
        <x:v>Young Palpatine Turns His Enemies Against Each Other | Darth Plagueis: Use Your Enemy</x:v>
      </x:c>
      <x:c r="N440" s="76"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440" s="76" t="str">
        <x:v>Fall of the Jedi — before Episode I</x:v>
      </x:c>
      <x:c r="P440" s="76" t="str">
        <x:v>IMG_6202.PNG</x:v>
      </x:c>
      <x:c r="Q440" s="76" t="str">
        <x:v>OCR extracted / placement assigned</x:v>
      </x:c>
      <x:c r="R440" s="76" t="str">
        <x:v>High</x:v>
      </x:c>
      <x:c r="S440" s="76" t="str"/>
      <x:c r="T440" s="76" t="str">
        <x:v>Unique</x:v>
      </x:c>
    </x:row>
    <x:row r="441" s="23" customFormat="1" ht="36" customHeight="1">
      <x:c r="A441" s="49" t="b">
        <x:v>0</x:v>
      </x:c>
      <x:c r="B441" s="56" t="str">
        <x:v>FV-0024</x:v>
      </x:c>
      <x:c r="C441" s="53" t="str">
        <x:v>Fan chronology — Fall of the Jedi</x:v>
      </x:c>
      <x:c r="D441" s="53" t="str">
        <x:v>Young Sidious Attacks... Plagueis Switches His Lightsaber OFF @</x:v>
      </x:c>
      <x:c r="E441" s="53" t="str"/>
      <x:c r="F441" s="53" t="str">
        <x:v>October 13, 2026</x:v>
      </x:c>
      <x:c r="G441" s="53" t="str">
        <x:v>Fan-made / non-canon</x:v>
      </x:c>
      <x:c r="H441" s="53" t="str">
        <x:v>Fan video</x:v>
      </x:c>
      <x:c r="I441" s="53" t="str">
        <x:v>YouTube — search by title</x:v>
      </x:c>
      <x:c r="J441" s="59" t="e">
        <x:f>HYPERLINK("https://www.youtube.com/results?search_query=Young%20Sidious%20Attacks...%20Plagueis%20Switches%20His%20Lightsaber%20OFF%20%40","Search")</x:f>
        <x:v>HYPERLINK is not implemented. linkLocation=https://www.youtube.com/results?search_query=Young%20Sidious%20Attacks...%20Plagueis%20Switches%20His%20Lightsaber%20OFF%20%40, friendlyName=Search</x:v>
      </x:c>
      <x:c r="K441" s="53" t="str">
        <x:v>Plagueis/Tenebrous and young Sidious era, before The Phantom Menace.</x:v>
      </x:c>
      <x:c r="L441" s="76" t="str"/>
      <x:c r="M441" s="76" t="str">
        <x:v>Young Sidious Attacks... Plagueis Switches His Lightsaber OFF @</x:v>
      </x:c>
      <x:c r="N441" s="76"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441" s="76" t="str">
        <x:v>Fall of the Jedi — before Episode I</x:v>
      </x:c>
      <x:c r="P441" s="76" t="str">
        <x:v>IMG_6207.PNG</x:v>
      </x:c>
      <x:c r="Q441" s="76" t="str">
        <x:v>OCR extracted / placement assigned</x:v>
      </x:c>
      <x:c r="R441" s="76" t="str">
        <x:v>High</x:v>
      </x:c>
      <x:c r="S441" s="76" t="str"/>
      <x:c r="T441" s="76" t="str">
        <x:v>Unique</x:v>
      </x:c>
    </x:row>
    <x:row r="442" s="23" customFormat="1" ht="36" customHeight="1">
      <x:c r="A442" s="49" t="b">
        <x:v>0</x:v>
      </x:c>
      <x:c r="B442" s="56" t="str">
        <x:v>FV-0025</x:v>
      </x:c>
      <x:c r="C442" s="53" t="str">
        <x:v>Fan chronology — Fall of the Jedi</x:v>
      </x:c>
      <x:c r="D442" s="53" t="str">
        <x:v>Young Sidious Finds the Path Blocked... Plagueis Says “Make Another” é</x:v>
      </x:c>
      <x:c r="E442" s="53" t="str"/>
      <x:c r="F442" s="53" t="str">
        <x:v>October 13, 2026</x:v>
      </x:c>
      <x:c r="G442" s="53" t="str">
        <x:v>Fan-made / non-canon</x:v>
      </x:c>
      <x:c r="H442" s="53" t="str">
        <x:v>Fan video</x:v>
      </x:c>
      <x:c r="I442" s="53" t="str">
        <x:v>YouTube — search by title</x:v>
      </x:c>
      <x:c r="J442" s="59" t="e">
        <x:f>HYPERLINK("https://www.youtube.com/results?search_query=Young%20Sidious%20Finds%20the%20Path%20Blocked...%20Plagueis%20Says%20%E2%80%9CMake%20Another%E2%80%9D%20%C3%A9","Search")</x:f>
        <x:v>HYPERLINK is not implemented. linkLocation=https://www.youtube.com/results?search_query=Young%20Sidious%20Finds%20the%20Path%20Blocked...%20Plagueis%20Says%20%E2%80%9CMake%20Another%E2%80%9D%20%C3%A9, friendlyName=Search</x:v>
      </x:c>
      <x:c r="K442" s="53" t="str">
        <x:v>Plagueis/Tenebrous and young Sidious era, before The Phantom Menace.</x:v>
      </x:c>
      <x:c r="L442" s="76" t="str"/>
      <x:c r="M442" s="76" t="str">
        <x:v>Young Sidious Finds the Path Blocked... Plagueis Says “Make Another” é</x:v>
      </x:c>
      <x:c r="N442" s="76"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442" s="76" t="str">
        <x:v>Fall of the Jedi — before Episode I</x:v>
      </x:c>
      <x:c r="P442" s="76" t="str">
        <x:v>IMG_6208.PNG</x:v>
      </x:c>
      <x:c r="Q442" s="76" t="str">
        <x:v>OCR extracted / placement assigned</x:v>
      </x:c>
      <x:c r="R442" s="76" t="str">
        <x:v>High</x:v>
      </x:c>
      <x:c r="S442" s="76" t="str"/>
      <x:c r="T442" s="76" t="str">
        <x:v>Unique</x:v>
      </x:c>
    </x:row>
    <x:row r="443" s="23" customFormat="1" ht="36" customHeight="1">
      <x:c r="A443" s="49" t="b">
        <x:v>0</x:v>
      </x:c>
      <x:c r="B443" s="56" t="str">
        <x:v>FV-0038</x:v>
      </x:c>
      <x:c r="C443" s="53" t="str">
        <x:v>Fan chronology — Fall of the Jedi</x:v>
      </x:c>
      <x:c r="D443" s="53" t="str">
        <x:v>Young Sidious Outsmarts the Trap | Darth Plagueis | Episode 4</x:v>
      </x:c>
      <x:c r="E443" s="53" t="str">
        <x:v>Episode 4</x:v>
      </x:c>
      <x:c r="F443" s="53" t="str">
        <x:v>October 11, 2026</x:v>
      </x:c>
      <x:c r="G443" s="53" t="str">
        <x:v>Fan-made / non-canon</x:v>
      </x:c>
      <x:c r="H443" s="53" t="str">
        <x:v>Fan video</x:v>
      </x:c>
      <x:c r="I443" s="53" t="str">
        <x:v>YouTube — search by title</x:v>
      </x:c>
      <x:c r="J443" s="59" t="e">
        <x:f>HYPERLINK("https://www.youtube.com/results?search_query=Young%20Sidious%20Outsmarts%20the%20Trap%20%7C%20Darth%20Plagueis%20%7C%20Episode%204","Search")</x:f>
        <x:v>HYPERLINK is not implemented. linkLocation=https://www.youtube.com/results?search_query=Young%20Sidious%20Outsmarts%20the%20Trap%20%7C%20Darth%20Plagueis%20%7C%20Episode%204, friendlyName=Search</x:v>
      </x:c>
      <x:c r="K443" s="53" t="str">
        <x:v>Plagueis/Tenebrous and young Sidious era, before The Phantom Menace.</x:v>
      </x:c>
      <x:c r="L443" s="76" t="str">
        <x:v>Darth Plagueis</x:v>
      </x:c>
      <x:c r="M443" s="76" t="str">
        <x:v>Young Sidious Outsmarts the Trap | Darth Plagueis | Episode 4</x:v>
      </x:c>
      <x:c r="N443" s="76"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443" s="76" t="str">
        <x:v>Fall of the Jedi — before Episode I</x:v>
      </x:c>
      <x:c r="P443" s="76" t="str">
        <x:v>IMG_6221.PNG</x:v>
      </x:c>
      <x:c r="Q443" s="76" t="str">
        <x:v>OCR extracted / placement assigned</x:v>
      </x:c>
      <x:c r="R443" s="76" t="str">
        <x:v>High</x:v>
      </x:c>
      <x:c r="S443" s="76" t="str"/>
      <x:c r="T443" s="76" t="str">
        <x:v>Unique</x:v>
      </x:c>
    </x:row>
    <x:row r="444" s="23" customFormat="1" ht="36" customHeight="1">
      <x:c r="A444" s="49" t="b">
        <x:v>0</x:v>
      </x:c>
      <x:c r="B444" s="56" t="str">
        <x:v>FV-0028</x:v>
      </x:c>
      <x:c r="C444" s="53" t="str">
        <x:v>Fan chronology — Fall of the Jedi</x:v>
      </x:c>
      <x:c r="D444" s="53" t="str">
        <x:v>Young Sidious Says “Too Easy”... Plagueis Proves Him Wrong @ | The Second Threat</x:v>
      </x:c>
      <x:c r="E444" s="53" t="str"/>
      <x:c r="F444" s="53" t="str">
        <x:v>October 13, 2026</x:v>
      </x:c>
      <x:c r="G444" s="53" t="str">
        <x:v>Fan-made / non-canon</x:v>
      </x:c>
      <x:c r="H444" s="53" t="str">
        <x:v>Fan video</x:v>
      </x:c>
      <x:c r="I444" s="53" t="str">
        <x:v>YouTube — search by title</x:v>
      </x:c>
      <x:c r="J444" s="59" t="e">
        <x:f>HYPERLINK("https://www.youtube.com/results?search_query=Young%20Sidious%20Says%20%E2%80%9CToo%20Easy%E2%80%9D...%20Plagueis%20Proves%20Him%20Wrong%20%40%20%7C%20The%20Second%20Threat","Search")</x:f>
        <x:v>HYPERLINK is not implemented. linkLocation=https://www.youtube.com/results?search_query=Young%20Sidious%20Says%20%E2%80%9CToo%20Easy%E2%80%9D...%20Plagueis%20Proves%20Him%20Wrong%20%40%20%7C%20The%20Second%20Threat, friendlyName=Search</x:v>
      </x:c>
      <x:c r="K444" s="53" t="str">
        <x:v>Plagueis/Tenebrous and young Sidious era, before The Phantom Menace.</x:v>
      </x:c>
      <x:c r="L444" s="76" t="str"/>
      <x:c r="M444" s="76" t="str">
        <x:v>Young Sidious Says “Too Easy”... Plagueis Proves Him Wrong @ | The Second Threat</x:v>
      </x:c>
      <x:c r="N444" s="76"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444" s="76" t="str">
        <x:v>Fall of the Jedi — before Episode I</x:v>
      </x:c>
      <x:c r="P444" s="76" t="str">
        <x:v>IMG_6211.PNG</x:v>
      </x:c>
      <x:c r="Q444" s="76" t="str">
        <x:v>OCR extracted / placement assigned</x:v>
      </x:c>
      <x:c r="R444" s="76" t="str">
        <x:v>High</x:v>
      </x:c>
      <x:c r="S444" s="76" t="str"/>
      <x:c r="T444" s="76" t="str">
        <x:v>Unique</x:v>
      </x:c>
    </x:row>
    <x:row r="445" s="23" customFormat="1" ht="36" customHeight="1">
      <x:c r="A445" s="49" t="b">
        <x:v>0</x:v>
      </x:c>
      <x:c r="B445" s="56" t="str">
        <x:v>FV-0014</x:v>
      </x:c>
      <x:c r="C445" s="53" t="str">
        <x:v>Fan chronology — Fall of the Jedi</x:v>
      </x:c>
      <x:c r="D445" s="53" t="str">
        <x:v>Young Sidious Slips... Darth Plagueis Won’t Help | The Frozen Trial</x:v>
      </x:c>
      <x:c r="E445" s="53" t="str"/>
      <x:c r="F445" s="53" t="str">
        <x:v>October 15, 2026</x:v>
      </x:c>
      <x:c r="G445" s="53" t="str">
        <x:v>Fan-made / non-canon</x:v>
      </x:c>
      <x:c r="H445" s="53" t="str">
        <x:v>Fan video</x:v>
      </x:c>
      <x:c r="I445" s="53" t="str">
        <x:v>YouTube — search by title</x:v>
      </x:c>
      <x:c r="J445" s="59" t="e">
        <x:f>HYPERLINK("https://www.youtube.com/results?search_query=Young%20Sidious%20Slips...%20Darth%20Plagueis%20Won%E2%80%99t%20Help%20%7C%20The%20Frozen%20Trial","Search")</x:f>
        <x:v>HYPERLINK is not implemented. linkLocation=https://www.youtube.com/results?search_query=Young%20Sidious%20Slips...%20Darth%20Plagueis%20Won%E2%80%99t%20Help%20%7C%20The%20Frozen%20Trial, friendlyName=Search</x:v>
      </x:c>
      <x:c r="K445" s="53" t="str">
        <x:v>Plagueis/Tenebrous and young Sidious era, before The Phantom Menace.</x:v>
      </x:c>
      <x:c r="L445" s="76" t="str"/>
      <x:c r="M445" s="76" t="str">
        <x:v>Young Sidious Slips... Darth Plagueis Won’t Help | The Frozen Trial</x:v>
      </x:c>
      <x:c r="N445" s="76"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445" s="76" t="str">
        <x:v>Fall of the Jedi — before Episode I</x:v>
      </x:c>
      <x:c r="P445" s="76" t="str">
        <x:v>IMG_6197.PNG</x:v>
      </x:c>
      <x:c r="Q445" s="76" t="str">
        <x:v>OCR extracted / placement assigned</x:v>
      </x:c>
      <x:c r="R445" s="76" t="str">
        <x:v>High</x:v>
      </x:c>
      <x:c r="S445" s="76" t="str"/>
      <x:c r="T445" s="76" t="str">
        <x:v>Unique</x:v>
      </x:c>
    </x:row>
    <x:row r="446" s="23" customFormat="1" ht="36" customHeight="1">
      <x:c r="A446" s="49" t="b">
        <x:v>0</x:v>
      </x:c>
      <x:c r="B446" s="56" t="str">
        <x:v>FV-0027</x:v>
      </x:c>
      <x:c r="C446" s="53" t="str">
        <x:v>Fan chronology — Fall of the Jedi</x:v>
      </x:c>
      <x:c r="D446" s="53" t="str">
        <x:v>Young Sidious Tries to Force His Way In... Plagueis Has a Better Idea 🔥</x:v>
      </x:c>
      <x:c r="E446" s="53" t="str"/>
      <x:c r="F446" s="53" t="str">
        <x:v>October 13, 2026</x:v>
      </x:c>
      <x:c r="G446" s="53" t="str">
        <x:v>Fan-made / non-canon</x:v>
      </x:c>
      <x:c r="H446" s="53" t="str">
        <x:v>Fan video</x:v>
      </x:c>
      <x:c r="I446" s="53" t="str">
        <x:v>YouTube — search by title</x:v>
      </x:c>
      <x:c r="J446" s="59" t="e">
        <x:f>HYPERLINK("https://www.youtube.com/results?search_query=Young%20Sidious%20Tries%20to%20Force%20His%20Way%20In...%20Plagueis%20Has%20a%20Better%20Idea%20%F0%9F%94%A5","Search")</x:f>
        <x:v>HYPERLINK is not implemented. linkLocation=https://www.youtube.com/results?search_query=Young%20Sidious%20Tries%20to%20Force%20His%20Way%20In...%20Plagueis%20Has%20a%20Better%20Idea%20%F0%9F%94%A5, friendlyName=Search</x:v>
      </x:c>
      <x:c r="K446" s="53" t="str">
        <x:v>Plagueis/Tenebrous and young Sidious era, before The Phantom Menace.</x:v>
      </x:c>
      <x:c r="L446" s="76" t="str"/>
      <x:c r="M446" s="76" t="str">
        <x:v>Young Sidious Tries to Force His Way In... Plagueis Has a Better Idea 🔥</x:v>
      </x:c>
      <x:c r="N446" s="76"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446" s="76" t="str">
        <x:v>Fall of the Jedi — before Episode I</x:v>
      </x:c>
      <x:c r="P446" s="76" t="str">
        <x:v>IMG_6210.PNG</x:v>
      </x:c>
      <x:c r="Q446" s="76" t="str">
        <x:v>OCR extracted / placement assigned</x:v>
      </x:c>
      <x:c r="R446" s="76" t="str">
        <x:v>High</x:v>
      </x:c>
      <x:c r="S446" s="76" t="str"/>
      <x:c r="T446" s="76" t="str">
        <x:v>Unique</x:v>
      </x:c>
    </x:row>
    <x:row r="447" s="23" customFormat="1" ht="36" customHeight="1">
      <x:c r="A447" s="49" t="b">
        <x:v>0</x:v>
      </x:c>
      <x:c r="B447" s="56" t="str">
        <x:v>FV-0044</x:v>
      </x:c>
      <x:c r="C447" s="53" t="str">
        <x:v>Fan chronology — Fall of the Jedi</x:v>
      </x:c>
      <x:c r="D447" s="53" t="str">
        <x:v>Young Sidious Turns the Test Against His Master | Darth Plagueis Episode 3</x:v>
      </x:c>
      <x:c r="E447" s="53" t="str">
        <x:v>Episode 3</x:v>
      </x:c>
      <x:c r="F447" s="53" t="str">
        <x:v>October 11, 2026</x:v>
      </x:c>
      <x:c r="G447" s="53" t="str">
        <x:v>Fan-made / non-canon</x:v>
      </x:c>
      <x:c r="H447" s="53" t="str">
        <x:v>Fan video</x:v>
      </x:c>
      <x:c r="I447" s="53" t="str">
        <x:v>YouTube — search by title</x:v>
      </x:c>
      <x:c r="J447" s="59" t="e">
        <x:f>HYPERLINK("https://www.youtube.com/results?search_query=Young%20Sidious%20Turns%20the%20Test%20Against%20His%20Master%20%7C%20Darth%20Plagueis%20Episode%203","Search")</x:f>
        <x:v>HYPERLINK is not implemented. linkLocation=https://www.youtube.com/results?search_query=Young%20Sidious%20Turns%20the%20Test%20Against%20His%20Master%20%7C%20Darth%20Plagueis%20Episode%203, friendlyName=Search</x:v>
      </x:c>
      <x:c r="K447" s="53" t="str">
        <x:v>Plagueis/Tenebrous and young Sidious era, before The Phantom Menace.</x:v>
      </x:c>
      <x:c r="L447" s="76" t="str">
        <x:v>Darth Plagueis</x:v>
      </x:c>
      <x:c r="M447" s="76" t="str">
        <x:v>Young Sidious Turns the Test Against His Master | Darth Plagueis Episode 3</x:v>
      </x:c>
      <x:c r="N447" s="76"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447" s="76" t="str">
        <x:v>Fall of the Jedi — before Episode I</x:v>
      </x:c>
      <x:c r="P447" s="76" t="str">
        <x:v>IMG_6227.PNG</x:v>
      </x:c>
      <x:c r="Q447" s="76" t="str">
        <x:v>OCR extracted / placement assigned</x:v>
      </x:c>
      <x:c r="R447" s="76" t="str">
        <x:v>High</x:v>
      </x:c>
      <x:c r="S447" s="76" t="str"/>
      <x:c r="T447" s="76" t="str">
        <x:v>Unique</x:v>
      </x:c>
    </x:row>
    <x:row r="448" s="23" customFormat="1" ht="36" customHeight="1">
      <x:c r="A448" s="49" t="b">
        <x:v>0</x:v>
      </x:c>
      <x:c r="B448" s="56" t="str">
        <x:v>FV-0015</x:v>
      </x:c>
      <x:c r="C448" s="53" t="str">
        <x:v>Fan chronology — Fall of the Jedi</x:v>
      </x:c>
      <x:c r="D448" s="53" t="str">
        <x:v>Young Sidious Turns Their Attack Against Them | Darth Plagueis — The Kursid Trial</x:v>
      </x:c>
      <x:c r="E448" s="53" t="str"/>
      <x:c r="F448" s="53" t="str">
        <x:v>October 15, 2026</x:v>
      </x:c>
      <x:c r="G448" s="53" t="str">
        <x:v>Fan-made / non-canon</x:v>
      </x:c>
      <x:c r="H448" s="53" t="str">
        <x:v>Fan video</x:v>
      </x:c>
      <x:c r="I448" s="53" t="str">
        <x:v>YouTube — search by title</x:v>
      </x:c>
      <x:c r="J448" s="59" t="e">
        <x:f>HYPERLINK("https://www.youtube.com/results?search_query=Young%20Sidious%20Turns%20Their%20Attack%20Against%20Them%20%7C%20Darth%20Plagueis%20%E2%80%94%20The%20Kursid%20Trial","Search")</x:f>
        <x:v>HYPERLINK is not implemented. linkLocation=https://www.youtube.com/results?search_query=Young%20Sidious%20Turns%20Their%20Attack%20Against%20Them%20%7C%20Darth%20Plagueis%20%E2%80%94%20The%20Kursid%20Trial, friendlyName=Search</x:v>
      </x:c>
      <x:c r="K448" s="53" t="str">
        <x:v>Plagueis/Tenebrous and young Sidious era, before The Phantom Menace.</x:v>
      </x:c>
      <x:c r="L448" s="76" t="str"/>
      <x:c r="M448" s="76" t="str">
        <x:v>Young Sidious Turns Their Attack Against Them | Darth Plagueis — The Kursid Trial</x:v>
      </x:c>
      <x:c r="N448" s="76"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448" s="76" t="str">
        <x:v>Fall of the Jedi — before Episode I</x:v>
      </x:c>
      <x:c r="P448" s="76" t="str">
        <x:v>IMG_6198.PNG</x:v>
      </x:c>
      <x:c r="Q448" s="76" t="str">
        <x:v>OCR extracted / placement assigned</x:v>
      </x:c>
      <x:c r="R448" s="76" t="str">
        <x:v>High</x:v>
      </x:c>
      <x:c r="S448" s="76" t="str"/>
      <x:c r="T448" s="76" t="str">
        <x:v>Unique</x:v>
      </x:c>
    </x:row>
    <x:row r="449" s="23" customFormat="1" ht="36" customHeight="1">
      <x:c r="A449" s="49" t="b">
        <x:v>0</x:v>
      </x:c>
      <x:c r="B449" s="56" t="str">
        <x:v>FV-0034</x:v>
      </x:c>
      <x:c r="C449" s="53" t="str">
        <x:v>Fan chronology — Fall of the Jedi</x:v>
      </x:c>
      <x:c r="D449" s="53" t="str">
        <x:v>Young Sidious Wins... Then Plagueis Reveals the REAL Test | Episode 5</x:v>
      </x:c>
      <x:c r="E449" s="53" t="str">
        <x:v>Episode 5</x:v>
      </x:c>
      <x:c r="F449" s="53" t="str">
        <x:v>October 12, 2026</x:v>
      </x:c>
      <x:c r="G449" s="53" t="str">
        <x:v>Fan-made / non-canon</x:v>
      </x:c>
      <x:c r="H449" s="53" t="str">
        <x:v>Fan video</x:v>
      </x:c>
      <x:c r="I449" s="53" t="str">
        <x:v>YouTube — search by title</x:v>
      </x:c>
      <x:c r="J449" s="59" t="e">
        <x:f>HYPERLINK("https://www.youtube.com/results?search_query=Young%20Sidious%20Wins...%20Then%20Plagueis%20Reveals%20the%20REAL%20Test%20%7C%20Episode%205","Search")</x:f>
        <x:v>HYPERLINK is not implemented. linkLocation=https://www.youtube.com/results?search_query=Young%20Sidious%20Wins...%20Then%20Plagueis%20Reveals%20the%20REAL%20Test%20%7C%20Episode%205, friendlyName=Search</x:v>
      </x:c>
      <x:c r="K449" s="53" t="str">
        <x:v>Plagueis/Tenebrous and young Sidious era, before The Phantom Menace.</x:v>
      </x:c>
      <x:c r="L449" s="76" t="str">
        <x:v>Young Sidious Wins... Then Plagueis Reveals the REAL Test</x:v>
      </x:c>
      <x:c r="M449" s="76" t="str">
        <x:v>Young Sidious Wins... Then Plagueis Reveals the REAL Test | Episode 5</x:v>
      </x:c>
      <x:c r="N449" s="76"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449" s="76" t="str">
        <x:v>Fall of the Jedi — before Episode I</x:v>
      </x:c>
      <x:c r="P449" s="76" t="str">
        <x:v>IMG_6217.PNG</x:v>
      </x:c>
      <x:c r="Q449" s="76" t="str">
        <x:v>OCR extracted / placement assigned</x:v>
      </x:c>
      <x:c r="R449" s="76" t="str">
        <x:v>High</x:v>
      </x:c>
      <x:c r="S449" s="76" t="str"/>
      <x:c r="T449" s="76" t="str">
        <x:v>Unique</x:v>
      </x:c>
    </x:row>
    <x:row r="450" s="23" customFormat="1" ht="36" customHeight="1">
      <x:c r="A450" s="49" t="b">
        <x:v>0</x:v>
      </x:c>
      <x:c r="B450" s="56" t="str">
        <x:v>FV-0150</x:v>
      </x:c>
      <x:c r="C450" s="53" t="str">
        <x:v>Fan chronology — Fall of the Jedi</x:v>
      </x:c>
      <x:c r="D450" s="53" t="str">
        <x:v>DARTH SIDIOUS 4 THE VOTE IS UNANIMOUS | Star Wars</x:v>
      </x:c>
      <x:c r="E450" s="53" t="str"/>
      <x:c r="F450" s="53" t="str">
        <x:v>September 29, 2026</x:v>
      </x:c>
      <x:c r="G450" s="53" t="str">
        <x:v>Fan-made / non-canon</x:v>
      </x:c>
      <x:c r="H450" s="53" t="str">
        <x:v>Fan video</x:v>
      </x:c>
      <x:c r="I450" s="53" t="str">
        <x:v>YouTube — search by title</x:v>
      </x:c>
      <x:c r="J450" s="59" t="e">
        <x:f>HYPERLINK("https://www.youtube.com/results?search_query=DARTH%20SIDIOUS%204%20THE%20VOTE%20IS%20UNANIMOUS%20%7C%20Star%20Wars","Search")</x:f>
        <x:v>HYPERLINK is not implemented. linkLocation=https://www.youtube.com/results?search_query=DARTH%20SIDIOUS%204%20THE%20VOTE%20IS%20UNANIMOUS%20%7C%20Star%20Wars, friendlyName=Search</x:v>
      </x:c>
      <x:c r="K450" s="53" t="str">
        <x:v>Senate/Palpatine scene around Revenge of the Sith.</x:v>
      </x:c>
      <x:c r="L450" s="76" t="str"/>
      <x:c r="M450" s="76" t="str">
        <x:v>DARTH SIDIOUS 4 THE VOTE IS UNANIMOUS | Star Wars</x:v>
      </x:c>
      <x:c r="N450" s="76"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450" s="76" t="str">
        <x:v>Fall of the Jedi — formation of the Empire</x:v>
      </x:c>
      <x:c r="P450" s="76" t="str">
        <x:v>IMG_6333.PNG</x:v>
      </x:c>
      <x:c r="Q450" s="76" t="str">
        <x:v>OCR extracted / placement assigned</x:v>
      </x:c>
      <x:c r="R450" s="76" t="str">
        <x:v>Medium</x:v>
      </x:c>
      <x:c r="S450" s="76" t="str"/>
      <x:c r="T450" s="76" t="str">
        <x:v>Unique</x:v>
      </x:c>
    </x:row>
    <x:row r="451" s="23" customFormat="1" ht="36" customHeight="1">
      <x:c r="A451" s="49" t="b">
        <x:v>0</x:v>
      </x:c>
      <x:c r="B451" s="56" t="str">
        <x:v>FV-0078</x:v>
      </x:c>
      <x:c r="C451" s="53" t="str">
        <x:v>Fan chronology — Fall of the Jedi</x:v>
      </x:c>
      <x:c r="D451" s="53" t="str">
        <x:v>Darth Maul &amp; Darth Sidious | Episode 2: The Master's Lesson | Shadow Hunter Inspired</x:v>
      </x:c>
      <x:c r="E451" s="53" t="str">
        <x:v>Episode 2</x:v>
      </x:c>
      <x:c r="F451" s="53" t="str">
        <x:v>October 6, 2026</x:v>
      </x:c>
      <x:c r="G451" s="53" t="str">
        <x:v>Fan-made / non-canon</x:v>
      </x:c>
      <x:c r="H451" s="53" t="str">
        <x:v>Fan video</x:v>
      </x:c>
      <x:c r="I451" s="53" t="str">
        <x:v>YouTube — search by title</x:v>
      </x:c>
      <x:c r="J451" s="59" t="e">
        <x:f>HYPERLINK("https://www.youtube.com/results?search_query=Darth%20Maul%20%26%20Darth%20Sidious%20%7C%20Episode%202%3A%20The%20Master's%20Lesson%20%7C%20Shadow%20Hunter%20Inspired","Search")</x:f>
        <x:v>HYPERLINK is not implemented. linkLocation=https://www.youtube.com/results?search_query=Darth%20Maul%20%26%20Darth%20Sidious%20%7C%20Episode%202%3A%20The%20Master's%20Lesson%20%7C%20Shadow%20Hunter%20Inspired, friendlyName=Search</x:v>
      </x:c>
      <x:c r="K451" s="53" t="str">
        <x:v>Adapted from or inspired by Maul's pre-Phantom Menace stories.</x:v>
      </x:c>
      <x:c r="L451" s="76" t="str">
        <x:v>Shadow</x:v>
      </x:c>
      <x:c r="M451" s="76" t="str">
        <x:v>Darth Maul &amp; Darth Sidious | Episode 2: The Master's Lesson | Shadow Hunter Inspired</x:v>
      </x:c>
      <x:c r="N451" s="76"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451" s="76" t="str">
        <x:v>Fall of the Jedi — Maul before Episode I</x:v>
      </x:c>
      <x:c r="P451" s="76" t="str">
        <x:v>IMG_6261.PNG</x:v>
      </x:c>
      <x:c r="Q451" s="76" t="str">
        <x:v>OCR extracted / placement assigned</x:v>
      </x:c>
      <x:c r="R451" s="76" t="str">
        <x:v>High</x:v>
      </x:c>
      <x:c r="S451" s="76" t="str"/>
      <x:c r="T451" s="76" t="str">
        <x:v>Unique</x:v>
      </x:c>
    </x:row>
    <x:row r="452" s="23" customFormat="1" ht="36" customHeight="1">
      <x:c r="A452" s="49" t="b">
        <x:v>0</x:v>
      </x:c>
      <x:c r="B452" s="56" t="str">
        <x:v>FV-0083</x:v>
      </x:c>
      <x:c r="C452" s="53" t="str">
        <x:v>Fan chronology — Fall of the Jedi</x:v>
      </x:c>
      <x:c r="D452" s="53" t="str">
        <x:v>Darth Maul &amp; Darth Sidious | Michael Reaves’ Shadow Hunter | Episode 2: The Master's Lesson</x:v>
      </x:c>
      <x:c r="E452" s="53" t="str">
        <x:v>Episode 2</x:v>
      </x:c>
      <x:c r="F452" s="53" t="str">
        <x:v>October 6, 2026</x:v>
      </x:c>
      <x:c r="G452" s="53" t="str">
        <x:v>Fan-made / non-canon</x:v>
      </x:c>
      <x:c r="H452" s="53" t="str">
        <x:v>Fan video</x:v>
      </x:c>
      <x:c r="I452" s="53" t="str">
        <x:v>YouTube — search by title</x:v>
      </x:c>
      <x:c r="J452" s="59" t="e">
        <x:f>HYPERLINK("https://www.youtube.com/results?search_query=Darth%20Maul%20%26%20Darth%20Sidious%20%7C%20Michael%20Reaves%E2%80%99%20Shadow%20Hunter%20%7C%20Episode%202%3A%20The%20Master's%20Lesson","Search")</x:f>
        <x:v>HYPERLINK is not implemented. linkLocation=https://www.youtube.com/results?search_query=Darth%20Maul%20%26%20Darth%20Sidious%20%7C%20Michael%20Reaves%E2%80%99%20Shadow%20Hunter%20%7C%20Episode%202%3A%20The%20Master's%20Lesson, friendlyName=Search</x:v>
      </x:c>
      <x:c r="K452" s="53" t="str">
        <x:v>Adapted from or inspired by Maul's pre-Phantom Menace stories.</x:v>
      </x:c>
      <x:c r="L452" s="76" t="str">
        <x:v>Shadow</x:v>
      </x:c>
      <x:c r="M452" s="76" t="str">
        <x:v>Darth Maul &amp; Darth Sidious | Michael Reaves’ Shadow Hunter | Episode 2: The Master's Lesson</x:v>
      </x:c>
      <x:c r="N452" s="76"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452" s="76" t="str">
        <x:v>Fall of the Jedi — Maul before Episode I</x:v>
      </x:c>
      <x:c r="P452" s="76" t="str">
        <x:v>IMG_6266.PNG</x:v>
      </x:c>
      <x:c r="Q452" s="76" t="str">
        <x:v>OCR extracted / placement assigned</x:v>
      </x:c>
      <x:c r="R452" s="76" t="str">
        <x:v>High</x:v>
      </x:c>
      <x:c r="S452" s="76" t="str"/>
      <x:c r="T452" s="76" t="str">
        <x:v>Unique</x:v>
      </x:c>
    </x:row>
    <x:row r="453" s="23" customFormat="1" ht="36" customHeight="1">
      <x:c r="A453" s="49" t="b">
        <x:v>0</x:v>
      </x:c>
      <x:c r="B453" s="56" t="str">
        <x:v>FV-0075</x:v>
      </x:c>
      <x:c r="C453" s="53" t="str">
        <x:v>Fan chronology — Fall of the Jedi</x:v>
      </x:c>
      <x:c r="D453" s="53" t="str">
        <x:v>Darth Maul &amp; Darth Sidious | Ryder Windham’s The Wrath of Darth Maul | Ep. 4: The Hunt</x:v>
      </x:c>
      <x:c r="E453" s="53" t="str">
        <x:v>Ep. 4</x:v>
      </x:c>
      <x:c r="F453" s="53" t="str">
        <x:v>October 7, 2026</x:v>
      </x:c>
      <x:c r="G453" s="53" t="str">
        <x:v>Fan-made / non-canon</x:v>
      </x:c>
      <x:c r="H453" s="53" t="str">
        <x:v>Fan video</x:v>
      </x:c>
      <x:c r="I453" s="53" t="str">
        <x:v>YouTube — search by title</x:v>
      </x:c>
      <x:c r="J453" s="59" t="e">
        <x:f>HYPERLINK("https://www.youtube.com/results?search_query=Darth%20Maul%20%26%20Darth%20Sidious%20%7C%20Ryder%20Windham%E2%80%99s%20The%20Wrath%20of%20Darth%20Maul%20%7C%20Ep.%204%3A%20The%20Hunt","Search")</x:f>
        <x:v>HYPERLINK is not implemented. linkLocation=https://www.youtube.com/results?search_query=Darth%20Maul%20%26%20Darth%20Sidious%20%7C%20Ryder%20Windham%E2%80%99s%20The%20Wrath%20of%20Darth%20Maul%20%7C%20Ep.%204%3A%20The%20Hunt, friendlyName=Search</x:v>
      </x:c>
      <x:c r="K453" s="53" t="str">
        <x:v>Adapted from or inspired by Maul's pre-Phantom Menace stories.</x:v>
      </x:c>
      <x:c r="L453" s="76" t="str">
        <x:v>Ryder Windham’s The Wrath of Darth Maul</x:v>
      </x:c>
      <x:c r="M453" s="76" t="str">
        <x:v>Darth Maul &amp; Darth Sidious | Ryder Windham’s The Wrath of Darth Maul | Ep. 4: The Hunt</x:v>
      </x:c>
      <x:c r="N453" s="76"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453" s="76" t="str">
        <x:v>Fall of the Jedi — Maul before Episode I</x:v>
      </x:c>
      <x:c r="P453" s="76" t="str">
        <x:v>IMG_6258.PNG</x:v>
      </x:c>
      <x:c r="Q453" s="76" t="str">
        <x:v>OCR extracted / placement assigned</x:v>
      </x:c>
      <x:c r="R453" s="76" t="str">
        <x:v>High</x:v>
      </x:c>
      <x:c r="S453" s="76" t="str"/>
      <x:c r="T453" s="76" t="str">
        <x:v>Unique</x:v>
      </x:c>
    </x:row>
    <x:row r="454" s="23" customFormat="1" ht="36" customHeight="1">
      <x:c r="A454" s="49" t="b">
        <x:v>0</x:v>
      </x:c>
      <x:c r="B454" s="56" t="str">
        <x:v>FV-0045</x:v>
      </x:c>
      <x:c r="C454" s="53" t="str">
        <x:v>Fan chronology — Fall of the Jedi</x:v>
      </x:c>
      <x:c r="D454" s="53" t="str">
        <x:v>Darth Maul Makes Sidious Step Back | Episode 4: Make Your Own Opening</x:v>
      </x:c>
      <x:c r="E454" s="53" t="str">
        <x:v>Episode 4</x:v>
      </x:c>
      <x:c r="F454" s="53" t="str">
        <x:v>October 11, 2026</x:v>
      </x:c>
      <x:c r="G454" s="53" t="str">
        <x:v>Fan-made / non-canon</x:v>
      </x:c>
      <x:c r="H454" s="53" t="str">
        <x:v>Fan video</x:v>
      </x:c>
      <x:c r="I454" s="53" t="str">
        <x:v>YouTube — search by title</x:v>
      </x:c>
      <x:c r="J454" s="59" t="e">
        <x:f>HYPERLINK("https://www.youtube.com/results?search_query=Darth%20Maul%20Makes%20Sidious%20Step%20Back%20%7C%20Episode%204%3A%20Make%20Your%20Own%20Opening","Search")</x:f>
        <x:v>HYPERLINK is not implemented. linkLocation=https://www.youtube.com/results?search_query=Darth%20Maul%20Makes%20Sidious%20Step%20Back%20%7C%20Episode%204%3A%20Make%20Your%20Own%20Opening, friendlyName=Search</x:v>
      </x:c>
      <x:c r="K454" s="53" t="str">
        <x:v>Adapted from or inspired by Maul's pre-Phantom Menace stories.</x:v>
      </x:c>
      <x:c r="L454" s="76" t="str">
        <x:v>Darth Maul Makes Sidious Step Back</x:v>
      </x:c>
      <x:c r="M454" s="76" t="str">
        <x:v>Darth Maul Makes Sidious Step Back | Episode 4: Make Your Own Opening</x:v>
      </x:c>
      <x:c r="N454" s="76"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454" s="76" t="str">
        <x:v>Fall of the Jedi — Maul before Episode I</x:v>
      </x:c>
      <x:c r="P454" s="76" t="str">
        <x:v>IMG_6228.PNG</x:v>
      </x:c>
      <x:c r="Q454" s="76" t="str">
        <x:v>OCR extracted / placement assigned</x:v>
      </x:c>
      <x:c r="R454" s="76" t="str">
        <x:v>High</x:v>
      </x:c>
      <x:c r="S454" s="76" t="str"/>
      <x:c r="T454" s="76" t="str">
        <x:v>Unique</x:v>
      </x:c>
    </x:row>
    <x:row r="455" s="23" customFormat="1" ht="36" customHeight="1">
      <x:c r="A455" s="49" t="b">
        <x:v>0</x:v>
      </x:c>
      <x:c r="B455" s="56" t="str">
        <x:v>FV-0086</x:v>
      </x:c>
      <x:c r="C455" s="53" t="str">
        <x:v>Fan chronology — Fall of the Jedi</x:v>
      </x:c>
      <x:c r="D455" s="53" t="str">
        <x:v>Michael Reaves’s Darth Maul: Shadow Hunter | Maul &amp; Darth Sidious — Episode 1: The Hunt Begins</x:v>
      </x:c>
      <x:c r="E455" s="53" t="str">
        <x:v>Episode 1</x:v>
      </x:c>
      <x:c r="F455" s="53" t="str">
        <x:v>October 5, 2026</x:v>
      </x:c>
      <x:c r="G455" s="53" t="str">
        <x:v>Fan-made / non-canon</x:v>
      </x:c>
      <x:c r="H455" s="53" t="str">
        <x:v>Fan video</x:v>
      </x:c>
      <x:c r="I455" s="53" t="str">
        <x:v>YouTube — search by title</x:v>
      </x:c>
      <x:c r="J455" s="59" t="e">
        <x:f>HYPERLINK("https://www.youtube.com/results?search_query=Michael%20Reaves%E2%80%99s%20Darth%20Maul%3A%20Shadow%20Hunter%20%7C%20Maul%20%26%20Darth%20Sidious%20%E2%80%94%20Episode%201%3A%20The%20Hunt%20Begins","Search")</x:f>
        <x:v>HYPERLINK is not implemented. linkLocation=https://www.youtube.com/results?search_query=Michael%20Reaves%E2%80%99s%20Darth%20Maul%3A%20Shadow%20Hunter%20%7C%20Maul%20%26%20Darth%20Sidious%20%E2%80%94%20Episode%201%3A%20The%20Hunt%20Begins, friendlyName=Search</x:v>
      </x:c>
      <x:c r="K455" s="53" t="str">
        <x:v>Adapted from or inspired by Maul's pre-Phantom Menace stories.</x:v>
      </x:c>
      <x:c r="L455" s="76" t="str">
        <x:v>Shadow</x:v>
      </x:c>
      <x:c r="M455" s="76" t="str">
        <x:v>Michael Reaves’s Darth Maul: Shadow Hunter | Maul &amp; Darth Sidious — Episode 1: The Hunt Begins</x:v>
      </x:c>
      <x:c r="N455" s="76"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455" s="76" t="str">
        <x:v>Fall of the Jedi — Maul before Episode I</x:v>
      </x:c>
      <x:c r="P455" s="76" t="str">
        <x:v>IMG_6269.PNG</x:v>
      </x:c>
      <x:c r="Q455" s="76" t="str">
        <x:v>OCR extracted / placement assigned</x:v>
      </x:c>
      <x:c r="R455" s="76" t="str">
        <x:v>High</x:v>
      </x:c>
      <x:c r="S455" s="76" t="str"/>
      <x:c r="T455" s="76" t="str">
        <x:v>Unique</x:v>
      </x:c>
    </x:row>
    <x:row r="456" s="23" customFormat="1" ht="36" customHeight="1">
      <x:c r="A456" s="49" t="b">
        <x:v>0</x:v>
      </x:c>
      <x:c r="B456" s="56" t="str">
        <x:v>FV-0054</x:v>
      </x:c>
      <x:c r="C456" s="53" t="str">
        <x:v>Fan chronology — Fall of the Jedi</x:v>
      </x:c>
      <x:c r="D456" s="53" t="str">
        <x:v>Sidious Disarms Maul Delivers the Real Blow | Episode 3 | Shadow Hunter Inspired</x:v>
      </x:c>
      <x:c r="E456" s="53" t="str">
        <x:v>Episode 3</x:v>
      </x:c>
      <x:c r="F456" s="53" t="str">
        <x:v>October 10, 2026</x:v>
      </x:c>
      <x:c r="G456" s="53" t="str">
        <x:v>Fan-made / non-canon</x:v>
      </x:c>
      <x:c r="H456" s="53" t="str">
        <x:v>Fan video</x:v>
      </x:c>
      <x:c r="I456" s="53" t="str">
        <x:v>YouTube — search by title</x:v>
      </x:c>
      <x:c r="J456" s="59" t="e">
        <x:f>HYPERLINK("https://www.youtube.com/results?search_query=Sidious%20Disarms%20Maul%20Delivers%20the%20Real%20Blow%20%7C%20Episode%203%20%7C%20Shadow%20Hunter%20Inspired","Search")</x:f>
        <x:v>HYPERLINK is not implemented. linkLocation=https://www.youtube.com/results?search_query=Sidious%20Disarms%20Maul%20Delivers%20the%20Real%20Blow%20%7C%20Episode%203%20%7C%20Shadow%20Hunter%20Inspired, friendlyName=Search</x:v>
      </x:c>
      <x:c r="K456" s="53" t="str">
        <x:v>Adapted from or inspired by Maul's pre-Phantom Menace stories.</x:v>
      </x:c>
      <x:c r="L456" s="76" t="str">
        <x:v>Shadow</x:v>
      </x:c>
      <x:c r="M456" s="76" t="str">
        <x:v>Sidious Disarms Maul Delivers the Real Blow | Episode 3 | Shadow Hunter Inspired</x:v>
      </x:c>
      <x:c r="N456" s="76"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456" s="76" t="str">
        <x:v>Fall of the Jedi — Maul before Episode I</x:v>
      </x:c>
      <x:c r="P456" s="76" t="str">
        <x:v>IMG_6237.PNG</x:v>
      </x:c>
      <x:c r="Q456" s="76" t="str">
        <x:v>OCR extracted / placement assigned</x:v>
      </x:c>
      <x:c r="R456" s="76" t="str">
        <x:v>High</x:v>
      </x:c>
      <x:c r="S456" s="76" t="str"/>
      <x:c r="T456" s="76" t="str">
        <x:v>Unique</x:v>
      </x:c>
    </x:row>
    <x:row r="457" s="23" customFormat="1" ht="36" customHeight="1">
      <x:c r="A457" s="49" t="b">
        <x:v>0</x:v>
      </x:c>
      <x:c r="B457" s="56" t="str">
        <x:v>FV-0386</x:v>
      </x:c>
      <x:c r="C457" s="53" t="str">
        <x:v>Fan chronology — Fall of the Jedi</x:v>
      </x:c>
      <x:c r="D457" s="53" t="str">
        <x:v>ORDER 66: He Survived by Walking Away</x:v>
      </x:c>
      <x:c r="E457" s="53" t="str"/>
      <x:c r="F457" s="53" t="str">
        <x:v>August 23, 2026</x:v>
      </x:c>
      <x:c r="G457" s="53" t="str">
        <x:v>Fan-made / non-canon</x:v>
      </x:c>
      <x:c r="H457" s="53" t="str">
        <x:v>Fan video</x:v>
      </x:c>
      <x:c r="I457" s="53" t="str">
        <x:v>YouTube — search by title</x:v>
      </x:c>
      <x:c r="J457" s="59" t="e">
        <x:f>HYPERLINK("https://www.youtube.com/results?search_query=ORDER%2066%3A%20He%20Survived%20by%20Walking%20Away","Search")</x:f>
        <x:v>HYPERLINK is not implemented. linkLocation=https://www.youtube.com/results?search_query=ORDER%2066%3A%20He%20Survived%20by%20Walking%20Away, friendlyName=Search</x:v>
      </x:c>
      <x:c r="K457" s="53" t="str">
        <x:v>During or immediately after Order 66.</x:v>
      </x:c>
      <x:c r="L457" s="76" t="str"/>
      <x:c r="M457" s="76" t="str">
        <x:v>ORDER 66: He Survived by Walking Away</x:v>
      </x:c>
      <x:c r="N457" s="76"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457" s="76" t="str">
        <x:v>Fall of the Jedi — Order 66 / immediate Imperial transition</x:v>
      </x:c>
      <x:c r="P457" s="76" t="str">
        <x:v>IMG_6572.PNG</x:v>
      </x:c>
      <x:c r="Q457" s="76" t="str">
        <x:v>OCR extracted / placement assigned</x:v>
      </x:c>
      <x:c r="R457" s="76" t="str">
        <x:v>High</x:v>
      </x:c>
      <x:c r="S457" s="76" t="str"/>
      <x:c r="T457" s="76" t="str">
        <x:v>Unique</x:v>
      </x:c>
    </x:row>
    <x:row r="458" s="23" customFormat="1" ht="36" customHeight="1">
      <x:c r="A458" s="49" t="b">
        <x:v>0</x:v>
      </x:c>
      <x:c r="B458" s="56" t="str">
        <x:v>FV-0390</x:v>
      </x:c>
      <x:c r="C458" s="53" t="str">
        <x:v>Fan chronology — Fall of the Jedi</x:v>
      </x:c>
      <x:c r="D458" s="53" t="str">
        <x:v>ORDER 66: Nowhere Was Safe | A Jedi’s Escape</x:v>
      </x:c>
      <x:c r="E458" s="53" t="str"/>
      <x:c r="F458" s="53" t="str">
        <x:v>August 23, 2026</x:v>
      </x:c>
      <x:c r="G458" s="53" t="str">
        <x:v>Fan-made / non-canon</x:v>
      </x:c>
      <x:c r="H458" s="53" t="str">
        <x:v>Fan video</x:v>
      </x:c>
      <x:c r="I458" s="53" t="str">
        <x:v>YouTube — search by title</x:v>
      </x:c>
      <x:c r="J458" s="59" t="e">
        <x:f>HYPERLINK("https://www.youtube.com/results?search_query=ORDER%2066%3A%20Nowhere%20Was%20Safe%20%7C%20A%20Jedi%E2%80%99s%20Escape","Search")</x:f>
        <x:v>HYPERLINK is not implemented. linkLocation=https://www.youtube.com/results?search_query=ORDER%2066%3A%20Nowhere%20Was%20Safe%20%7C%20A%20Jedi%E2%80%99s%20Escape, friendlyName=Search</x:v>
      </x:c>
      <x:c r="K458" s="53" t="str">
        <x:v>During or immediately after Order 66.</x:v>
      </x:c>
      <x:c r="L458" s="76" t="str">
        <x:v>A Jedi’s Escape</x:v>
      </x:c>
      <x:c r="M458" s="76" t="str">
        <x:v>ORDER 66: Nowhere Was Safe | A Jedi’s Escape</x:v>
      </x:c>
      <x:c r="N458" s="76"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458" s="76" t="str">
        <x:v>Fall of the Jedi — Order 66 / immediate Imperial transition</x:v>
      </x:c>
      <x:c r="P458" s="76" t="str">
        <x:v>IMG_6576.PNG, IMG_6772.PNG</x:v>
      </x:c>
      <x:c r="Q458" s="76" t="str">
        <x:v>OCR extracted / placement assigned</x:v>
      </x:c>
      <x:c r="R458" s="76" t="str">
        <x:v>High</x:v>
      </x:c>
      <x:c r="S458" s="76" t="str"/>
      <x:c r="T458" s="76" t="str">
        <x:v>Primary — DUP-001</x:v>
      </x:c>
    </x:row>
    <x:row r="459" s="23" customFormat="1" ht="36" customHeight="1">
      <x:c r="A459" s="49" t="b">
        <x:v>0</x:v>
      </x:c>
      <x:c r="B459" s="56" t="str">
        <x:v>FV-0405</x:v>
      </x:c>
      <x:c r="C459" s="53" t="str">
        <x:v>Fan chronology — Fall of the Jedi</x:v>
      </x:c>
      <x:c r="D459" s="53" t="str">
        <x:v>Young Obi-Wan Kenobi vs Sith</x:v>
      </x:c>
      <x:c r="E459" s="53" t="str"/>
      <x:c r="F459" s="53" t="str">
        <x:v>May 10, 2026</x:v>
      </x:c>
      <x:c r="G459" s="53" t="str">
        <x:v>Fan-made / non-canon</x:v>
      </x:c>
      <x:c r="H459" s="53" t="str">
        <x:v>Fan video</x:v>
      </x:c>
      <x:c r="I459" s="53" t="str">
        <x:v>YouTube — search by title</x:v>
      </x:c>
      <x:c r="J459" s="59" t="e">
        <x:f>HYPERLINK("https://www.youtube.com/results?search_query=Young%20Obi-Wan%20Kenobi%20vs%20Sith","Search")</x:f>
        <x:v>HYPERLINK is not implemented. linkLocation=https://www.youtube.com/results?search_query=Young%20Obi-Wan%20Kenobi%20vs%20Sith, friendlyName=Search</x:v>
      </x:c>
      <x:c r="K459" s="53" t="str">
        <x:v>Before or around The Phantom Menace; exact point depends on the fan story.</x:v>
      </x:c>
      <x:c r="L459" s="76" t="str"/>
      <x:c r="M459" s="76" t="str">
        <x:v>Young Obi-Wan Kenobi vs Sith</x:v>
      </x:c>
      <x:c r="N459" s="76" t="str">
        <x:v>Night falls. Rain pours.
A lone Jedi steps onto an industrial platform and
faces a ruthless Dark Warrior in a brutal close-range
energy blade duel. Sparks, smoke, steel, and pure
cinematic chaos collide in this hyper-real VOID
PROTOCOL battle.
...more</x:v>
      </x:c>
      <x:c r="O459" s="76" t="str">
        <x:v>Fall of the Jedi — prequel era</x:v>
      </x:c>
      <x:c r="P459" s="76" t="str">
        <x:v>IMG_6591.PNG</x:v>
      </x:c>
      <x:c r="Q459" s="76" t="str">
        <x:v>OCR extracted / placement assigned</x:v>
      </x:c>
      <x:c r="R459" s="76" t="str">
        <x:v>Medium</x:v>
      </x:c>
      <x:c r="S459" s="76" t="str"/>
      <x:c r="T459" s="76" t="str">
        <x:v>Unique</x:v>
      </x:c>
    </x:row>
    <x:row r="460" s="23" customFormat="1" ht="36" customHeight="1">
      <x:c r="A460" s="49" t="b">
        <x:v>0</x:v>
      </x:c>
      <x:c r="B460" s="56" t="str">
        <x:v>FV-0415</x:v>
      </x:c>
      <x:c r="C460" s="53" t="str">
        <x:v>Fan chronology — Fall of the Jedi</x:v>
      </x:c>
      <x:c r="D460" s="53" t="str">
        <x:v>Young Obi-Wan Kenobi vs Sith</x:v>
      </x:c>
      <x:c r="E460" s="53" t="str"/>
      <x:c r="F460" s="53" t="str">
        <x:v>May 30, 2026</x:v>
      </x:c>
      <x:c r="G460" s="53" t="str">
        <x:v>Fan-made / non-canon</x:v>
      </x:c>
      <x:c r="H460" s="53" t="str">
        <x:v>Fan video</x:v>
      </x:c>
      <x:c r="I460" s="53" t="str">
        <x:v>YouTube — search by title</x:v>
      </x:c>
      <x:c r="J460" s="59" t="e">
        <x:f>HYPERLINK("https://www.youtube.com/results?search_query=Young%20Obi-Wan%20Kenobi%20vs%20Sith","Search")</x:f>
        <x:v>HYPERLINK is not implemented. linkLocation=https://www.youtube.com/results?search_query=Young%20Obi-Wan%20Kenobi%20vs%20Sith, friendlyName=Search</x:v>
      </x:c>
      <x:c r="K460" s="53" t="str">
        <x:v>Before or around The Phantom Menace; exact point depends on the fan story.</x:v>
      </x:c>
      <x:c r="L460" s="76" t="str"/>
      <x:c r="M460" s="76" t="str">
        <x:v>Young Obi-Wan Kenobi vs Sith</x:v>
      </x:c>
      <x:c r="N460" s="76" t="str">
        <x:v>Night falls. Rain pours.
A lone Jedi steps onto an industrial platform and
faces a ruthless Dark Warrior in a brutal close-range
energy blade duel. Sparks, smoke, steel, and pure
cinematic chaos collide in this hyper-real VOID
PROTOCOL battle.
© Realistic blade combat
@ Heavy rain atmosphere
@ Industrial sci-fi warfare
© Cinematic live-action style
What happens in Part 2?
#VoidProtocol #Jedi #SciFi #Lightsaber #Cinematic
#StarWarsIinspired #BladeWars</x:v>
      </x:c>
      <x:c r="O460" s="76" t="str">
        <x:v>Fall of the Jedi — prequel era</x:v>
      </x:c>
      <x:c r="P460" s="76" t="str">
        <x:v>IMG_6601.PNG</x:v>
      </x:c>
      <x:c r="Q460" s="76" t="str">
        <x:v>OCR extracted / placement assigned</x:v>
      </x:c>
      <x:c r="R460" s="76" t="str">
        <x:v>Medium</x:v>
      </x:c>
      <x:c r="S460" s="76" t="str"/>
      <x:c r="T460" s="76" t="str">
        <x:v>Unique</x:v>
      </x:c>
    </x:row>
    <x:row r="461" s="23" customFormat="1" ht="36" customHeight="1">
      <x:c r="A461" s="49" t="b">
        <x:v>0</x:v>
      </x:c>
      <x:c r="B461" s="56" t="str">
        <x:v>FV-0517</x:v>
      </x:c>
      <x:c r="C461" s="53" t="str">
        <x:v>Fan chronology — Fall of the Jedi</x:v>
      </x:c>
      <x:c r="D461" s="53" t="str">
        <x:v>Darth Maul Chose The Huntress</x:v>
      </x:c>
      <x:c r="E461" s="53" t="str"/>
      <x:c r="F461" s="53" t="str">
        <x:v>June 19, 2026</x:v>
      </x:c>
      <x:c r="G461" s="53" t="str">
        <x:v>Fan-made / non-canon</x:v>
      </x:c>
      <x:c r="H461" s="53" t="str">
        <x:v>Fan video</x:v>
      </x:c>
      <x:c r="I461" s="53" t="str">
        <x:v>YouTube — search by title</x:v>
      </x:c>
      <x:c r="J461" s="59" t="e">
        <x:f>HYPERLINK("https://www.youtube.com/results?search_query=Darth%20Maul%20Chose%20The%20Huntress","Search")</x:f>
        <x:v>HYPERLINK is not implemented. linkLocation=https://www.youtube.com/results?search_query=Darth%20Maul%20Chose%20The%20Huntress, friendlyName=Search</x:v>
      </x:c>
      <x:c r="K461" s="53" t="str">
        <x:v>The title does not reliably distinguish pre-Episode I Maul from his Clone Wars return.</x:v>
      </x:c>
      <x:c r="L461" s="76" t="str"/>
      <x:c r="M461" s="76" t="str">
        <x:v>Darth Maul Chose The Huntress</x:v>
      </x:c>
      <x:c r="N461" s="76" t="str">
        <x:v>The Huntress Jedi had defeated powerful enemies
before, but this time she faced a warrior unlike any
she had encountered.
Inside an ancient stone temple, speed met precision
as Darth Maul unleashed a relentless assault. The
Huntress fought with courage and skill, pushing the
duel to its limits, but some opponents are simply too
dangerous to underestimate.
One mistake.
One opening.
One victor.
« Enjoyed this adventure? Visit @blainehenry593
for more Jedi battles, legendary duels, and</x:v>
      </x:c>
      <x:c r="O461" s="76" t="str">
        <x:v>Fall of the Jedi / Clone Wars — Maul (exact point uncertain)</x:v>
      </x:c>
      <x:c r="P461" s="76" t="str">
        <x:v>IMG_6706.PNG</x:v>
      </x:c>
      <x:c r="Q461" s="76" t="str">
        <x:v>Needs review</x:v>
      </x:c>
      <x:c r="R461" s="76" t="str">
        <x:v>Low</x:v>
      </x:c>
      <x:c r="S461" s="76" t="str">
        <x:v>Chronological placement needs manual confirmation</x:v>
      </x:c>
      <x:c r="T461" s="76" t="str">
        <x:v>Unique</x:v>
      </x:c>
    </x:row>
    <x:row r="462" s="23" customFormat="1" ht="36" customHeight="1">
      <x:c r="A462" s="49" t="b">
        <x:v>0</x:v>
      </x:c>
      <x:c r="B462" s="56" t="str">
        <x:v>FV-0535</x:v>
      </x:c>
      <x:c r="C462" s="53" t="str">
        <x:v>Fan chronology — Fall of the Jedi</x:v>
      </x:c>
      <x:c r="D462" s="53" t="str">
        <x:v>DARTH MAUL NEVER STOPPED ATTACKING x</x:v>
      </x:c>
      <x:c r="E462" s="53" t="str"/>
      <x:c r="F462" s="53" t="str">
        <x:v>June 22, 2026</x:v>
      </x:c>
      <x:c r="G462" s="53" t="str">
        <x:v>Fan-made / non-canon</x:v>
      </x:c>
      <x:c r="H462" s="53" t="str">
        <x:v>Fan video</x:v>
      </x:c>
      <x:c r="I462" s="53" t="str">
        <x:v>YouTube — search by title</x:v>
      </x:c>
      <x:c r="J462" s="59" t="e">
        <x:f>HYPERLINK("https://www.youtube.com/results?search_query=DARTH%20MAUL%20NEVER%20STOPPED%20ATTACKING%20x","Search")</x:f>
        <x:v>HYPERLINK is not implemented. linkLocation=https://www.youtube.com/results?search_query=DARTH%20MAUL%20NEVER%20STOPPED%20ATTACKING%20x, friendlyName=Search</x:v>
      </x:c>
      <x:c r="K462" s="53" t="str">
        <x:v>The title does not reliably distinguish pre-Episode I Maul from his Clone Wars return.</x:v>
      </x:c>
      <x:c r="L462" s="76" t="str"/>
      <x:c r="M462" s="76" t="str">
        <x:v>DARTH MAUL NEVER STOPPED ATTACKING x</x:v>
      </x:c>
      <x:c r="N462" s="76" t="str">
        <x:v>A lone Jedi thought he could hold the ancient
bridge.
Then then DARTH MAUL arrived.
Fast. Relentless. Unforgiving.
His spinning lightsaber style overwhelms everything
in its path as sparks fly across the storm-soaked
ruins. Every attack comes faster than the last,
pushing the Jedi closer and closer to defeat.
Some warriors fight with patience.
This one fights like a storm.
Who would survive aaainst the Red-Faced Dark</x:v>
      </x:c>
      <x:c r="O462" s="76" t="str">
        <x:v>Fall of the Jedi / Clone Wars — Maul (exact point uncertain)</x:v>
      </x:c>
      <x:c r="P462" s="76" t="str">
        <x:v>IMG_6724.PNG</x:v>
      </x:c>
      <x:c r="Q462" s="76" t="str">
        <x:v>Needs review</x:v>
      </x:c>
      <x:c r="R462" s="76" t="str">
        <x:v>Low</x:v>
      </x:c>
      <x:c r="S462" s="76" t="str">
        <x:v>Chronological placement needs manual confirmation</x:v>
      </x:c>
      <x:c r="T462" s="76" t="str">
        <x:v>Unique</x:v>
      </x:c>
    </x:row>
    <x:row r="463" s="23" customFormat="1" ht="36" customHeight="1">
      <x:c r="A463" s="49" t="b">
        <x:v>0</x:v>
      </x:c>
      <x:c r="B463" s="56" t="str">
        <x:v>FV-0518</x:v>
      </x:c>
      <x:c r="C463" s="53" t="str">
        <x:v>Fan chronology — Fall of the Jedi</x:v>
      </x:c>
      <x:c r="D463" s="53" t="str">
        <x:v>Darth Maul Returned To The Ancient Kingdom</x:v>
      </x:c>
      <x:c r="E463" s="53" t="str"/>
      <x:c r="F463" s="53" t="str">
        <x:v>June 19, 2026</x:v>
      </x:c>
      <x:c r="G463" s="53" t="str">
        <x:v>Fan-made / non-canon</x:v>
      </x:c>
      <x:c r="H463" s="53" t="str">
        <x:v>Fan video</x:v>
      </x:c>
      <x:c r="I463" s="53" t="str">
        <x:v>YouTube — search by title</x:v>
      </x:c>
      <x:c r="J463" s="59" t="e">
        <x:f>HYPERLINK("https://www.youtube.com/results?search_query=Darth%20Maul%20Returned%20To%20The%20Ancient%20Kingdom","Search")</x:f>
        <x:v>HYPERLINK is not implemented. linkLocation=https://www.youtube.com/results?search_query=Darth%20Maul%20Returned%20To%20The%20Ancient%20Kingdom, friendlyName=Search</x:v>
      </x:c>
      <x:c r="K463" s="53" t="str">
        <x:v>The title does not reliably distinguish pre-Episode I Maul from his Clone Wars return.</x:v>
      </x:c>
      <x:c r="L463" s="76" t="str"/>
      <x:c r="M463" s="76" t="str">
        <x:v>Darth Maul Returned To The Ancient Kingdom</x:v>
      </x:c>
      <x:c r="N463" s="76" t="str">
        <x:v>For years, the ancient kingdom stood abandoned
beneath the fog.
Then Darth Maul returned.
Perched atop a shattered archway, the dark warrior
watched as a lone Jedi entered the ruins. What
followed was a relentless lightsaber duel filled with
speed, aggression, and raw determination as red
and blue blades clashed beneath forgotten statues.
The Jedi came seeking answers.
Instead, he found Darth Maul.
™ Enjoyed this adventure? Visit @blainehenry593
for more Jedi battles, legendary duels, and
cinematic stories.</x:v>
      </x:c>
      <x:c r="O463" s="76" t="str">
        <x:v>Fall of the Jedi / Clone Wars — Maul (exact point uncertain)</x:v>
      </x:c>
      <x:c r="P463" s="76" t="str">
        <x:v>IMG_6707.PNG</x:v>
      </x:c>
      <x:c r="Q463" s="76" t="str">
        <x:v>Needs review</x:v>
      </x:c>
      <x:c r="R463" s="76" t="str">
        <x:v>Low</x:v>
      </x:c>
      <x:c r="S463" s="76" t="str">
        <x:v>Chronological placement needs manual confirmation</x:v>
      </x:c>
      <x:c r="T463" s="76" t="str">
        <x:v>Unique</x:v>
      </x:c>
    </x:row>
    <x:row r="464" s="23" customFormat="1" ht="36" customHeight="1">
      <x:c r="A464" s="49" t="b">
        <x:v>0</x:v>
      </x:c>
      <x:c r="B464" s="56" t="str">
        <x:v>FV-0418</x:v>
      </x:c>
      <x:c r="C464" s="53" t="str">
        <x:v>Fan chronology — Fall of the Jedi</x:v>
      </x:c>
      <x:c r="D464" s="53" t="str">
        <x:v>Hooded Jedi vs Darth Maul</x:v>
      </x:c>
      <x:c r="E464" s="53" t="str"/>
      <x:c r="F464" s="53" t="str">
        <x:v>June 1, 2026</x:v>
      </x:c>
      <x:c r="G464" s="53" t="str">
        <x:v>Fan-made / non-canon</x:v>
      </x:c>
      <x:c r="H464" s="53" t="str">
        <x:v>Fan video</x:v>
      </x:c>
      <x:c r="I464" s="53" t="str">
        <x:v>YouTube — search by title</x:v>
      </x:c>
      <x:c r="J464" s="59" t="e">
        <x:f>HYPERLINK("https://www.youtube.com/results?search_query=Hooded%20Jedi%20vs%20Darth%20Maul","Search")</x:f>
        <x:v>HYPERLINK is not implemented. linkLocation=https://www.youtube.com/results?search_query=Hooded%20Jedi%20vs%20Darth%20Maul, friendlyName=Search</x:v>
      </x:c>
      <x:c r="K464" s="53" t="str">
        <x:v>The title does not reliably distinguish pre-Episode I Maul from his Clone Wars return.</x:v>
      </x:c>
      <x:c r="L464" s="76" t="str"/>
      <x:c r="M464" s="76" t="str">
        <x:v>Hooded Jedi vs Darth Maul</x:v>
      </x:c>
      <x:c r="N464" s="76" t="str">
        <x:v>A lone hooded Jedi faces Darth Maul in a brutal
rain-soaked duel. Blue and red blades collide as
sparks fly across the battlefield. Every strike could
be the last in this cinematic showdown between
light and dark.
Who wins this fight?
#DarthMaul #Jedi #LightsaberDuel
#StarWarsinspired #SciFi #EpicBattle #Cinematic
#VoidProtocol #Shorts #Action #Fantasy
#Lightsaber #DarkSide #HoodedJedi
#BattleOfTheForce
Inspired by classic sci-fi fantasy battles. Fan-made
cinematic content.</x:v>
      </x:c>
      <x:c r="O464" s="76" t="str">
        <x:v>Fall of the Jedi / Clone Wars — Maul (exact point uncertain)</x:v>
      </x:c>
      <x:c r="P464" s="76" t="str">
        <x:v>IMG_6604.PNG</x:v>
      </x:c>
      <x:c r="Q464" s="76" t="str">
        <x:v>Needs review</x:v>
      </x:c>
      <x:c r="R464" s="76" t="str">
        <x:v>Low</x:v>
      </x:c>
      <x:c r="S464" s="76" t="str">
        <x:v>Chronological placement needs manual confirmation</x:v>
      </x:c>
      <x:c r="T464" s="76" t="str">
        <x:v>Unique</x:v>
      </x:c>
    </x:row>
    <x:row r="465" s="23" customFormat="1" ht="36" customHeight="1">
      <x:c r="A465" s="49" t="b">
        <x:v>0</x:v>
      </x:c>
      <x:c r="B465" s="56" t="str">
        <x:v>FV-0440</x:v>
      </x:c>
      <x:c r="C465" s="53" t="str">
        <x:v>Fan chronology — Fall of the Jedi</x:v>
      </x:c>
      <x:c r="D465" s="53" t="str">
        <x:v>Obi-Wan Kenobi vs Darth Maul: The Duel That Changed Everything *</x:v>
      </x:c>
      <x:c r="E465" s="53" t="str"/>
      <x:c r="F465" s="53" t="str">
        <x:v>June 10, 2026</x:v>
      </x:c>
      <x:c r="G465" s="53" t="str">
        <x:v>Fan-made / non-canon</x:v>
      </x:c>
      <x:c r="H465" s="53" t="str">
        <x:v>Fan video</x:v>
      </x:c>
      <x:c r="I465" s="53" t="str">
        <x:v>YouTube — search by title</x:v>
      </x:c>
      <x:c r="J465" s="59" t="e">
        <x:f>HYPERLINK("https://www.youtube.com/results?search_query=Obi-Wan%20Kenobi%20vs%20Darth%20Maul%3A%20The%20Duel%20That%20Changed%20Everything%20*","Search")</x:f>
        <x:v>HYPERLINK is not implemented. linkLocation=https://www.youtube.com/results?search_query=Obi-Wan%20Kenobi%20vs%20Darth%20Maul%3A%20The%20Duel%20That%20Changed%20Everything%20*, friendlyName=Search</x:v>
      </x:c>
      <x:c r="K465" s="53" t="str">
        <x:v>The title does not reliably distinguish pre-Episode I Maul from his Clone Wars return.</x:v>
      </x:c>
      <x:c r="L465" s="76" t="str"/>
      <x:c r="M465" s="76" t="str">
        <x:v>Obi-Wan Kenobi vs Darth Maul: The Duel That Changed Everything *</x:v>
      </x:c>
      <x:c r="N465" s="76" t="str">
        <x:v>A clash of power, skill, and destiny. Two legendary
warriors meet in an unforgettable lightsaber battle
where every strike could be the last. Who will
emerge victorious, and who will fall?
Choose your side and let the battle begin.
™ Epic duels
(@ Legendary warriors
++ The power of the Force
Who wins this fight? Let us know in the comments.
#StarWars #Jedi #Sith #Lightsaber #TheForce
#EpicBattle #SciFi #Shorts #YouTubeShorts
#LightsaberDuel #StarWarsFans #Battle #Action</x:v>
      </x:c>
      <x:c r="O465" s="76" t="str">
        <x:v>Fall of the Jedi / Clone Wars — Maul (exact point uncertain)</x:v>
      </x:c>
      <x:c r="P465" s="76" t="str">
        <x:v>IMG_6626.PNG</x:v>
      </x:c>
      <x:c r="Q465" s="76" t="str">
        <x:v>Needs review</x:v>
      </x:c>
      <x:c r="R465" s="76" t="str">
        <x:v>Low</x:v>
      </x:c>
      <x:c r="S465" s="76" t="str">
        <x:v>Chronological placement needs manual confirmation</x:v>
      </x:c>
      <x:c r="T465" s="76" t="str">
        <x:v>Unique</x:v>
      </x:c>
    </x:row>
    <x:row r="466" s="23" customFormat="1" ht="36" customHeight="1">
      <x:c r="A466" s="49" t="b">
        <x:v>0</x:v>
      </x:c>
      <x:c r="B466" s="56" t="str">
        <x:v>SWS-112</x:v>
      </x:c>
      <x:c r="C466" s="53" t="str">
        <x:v>Fan chronology — Clone Wars</x:v>
      </x:c>
      <x:c r="D466" s="53" t="str">
        <x:v>(AI) Deepfaking Hayden Christensen into the Clone Wars - Ahsoka and Anakin Farewell</x:v>
      </x:c>
      <x:c r="E466" s="53" t="str"/>
      <x:c r="F466" s="53" t="str">
        <x:v>Displayed as “2y ago” on October 17, 2026</x:v>
      </x:c>
      <x:c r="G466" s="53" t="str">
        <x:v>Fan-made / non-canon</x:v>
      </x:c>
      <x:c r="H466" s="53" t="str">
        <x:v>AI fan film</x:v>
      </x:c>
      <x:c r="I466" s="53" t="str">
        <x:v>YouTube — Skywalker Stories</x:v>
      </x:c>
      <x:c r="J466" s="59" t="e">
        <x:f>HYPERLINK("https://www.youtube.com/watch?v=EoLM56huNUU","Open")</x:f>
        <x:v>HYPERLINK is not implemented. linkLocation=https://www.youtube.com/watch?v=EoLM56huNUU, friendlyName=Open</x:v>
      </x:c>
      <x:c r="K466" s="53" t="str">
        <x:v>Skywalker Stories. Visual re-edit alongside The Clone Wars; no new story continuity. Placement confidence: Medium.</x:v>
      </x:c>
      <x:c r="L466" s="76" t="str"/>
      <x:c r="M466" s="76" t="str">
        <x:v>(AI) Deepfaking Hayden Christensen into the Clone Wars - Ahsoka and Anakin Farewell</x:v>
      </x:c>
      <x:c r="N466" s="76" t="str"/>
      <x:c r="O466" s="76" t="str"/>
      <x:c r="P466" s="76" t="str"/>
      <x:c r="Q466" s="76" t="str">
        <x:v>Previously verified channel entry</x:v>
      </x:c>
      <x:c r="R466" s="76" t="str"/>
      <x:c r="S466" s="76" t="str"/>
      <x:c r="T466" s="76" t="str"/>
    </x:row>
    <x:row r="467" s="23" customFormat="1" ht="36" customHeight="1">
      <x:c r="A467" s="49" t="b">
        <x:v>0</x:v>
      </x:c>
      <x:c r="B467" s="56" t="str">
        <x:v>SWS-055</x:v>
      </x:c>
      <x:c r="C467" s="53" t="str">
        <x:v>Fan chronology — Clone Wars</x:v>
      </x:c>
      <x:c r="D467" s="53" t="str">
        <x:v>Star Wars -  Darth Sidious and Dooku capture Darth Maul</x:v>
      </x:c>
      <x:c r="E467" s="53" t="str"/>
      <x:c r="F467" s="53" t="str">
        <x:v>Displayed as “1y ago” on October 17, 2026</x:v>
      </x:c>
      <x:c r="G467" s="53" t="str">
        <x:v>Fan-made / non-canon</x:v>
      </x:c>
      <x:c r="H467" s="53" t="str">
        <x:v>AI fan film</x:v>
      </x:c>
      <x:c r="I467" s="53" t="str">
        <x:v>YouTube — Skywalker Stories</x:v>
      </x:c>
      <x:c r="J467" s="59" t="e">
        <x:f>HYPERLINK("https://www.youtube.com/watch?v=Gg3JeXUY5os","Open")</x:f>
        <x:v>HYPERLINK is not implemented. linkLocation=https://www.youtube.com/watch?v=Gg3JeXUY5os, friendlyName=Open</x:v>
      </x:c>
      <x:c r="K467" s="53" t="str">
        <x:v>Skywalker Stories. Son of Dathomir arc, after The Clone Wars Season 5 and before Season 7. Placement confidence: High.</x:v>
      </x:c>
      <x:c r="L467" s="76" t="str"/>
      <x:c r="M467" s="76" t="str">
        <x:v>Star Wars -  Darth Sidious and Dooku capture Darth Maul</x:v>
      </x:c>
      <x:c r="N467" s="76" t="str"/>
      <x:c r="O467" s="76" t="str"/>
      <x:c r="P467" s="76" t="str"/>
      <x:c r="Q467" s="76" t="str">
        <x:v>Previously verified channel entry</x:v>
      </x:c>
      <x:c r="R467" s="76" t="str"/>
      <x:c r="S467" s="76" t="str"/>
      <x:c r="T467" s="76" t="str"/>
    </x:row>
    <x:row r="468" s="23" customFormat="1" ht="36" customHeight="1">
      <x:c r="A468" s="49" t="b">
        <x:v>0</x:v>
      </x:c>
      <x:c r="B468" s="56" t="str">
        <x:v>SWS-053</x:v>
      </x:c>
      <x:c r="C468" s="53" t="str">
        <x:v>Fan chronology — Clone Wars</x:v>
      </x:c>
      <x:c r="D468" s="53" t="str">
        <x:v>Star Wars - Ahsoka leaves the Jedi Order</x:v>
      </x:c>
      <x:c r="E468" s="53" t="str"/>
      <x:c r="F468" s="53" t="str">
        <x:v>Displayed as “1y ago” on October 17, 2026</x:v>
      </x:c>
      <x:c r="G468" s="53" t="str">
        <x:v>Fan-made / non-canon</x:v>
      </x:c>
      <x:c r="H468" s="53" t="str">
        <x:v>AI fan film</x:v>
      </x:c>
      <x:c r="I468" s="53" t="str">
        <x:v>YouTube — Skywalker Stories</x:v>
      </x:c>
      <x:c r="J468" s="59" t="e">
        <x:f>HYPERLINK("https://www.youtube.com/watch?v=_Svu4Ix5_aw","Open")</x:f>
        <x:v>HYPERLINK is not implemented. linkLocation=https://www.youtube.com/watch?v=_Svu4Ix5_aw, friendlyName=Open</x:v>
      </x:c>
      <x:c r="K468" s="53" t="str">
        <x:v>Skywalker Stories. Around The Clone Wars Season 5 finale, after Ahsoka leaves the Order. Placement confidence: High.</x:v>
      </x:c>
      <x:c r="L468" s="76" t="str"/>
      <x:c r="M468" s="76" t="str">
        <x:v>Star Wars - Ahsoka leaves the Jedi Order</x:v>
      </x:c>
      <x:c r="N468" s="76" t="str"/>
      <x:c r="O468" s="76" t="str"/>
      <x:c r="P468" s="76" t="str"/>
      <x:c r="Q468" s="76" t="str">
        <x:v>Previously verified channel entry</x:v>
      </x:c>
      <x:c r="R468" s="76" t="str"/>
      <x:c r="S468" s="76" t="str"/>
      <x:c r="T468" s="76" t="str"/>
    </x:row>
    <x:row r="469" s="23" customFormat="1" ht="36" customHeight="1">
      <x:c r="A469" s="49" t="b">
        <x:v>0</x:v>
      </x:c>
      <x:c r="B469" s="56" t="str">
        <x:v>SWS-054</x:v>
      </x:c>
      <x:c r="C469" s="53" t="str">
        <x:v>Fan chronology — Clone Wars</x:v>
      </x:c>
      <x:c r="D469" s="53" t="str">
        <x:v>Star Wars - Darth Maul tortured by Dooku</x:v>
      </x:c>
      <x:c r="E469" s="53" t="str"/>
      <x:c r="F469" s="53" t="str">
        <x:v>Displayed as “1y ago” on October 17, 2026</x:v>
      </x:c>
      <x:c r="G469" s="53" t="str">
        <x:v>Fan-made / non-canon</x:v>
      </x:c>
      <x:c r="H469" s="53" t="str">
        <x:v>AI fan film</x:v>
      </x:c>
      <x:c r="I469" s="53" t="str">
        <x:v>YouTube — Skywalker Stories</x:v>
      </x:c>
      <x:c r="J469" s="59" t="e">
        <x:f>HYPERLINK("https://www.youtube.com/watch?v=ulc-IMqfnTY","Open")</x:f>
        <x:v>HYPERLINK is not implemented. linkLocation=https://www.youtube.com/watch?v=ulc-IMqfnTY, friendlyName=Open</x:v>
      </x:c>
      <x:c r="K469" s="53" t="str">
        <x:v>Skywalker Stories. Son of Dathomir arc, after The Clone Wars Season 5 and before Season 7. Placement confidence: High.</x:v>
      </x:c>
      <x:c r="L469" s="76" t="str"/>
      <x:c r="M469" s="76" t="str">
        <x:v>Star Wars - Darth Maul tortured by Dooku</x:v>
      </x:c>
      <x:c r="N469" s="76" t="str"/>
      <x:c r="O469" s="76" t="str"/>
      <x:c r="P469" s="76" t="str"/>
      <x:c r="Q469" s="76" t="str">
        <x:v>Previously verified channel entry</x:v>
      </x:c>
      <x:c r="R469" s="76" t="str"/>
      <x:c r="S469" s="76" t="str"/>
      <x:c r="T469" s="76" t="str"/>
    </x:row>
    <x:row r="470" s="23" customFormat="1" ht="36" customHeight="1">
      <x:c r="A470" s="49" t="b">
        <x:v>0</x:v>
      </x:c>
      <x:c r="B470" s="56" t="str">
        <x:v>SWS-111</x:v>
      </x:c>
      <x:c r="C470" s="53" t="str">
        <x:v>Fan chronology — Clone Wars</x:v>
      </x:c>
      <x:c r="D470" s="53" t="str">
        <x:v>Star Wars Deepfake - Hayden Christensen Anakin Skywalker The Clone Wars</x:v>
      </x:c>
      <x:c r="E470" s="53" t="str"/>
      <x:c r="F470" s="53" t="str">
        <x:v>Displayed as “2y ago” on October 17, 2026</x:v>
      </x:c>
      <x:c r="G470" s="53" t="str">
        <x:v>Fan-made / non-canon</x:v>
      </x:c>
      <x:c r="H470" s="53" t="str">
        <x:v>AI fan film</x:v>
      </x:c>
      <x:c r="I470" s="53" t="str">
        <x:v>YouTube — Skywalker Stories</x:v>
      </x:c>
      <x:c r="J470" s="59" t="e">
        <x:f>HYPERLINK("https://www.youtube.com/watch?v=lNtB4y3Tf4w","Open")</x:f>
        <x:v>HYPERLINK is not implemented. linkLocation=https://www.youtube.com/watch?v=lNtB4y3Tf4w, friendlyName=Open</x:v>
      </x:c>
      <x:c r="K470" s="53" t="str">
        <x:v>Skywalker Stories. Visual re-edit alongside The Clone Wars; no new story continuity. Placement confidence: Medium.</x:v>
      </x:c>
      <x:c r="L470" s="76" t="str"/>
      <x:c r="M470" s="76" t="str">
        <x:v>Star Wars Deepfake - Hayden Christensen Anakin Skywalker The Clone Wars</x:v>
      </x:c>
      <x:c r="N470" s="76" t="str"/>
      <x:c r="O470" s="76" t="str"/>
      <x:c r="P470" s="76" t="str"/>
      <x:c r="Q470" s="76" t="str">
        <x:v>Previously verified channel entry</x:v>
      </x:c>
      <x:c r="R470" s="76" t="str"/>
      <x:c r="S470" s="76" t="str"/>
      <x:c r="T470" s="76" t="str"/>
    </x:row>
    <x:row r="471" s="23" customFormat="1" ht="36" customHeight="1">
      <x:c r="A471" s="49" t="b">
        <x:v>0</x:v>
      </x:c>
      <x:c r="B471" s="56" t="str">
        <x:v>SWS-030</x:v>
      </x:c>
      <x:c r="C471" s="53" t="str">
        <x:v>Fan chronology — Clone Wars</x:v>
      </x:c>
      <x:c r="D471" s="53" t="str">
        <x:v>Star Wars: Darth Maul tortured by Dooku &amp; Sidious - Son Of Dathomir</x:v>
      </x:c>
      <x:c r="E471" s="53" t="str"/>
      <x:c r="F471" s="53" t="str">
        <x:v>Displayed as “1y ago” on October 17, 2026</x:v>
      </x:c>
      <x:c r="G471" s="53" t="str">
        <x:v>Fan-made / non-canon</x:v>
      </x:c>
      <x:c r="H471" s="53" t="str">
        <x:v>AI fan film</x:v>
      </x:c>
      <x:c r="I471" s="53" t="str">
        <x:v>YouTube — Skywalker Stories</x:v>
      </x:c>
      <x:c r="J471" s="59" t="e">
        <x:f>HYPERLINK("https://www.youtube.com/watch?v=xnQm-wAzSSM","Open")</x:f>
        <x:v>HYPERLINK is not implemented. linkLocation=https://www.youtube.com/watch?v=xnQm-wAzSSM, friendlyName=Open</x:v>
      </x:c>
      <x:c r="K471" s="53" t="str">
        <x:v>Skywalker Stories. Son of Dathomir arc, after The Clone Wars Season 5 and before Season 7. Placement confidence: High.</x:v>
      </x:c>
      <x:c r="L471" s="76" t="str"/>
      <x:c r="M471" s="76" t="str">
        <x:v>Star Wars: Darth Maul tortured by Dooku &amp; Sidious - Son Of Dathomir</x:v>
      </x:c>
      <x:c r="N471" s="76" t="str"/>
      <x:c r="O471" s="76" t="str"/>
      <x:c r="P471" s="76" t="str"/>
      <x:c r="Q471" s="76" t="str">
        <x:v>Previously verified channel entry</x:v>
      </x:c>
      <x:c r="R471" s="76" t="str"/>
      <x:c r="S471" s="76" t="str"/>
      <x:c r="T471" s="76" t="str"/>
    </x:row>
    <x:row r="472" s="23" customFormat="1" ht="36" customHeight="1">
      <x:c r="A472" s="49" t="b">
        <x:v>0</x:v>
      </x:c>
      <x:c r="B472" s="56" t="str">
        <x:v>SWS-020</x:v>
      </x:c>
      <x:c r="C472" s="53" t="str">
        <x:v>Fan chronology — Clone Wars</x:v>
      </x:c>
      <x:c r="D472" s="53" t="str">
        <x:v>Star Wars: Dooku &amp; Palpatine Talk Before Anakin &amp; Obi Wan Arrive To Save Palpatine</x:v>
      </x:c>
      <x:c r="E472" s="53" t="str"/>
      <x:c r="F472" s="53" t="str">
        <x:v>Displayed as “1y ago” on October 17, 2026</x:v>
      </x:c>
      <x:c r="G472" s="53" t="str">
        <x:v>Fan-made / non-canon</x:v>
      </x:c>
      <x:c r="H472" s="53" t="str">
        <x:v>AI fan film</x:v>
      </x:c>
      <x:c r="I472" s="53" t="str">
        <x:v>YouTube — Skywalker Stories</x:v>
      </x:c>
      <x:c r="J472" s="59" t="e">
        <x:f>HYPERLINK("https://www.youtube.com/watch?v=tzZYxfAbv9U","Open")</x:f>
        <x:v>HYPERLINK is not implemented. linkLocation=https://www.youtube.com/watch?v=tzZYxfAbv9U, friendlyName=Open</x:v>
      </x:c>
      <x:c r="K472" s="53" t="str">
        <x:v>Skywalker Stories. Immediately before or during the opening of Episode III: Revenge of the Sith. Placement confidence: High.</x:v>
      </x:c>
      <x:c r="L472" s="76" t="str"/>
      <x:c r="M472" s="76" t="str">
        <x:v>Star Wars: Dooku &amp; Palpatine Talk Before Anakin &amp; Obi Wan Arrive To Save Palpatine</x:v>
      </x:c>
      <x:c r="N472" s="76" t="str"/>
      <x:c r="O472" s="76" t="str"/>
      <x:c r="P472" s="76" t="str"/>
      <x:c r="Q472" s="76" t="str">
        <x:v>Previously verified channel entry</x:v>
      </x:c>
      <x:c r="R472" s="76" t="str"/>
      <x:c r="S472" s="76" t="str"/>
      <x:c r="T472" s="76" t="str"/>
    </x:row>
    <x:row r="473" s="23" customFormat="1" ht="36" customHeight="1">
      <x:c r="A473" s="49" t="b">
        <x:v>0</x:v>
      </x:c>
      <x:c r="B473" s="56" t="str">
        <x:v>SWS-041</x:v>
      </x:c>
      <x:c r="C473" s="53" t="str">
        <x:v>Fan chronology — Clone Wars</x:v>
      </x:c>
      <x:c r="D473" s="53" t="str">
        <x:v>Star Wars: Dooku &amp; Palpatine Talk Before Anakin &amp; Obi-Wan Rescue Palpatine</x:v>
      </x:c>
      <x:c r="E473" s="53" t="str"/>
      <x:c r="F473" s="53" t="str">
        <x:v>Displayed as “1y ago” on October 17, 2026</x:v>
      </x:c>
      <x:c r="G473" s="53" t="str">
        <x:v>Fan-made / non-canon</x:v>
      </x:c>
      <x:c r="H473" s="53" t="str">
        <x:v>AI fan film</x:v>
      </x:c>
      <x:c r="I473" s="53" t="str">
        <x:v>YouTube — Skywalker Stories</x:v>
      </x:c>
      <x:c r="J473" s="59" t="e">
        <x:f>HYPERLINK("https://www.youtube.com/watch?v=6iuUSLx8umw","Open")</x:f>
        <x:v>HYPERLINK is not implemented. linkLocation=https://www.youtube.com/watch?v=6iuUSLx8umw, friendlyName=Open</x:v>
      </x:c>
      <x:c r="K473" s="53" t="str">
        <x:v>Skywalker Stories. Immediately before or during the opening of Episode III: Revenge of the Sith. Placement confidence: High.</x:v>
      </x:c>
      <x:c r="L473" s="76" t="str"/>
      <x:c r="M473" s="76" t="str">
        <x:v>Star Wars: Dooku &amp; Palpatine Talk Before Anakin &amp; Obi-Wan Rescue Palpatine</x:v>
      </x:c>
      <x:c r="N473" s="76" t="str"/>
      <x:c r="O473" s="76" t="str"/>
      <x:c r="P473" s="76" t="str"/>
      <x:c r="Q473" s="76" t="str">
        <x:v>Previously verified channel entry</x:v>
      </x:c>
      <x:c r="R473" s="76" t="str"/>
      <x:c r="S473" s="76" t="str"/>
      <x:c r="T473" s="76" t="str"/>
    </x:row>
    <x:row r="474" s="23" customFormat="1" ht="36" customHeight="1">
      <x:c r="A474" s="49" t="b">
        <x:v>0</x:v>
      </x:c>
      <x:c r="B474" s="56" t="str">
        <x:v>SWS-027</x:v>
      </x:c>
      <x:c r="C474" s="53" t="str">
        <x:v>Fan chronology — Clone Wars</x:v>
      </x:c>
      <x:c r="D474" s="53" t="str">
        <x:v>Star Wars: Padawan Anakin Skywalker Fights Darth Maul and Learns The "System"</x:v>
      </x:c>
      <x:c r="E474" s="53" t="str"/>
      <x:c r="F474" s="53" t="str">
        <x:v>Displayed as “1y ago” on October 17, 2026</x:v>
      </x:c>
      <x:c r="G474" s="53" t="str">
        <x:v>Fan-made / non-canon</x:v>
      </x:c>
      <x:c r="H474" s="53" t="str">
        <x:v>AI fan film</x:v>
      </x:c>
      <x:c r="I474" s="53" t="str">
        <x:v>YouTube — Skywalker Stories</x:v>
      </x:c>
      <x:c r="J474" s="59" t="e">
        <x:f>HYPERLINK("https://www.youtube.com/watch?v=WOS7i42ggU8","Open")</x:f>
        <x:v>HYPERLINK is not implemented. linkLocation=https://www.youtube.com/watch?v=WOS7i42ggU8, friendlyName=Open</x:v>
      </x:c>
      <x:c r="K474" s="53" t="str">
        <x:v>Skywalker Stories. Alternate Clone Wars-era encounter; exact placement is uncertain. Placement confidence: Low.</x:v>
      </x:c>
      <x:c r="L474" s="76" t="str"/>
      <x:c r="M474" s="76" t="str">
        <x:v>Star Wars: Padawan Anakin Skywalker Fights Darth Maul and Learns The "System"</x:v>
      </x:c>
      <x:c r="N474" s="76" t="str"/>
      <x:c r="O474" s="76" t="str"/>
      <x:c r="P474" s="76" t="str"/>
      <x:c r="Q474" s="76" t="str">
        <x:v>Previously verified channel entry</x:v>
      </x:c>
      <x:c r="R474" s="76" t="str"/>
      <x:c r="S474" s="76" t="str"/>
      <x:c r="T474" s="76" t="str"/>
    </x:row>
    <x:row r="475" s="23" customFormat="1" ht="36" customHeight="1">
      <x:c r="A475" s="49" t="b">
        <x:v>0</x:v>
      </x:c>
      <x:c r="B475" s="56" t="str">
        <x:v>SWS-031</x:v>
      </x:c>
      <x:c r="C475" s="53" t="str">
        <x:v>Fan chronology — Clone Wars</x:v>
      </x:c>
      <x:c r="D475" s="53" t="str">
        <x:v>Star Wars: Yoda Wants Count Dooku To Teach Him The Dark Side</x:v>
      </x:c>
      <x:c r="E475" s="53" t="str"/>
      <x:c r="F475" s="53" t="str">
        <x:v>Displayed as “1y ago” on October 17, 2026</x:v>
      </x:c>
      <x:c r="G475" s="53" t="str">
        <x:v>Fan-made / non-canon</x:v>
      </x:c>
      <x:c r="H475" s="53" t="str">
        <x:v>AI fan film</x:v>
      </x:c>
      <x:c r="I475" s="53" t="str">
        <x:v>YouTube — Skywalker Stories</x:v>
      </x:c>
      <x:c r="J475" s="59" t="e">
        <x:f>HYPERLINK("https://www.youtube.com/watch?v=_GbEGvfjHYA","Open")</x:f>
        <x:v>HYPERLINK is not implemented. linkLocation=https://www.youtube.com/watch?v=_GbEGvfjHYA, friendlyName=Open</x:v>
      </x:c>
      <x:c r="K475" s="53" t="str">
        <x:v>Skywalker Stories. During the Clone Wars; Legends/Dark Rendezvous-inspired. Placement confidence: High.</x:v>
      </x:c>
      <x:c r="L475" s="76" t="str"/>
      <x:c r="M475" s="76" t="str">
        <x:v>Star Wars: Yoda Wants Count Dooku To Teach Him The Dark Side</x:v>
      </x:c>
      <x:c r="N475" s="76" t="str"/>
      <x:c r="O475" s="76" t="str"/>
      <x:c r="P475" s="76" t="str"/>
      <x:c r="Q475" s="76" t="str">
        <x:v>Previously verified channel entry</x:v>
      </x:c>
      <x:c r="R475" s="76" t="str"/>
      <x:c r="S475" s="76" t="str"/>
      <x:c r="T475" s="76" t="str"/>
    </x:row>
    <x:row r="476" s="23" customFormat="1" ht="36" customHeight="1">
      <x:c r="A476" s="49" t="b">
        <x:v>0</x:v>
      </x:c>
      <x:c r="B476" s="56" t="str">
        <x:v>SWS-062</x:v>
      </x:c>
      <x:c r="C476" s="53" t="str">
        <x:v>Fan chronology — Clone Wars</x:v>
      </x:c>
      <x:c r="D476" s="53" t="str">
        <x:v>Tales of the Star Wars Galaxy: Dooku tries to lure Yoda into the dark side from Dark Rendezvous</x:v>
      </x:c>
      <x:c r="E476" s="53" t="str"/>
      <x:c r="F476" s="53" t="str">
        <x:v>Displayed as “1y ago” on October 17, 2026</x:v>
      </x:c>
      <x:c r="G476" s="53" t="str">
        <x:v>Fan-made / non-canon</x:v>
      </x:c>
      <x:c r="H476" s="53" t="str">
        <x:v>AI fan film</x:v>
      </x:c>
      <x:c r="I476" s="53" t="str">
        <x:v>YouTube — Skywalker Stories</x:v>
      </x:c>
      <x:c r="J476" s="59" t="e">
        <x:f>HYPERLINK("https://www.youtube.com/watch?v=cxCOd97GeuU","Open")</x:f>
        <x:v>HYPERLINK is not implemented. linkLocation=https://www.youtube.com/watch?v=cxCOd97GeuU, friendlyName=Open</x:v>
      </x:c>
      <x:c r="K476" s="53" t="str">
        <x:v>Skywalker Stories. During the Clone Wars; Legends/Dark Rendezvous-inspired. Placement confidence: High.</x:v>
      </x:c>
      <x:c r="L476" s="76" t="str"/>
      <x:c r="M476" s="76" t="str">
        <x:v>Tales of the Star Wars Galaxy: Dooku tries to lure Yoda into the dark side from Dark Rendezvous</x:v>
      </x:c>
      <x:c r="N476" s="76" t="str"/>
      <x:c r="O476" s="76" t="str"/>
      <x:c r="P476" s="76" t="str"/>
      <x:c r="Q476" s="76" t="str">
        <x:v>Previously verified channel entry</x:v>
      </x:c>
      <x:c r="R476" s="76" t="str"/>
      <x:c r="S476" s="76" t="str"/>
      <x:c r="T476" s="76" t="str"/>
    </x:row>
    <x:row r="477" s="23" customFormat="1" ht="36" customHeight="1">
      <x:c r="A477" s="49" t="b">
        <x:v>0</x:v>
      </x:c>
      <x:c r="B477" s="56" t="str">
        <x:v>SWS-065</x:v>
      </x:c>
      <x:c r="C477" s="53" t="str">
        <x:v>Fan chronology — Clone Wars</x:v>
      </x:c>
      <x:c r="D477" s="53" t="str">
        <x:v>Tales of the Star Wars Galaxy: Palpatine and Count Dooku discuss Obi Wan &amp; Anakin ROTS Novelization</x:v>
      </x:c>
      <x:c r="E477" s="53" t="str"/>
      <x:c r="F477" s="53" t="str">
        <x:v>Displayed as “1y ago” on October 17, 2026</x:v>
      </x:c>
      <x:c r="G477" s="53" t="str">
        <x:v>Fan-made / non-canon</x:v>
      </x:c>
      <x:c r="H477" s="53" t="str">
        <x:v>AI fan film</x:v>
      </x:c>
      <x:c r="I477" s="53" t="str">
        <x:v>YouTube — Skywalker Stories</x:v>
      </x:c>
      <x:c r="J477" s="59" t="e">
        <x:f>HYPERLINK("https://www.youtube.com/watch?v=6Dvbkja3raE","Open")</x:f>
        <x:v>HYPERLINK is not implemented. linkLocation=https://www.youtube.com/watch?v=6Dvbkja3raE, friendlyName=Open</x:v>
      </x:c>
      <x:c r="K477" s="53" t="str">
        <x:v>Skywalker Stories. Immediately before or during the opening of Episode III: Revenge of the Sith. Placement confidence: High.</x:v>
      </x:c>
      <x:c r="L477" s="76" t="str"/>
      <x:c r="M477" s="76" t="str">
        <x:v>Tales of the Star Wars Galaxy: Palpatine and Count Dooku discuss Obi Wan &amp; Anakin ROTS Novelization</x:v>
      </x:c>
      <x:c r="N477" s="76" t="str"/>
      <x:c r="O477" s="76" t="str"/>
      <x:c r="P477" s="76" t="str"/>
      <x:c r="Q477" s="76" t="str">
        <x:v>Previously verified channel entry</x:v>
      </x:c>
      <x:c r="R477" s="76" t="str"/>
      <x:c r="S477" s="76" t="str"/>
      <x:c r="T477" s="76" t="str"/>
    </x:row>
    <x:row r="478" s="23" customFormat="1" ht="36" customHeight="1">
      <x:c r="A478" s="49" t="b">
        <x:v>0</x:v>
      </x:c>
      <x:c r="B478" s="56" t="str">
        <x:v>SWS-067</x:v>
      </x:c>
      <x:c r="C478" s="53" t="str">
        <x:v>Fan chronology — Clone Wars</x:v>
      </x:c>
      <x:c r="D478" s="53" t="str">
        <x:v>Tales of the Star Wars Galaxy: Qui Gon Jinn visits Count Dooku before Battle of Coruscant</x:v>
      </x:c>
      <x:c r="E478" s="53" t="str"/>
      <x:c r="F478" s="53" t="str">
        <x:v>Displayed as “1y ago” on October 17, 2026</x:v>
      </x:c>
      <x:c r="G478" s="53" t="str">
        <x:v>Fan-made / non-canon</x:v>
      </x:c>
      <x:c r="H478" s="53" t="str">
        <x:v>AI fan film</x:v>
      </x:c>
      <x:c r="I478" s="53" t="str">
        <x:v>YouTube — Skywalker Stories</x:v>
      </x:c>
      <x:c r="J478" s="59" t="e">
        <x:f>HYPERLINK("https://www.youtube.com/watch?v=daQ059H2PSg","Open")</x:f>
        <x:v>HYPERLINK is not implemented. linkLocation=https://www.youtube.com/watch?v=daQ059H2PSg, friendlyName=Open</x:v>
      </x:c>
      <x:c r="K478" s="53" t="str">
        <x:v>Skywalker Stories. Immediately before or during the opening of Episode III: Revenge of the Sith. Placement confidence: High.</x:v>
      </x:c>
      <x:c r="L478" s="76" t="str"/>
      <x:c r="M478" s="76" t="str">
        <x:v>Tales of the Star Wars Galaxy: Qui Gon Jinn visits Count Dooku before Battle of Coruscant</x:v>
      </x:c>
      <x:c r="N478" s="76" t="str"/>
      <x:c r="O478" s="76" t="str"/>
      <x:c r="P478" s="76" t="str"/>
      <x:c r="Q478" s="76" t="str">
        <x:v>Previously verified channel entry</x:v>
      </x:c>
      <x:c r="R478" s="76" t="str"/>
      <x:c r="S478" s="76" t="str"/>
      <x:c r="T478" s="76" t="str"/>
    </x:row>
    <x:row r="479" s="23" customFormat="1" ht="36" customHeight="1">
      <x:c r="A479" s="49" t="b">
        <x:v>0</x:v>
      </x:c>
      <x:c r="B479" s="56" t="str">
        <x:v>FV-0004</x:v>
      </x:c>
      <x:c r="C479" s="53" t="str">
        <x:v>Fan chronology — Clone Wars</x:v>
      </x:c>
      <x:c r="D479" s="53" t="str">
        <x:v>Count Dooku Steals Forbidden Sith Power | Sidious Knows! — Episode 1</x:v>
      </x:c>
      <x:c r="E479" s="53" t="str">
        <x:v>Episode 1</x:v>
      </x:c>
      <x:c r="F479" s="53" t="str">
        <x:v>8h ago</x:v>
      </x:c>
      <x:c r="G479" s="53" t="str">
        <x:v>Fan-made / non-canon</x:v>
      </x:c>
      <x:c r="H479" s="53" t="str">
        <x:v>Fan video</x:v>
      </x:c>
      <x:c r="I479" s="53" t="str">
        <x:v>YouTube — search by title</x:v>
      </x:c>
      <x:c r="J479" s="59" t="e">
        <x:f>HYPERLINK("https://www.youtube.com/results?search_query=Count%20Dooku%20Steals%20Forbidden%20Sith%20Power%20%7C%20Sidious%20Knows!%20%E2%80%94%20Episode%201","Search")</x:f>
        <x:v>HYPERLINK is not implemented. linkLocation=https://www.youtube.com/results?search_query=Count%20Dooku%20Steals%20Forbidden%20Sith%20Power%20%7C%20Sidious%20Knows!%20%E2%80%94%20Episode%201, friendlyName=Search</x:v>
      </x:c>
      <x:c r="K479" s="53" t="str">
        <x:v>Named Clone Wars-era character conflict.</x:v>
      </x:c>
      <x:c r="L479" s="76" t="str">
        <x:v>Sidious Knows!</x:v>
      </x:c>
      <x:c r="M479" s="76" t="str">
        <x:v>Count Dooku Steals Forbidden Sith Power | Sidious Knows! — Episode 1</x:v>
      </x:c>
      <x:c r="N479" s="76"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79" s="76" t="str">
        <x:v>Clone Wars</x:v>
      </x:c>
      <x:c r="P479" s="76" t="str">
        <x:v>IMG_6187.PNG</x:v>
      </x:c>
      <x:c r="Q479" s="76" t="str">
        <x:v>Needs review</x:v>
      </x:c>
      <x:c r="R479" s="76" t="str">
        <x:v>High</x:v>
      </x:c>
      <x:c r="S479" s="76" t="str">
        <x:v>Screenshot shows only a relative publication time</x:v>
      </x:c>
      <x:c r="T479" s="76" t="str">
        <x:v>Unique</x:v>
      </x:c>
    </x:row>
    <x:row r="480" s="23" customFormat="1" ht="36" customHeight="1">
      <x:c r="A480" s="49" t="b">
        <x:v>0</x:v>
      </x:c>
      <x:c r="B480" s="56" t="str">
        <x:v>FV-0147</x:v>
      </x:c>
      <x:c r="C480" s="53" t="str">
        <x:v>Fan chronology — Clone Wars</x:v>
      </x:c>
      <x:c r="D480" s="53" t="str">
        <x:v>Count Dooku vs. Anakin &amp; Obi-Wan | Two Jedi, One Sith</x:v>
      </x:c>
      <x:c r="E480" s="53" t="str"/>
      <x:c r="F480" s="53" t="str">
        <x:v>September 30, 2026</x:v>
      </x:c>
      <x:c r="G480" s="53" t="str">
        <x:v>Fan-made / non-canon</x:v>
      </x:c>
      <x:c r="H480" s="53" t="str">
        <x:v>Fan video</x:v>
      </x:c>
      <x:c r="I480" s="53" t="str">
        <x:v>YouTube — search by title</x:v>
      </x:c>
      <x:c r="J480" s="59" t="e">
        <x:f>HYPERLINK("https://www.youtube.com/results?search_query=Count%20Dooku%20vs.%20Anakin%20%26%20Obi-Wan%20%7C%20Two%20Jedi%2C%20One%20Sith","Search")</x:f>
        <x:v>HYPERLINK is not implemented. linkLocation=https://www.youtube.com/results?search_query=Count%20Dooku%20vs.%20Anakin%20%26%20Obi-Wan%20%7C%20Two%20Jedi%2C%20One%20Sith, friendlyName=Search</x:v>
      </x:c>
      <x:c r="K480" s="53" t="str">
        <x:v>Named Clone Wars-era character conflict.</x:v>
      </x:c>
      <x:c r="L480" s="76" t="str"/>
      <x:c r="M480" s="76" t="str">
        <x:v>Count Dooku vs. Anakin &amp; Obi-Wan | Two Jedi, One Sith</x:v>
      </x:c>
      <x:c r="N480" s="76"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80" s="76" t="str">
        <x:v>Clone Wars</x:v>
      </x:c>
      <x:c r="P480" s="76" t="str">
        <x:v>IMG_6330.PNG</x:v>
      </x:c>
      <x:c r="Q480" s="76" t="str">
        <x:v>OCR extracted / placement assigned</x:v>
      </x:c>
      <x:c r="R480" s="76" t="str">
        <x:v>High</x:v>
      </x:c>
      <x:c r="S480" s="76" t="str"/>
      <x:c r="T480" s="76" t="str">
        <x:v>Unique</x:v>
      </x:c>
    </x:row>
    <x:row r="481" s="23" customFormat="1" ht="36" customHeight="1">
      <x:c r="A481" s="49" t="b">
        <x:v>0</x:v>
      </x:c>
      <x:c r="B481" s="56" t="str">
        <x:v>FV-0146</x:v>
      </x:c>
      <x:c r="C481" s="53" t="str">
        <x:v>Fan chronology — Clone Wars</x:v>
      </x:c>
      <x:c r="D481" s="53" t="str">
        <x:v>Obi-Wan Kenobi vs. Count Dooku | Precision Under Pressure</x:v>
      </x:c>
      <x:c r="E481" s="53" t="str"/>
      <x:c r="F481" s="53" t="str">
        <x:v>September 30, 2026</x:v>
      </x:c>
      <x:c r="G481" s="53" t="str">
        <x:v>Fan-made / non-canon</x:v>
      </x:c>
      <x:c r="H481" s="53" t="str">
        <x:v>Fan video</x:v>
      </x:c>
      <x:c r="I481" s="53" t="str">
        <x:v>YouTube — search by title</x:v>
      </x:c>
      <x:c r="J481" s="59" t="e">
        <x:f>HYPERLINK("https://www.youtube.com/results?search_query=Obi-Wan%20Kenobi%20vs.%20Count%20Dooku%20%7C%20Precision%20Under%20Pressure","Search")</x:f>
        <x:v>HYPERLINK is not implemented. linkLocation=https://www.youtube.com/results?search_query=Obi-Wan%20Kenobi%20vs.%20Count%20Dooku%20%7C%20Precision%20Under%20Pressure, friendlyName=Search</x:v>
      </x:c>
      <x:c r="K481" s="53" t="str">
        <x:v>Named Clone Wars-era character conflict.</x:v>
      </x:c>
      <x:c r="L481" s="76" t="str"/>
      <x:c r="M481" s="76" t="str">
        <x:v>Obi-Wan Kenobi vs. Count Dooku | Precision Under Pressure</x:v>
      </x:c>
      <x:c r="N481" s="76"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81" s="76" t="str">
        <x:v>Clone Wars</x:v>
      </x:c>
      <x:c r="P481" s="76" t="str">
        <x:v>IMG_6329.PNG</x:v>
      </x:c>
      <x:c r="Q481" s="76" t="str">
        <x:v>OCR extracted / placement assigned</x:v>
      </x:c>
      <x:c r="R481" s="76" t="str">
        <x:v>High</x:v>
      </x:c>
      <x:c r="S481" s="76" t="str"/>
      <x:c r="T481" s="76" t="str">
        <x:v>Unique</x:v>
      </x:c>
    </x:row>
    <x:row r="482" s="23" customFormat="1" ht="36" customHeight="1">
      <x:c r="A482" s="49" t="b">
        <x:v>0</x:v>
      </x:c>
      <x:c r="B482" s="56" t="str">
        <x:v>FV-0097</x:v>
      </x:c>
      <x:c r="C482" s="53" t="str">
        <x:v>Fan chronology — Clone Wars</x:v>
      </x:c>
      <x:c r="D482" s="53" t="str">
        <x:v>Obi-Wan vs. General Grievous — Episode 1 | “I Came to Collect the Others.”</x:v>
      </x:c>
      <x:c r="E482" s="53" t="str">
        <x:v>Episode 1</x:v>
      </x:c>
      <x:c r="F482" s="53" t="str">
        <x:v>October 4, 2026</x:v>
      </x:c>
      <x:c r="G482" s="53" t="str">
        <x:v>Fan-made / non-canon</x:v>
      </x:c>
      <x:c r="H482" s="53" t="str">
        <x:v>Fan video</x:v>
      </x:c>
      <x:c r="I482" s="53" t="str">
        <x:v>YouTube — search by title</x:v>
      </x:c>
      <x:c r="J482" s="59" t="e">
        <x:f>HYPERLINK("https://www.youtube.com/results?search_query=Obi-Wan%20vs.%20General%20Grievous%20%E2%80%94%20Episode%201%20%7C%20%E2%80%9CI%20Came%20to%20Collect%20the%20Others.%E2%80%9D","Search")</x:f>
        <x:v>HYPERLINK is not implemented. linkLocation=https://www.youtube.com/results?search_query=Obi-Wan%20vs.%20General%20Grievous%20%E2%80%94%20Episode%201%20%7C%20%E2%80%9CI%20Came%20to%20Collect%20the%20Others.%E2%80%9D, friendlyName=Search</x:v>
      </x:c>
      <x:c r="K482" s="53" t="str">
        <x:v>Named Clone Wars-era character conflict.</x:v>
      </x:c>
      <x:c r="L482" s="76" t="str">
        <x:v>Obi-Wan vs. General Grievous</x:v>
      </x:c>
      <x:c r="M482" s="76" t="str">
        <x:v>Obi-Wan vs. General Grievous — Episode 1 | “I Came to Collect the Others.”</x:v>
      </x:c>
      <x:c r="N482" s="76"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82" s="76" t="str">
        <x:v>Clone Wars</x:v>
      </x:c>
      <x:c r="P482" s="76" t="str">
        <x:v>IMG_6280.PNG</x:v>
      </x:c>
      <x:c r="Q482" s="76" t="str">
        <x:v>OCR extracted / placement assigned</x:v>
      </x:c>
      <x:c r="R482" s="76" t="str">
        <x:v>High</x:v>
      </x:c>
      <x:c r="S482" s="76" t="str"/>
      <x:c r="T482" s="76" t="str">
        <x:v>Unique</x:v>
      </x:c>
    </x:row>
    <x:row r="483" s="23" customFormat="1" ht="36" customHeight="1">
      <x:c r="A483" s="49" t="b">
        <x:v>0</x:v>
      </x:c>
      <x:c r="B483" s="56" t="str">
        <x:v>FV-0095</x:v>
      </x:c>
      <x:c r="C483" s="53" t="str">
        <x:v>Fan chronology — Clone Wars</x:v>
      </x:c>
      <x:c r="D483" s="53" t="str">
        <x:v>Obi-Wan vs. General Grievous — Episode 2 | The Collection Shatters</x:v>
      </x:c>
      <x:c r="E483" s="53" t="str">
        <x:v>Episode 2</x:v>
      </x:c>
      <x:c r="F483" s="53" t="str">
        <x:v>October 4, 2026</x:v>
      </x:c>
      <x:c r="G483" s="53" t="str">
        <x:v>Fan-made / non-canon</x:v>
      </x:c>
      <x:c r="H483" s="53" t="str">
        <x:v>Fan video</x:v>
      </x:c>
      <x:c r="I483" s="53" t="str">
        <x:v>YouTube — search by title</x:v>
      </x:c>
      <x:c r="J483" s="59" t="e">
        <x:f>HYPERLINK("https://www.youtube.com/results?search_query=Obi-Wan%20vs.%20General%20Grievous%20%E2%80%94%20Episode%202%20%7C%20The%20Collection%20Shatters","Search")</x:f>
        <x:v>HYPERLINK is not implemented. linkLocation=https://www.youtube.com/results?search_query=Obi-Wan%20vs.%20General%20Grievous%20%E2%80%94%20Episode%202%20%7C%20The%20Collection%20Shatters, friendlyName=Search</x:v>
      </x:c>
      <x:c r="K483" s="53" t="str">
        <x:v>Named Clone Wars-era character conflict.</x:v>
      </x:c>
      <x:c r="L483" s="76" t="str">
        <x:v>Obi-Wan vs. General Grievous</x:v>
      </x:c>
      <x:c r="M483" s="76" t="str">
        <x:v>Obi-Wan vs. General Grievous — Episode 2 | The Collection Shatters</x:v>
      </x:c>
      <x:c r="N483" s="76"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83" s="76" t="str">
        <x:v>Clone Wars</x:v>
      </x:c>
      <x:c r="P483" s="76" t="str">
        <x:v>IMG_6278.PNG</x:v>
      </x:c>
      <x:c r="Q483" s="76" t="str">
        <x:v>OCR extracted / placement assigned</x:v>
      </x:c>
      <x:c r="R483" s="76" t="str">
        <x:v>High</x:v>
      </x:c>
      <x:c r="S483" s="76" t="str"/>
      <x:c r="T483" s="76" t="str">
        <x:v>Unique</x:v>
      </x:c>
    </x:row>
    <x:row r="484" s="23" customFormat="1" ht="36" customHeight="1">
      <x:c r="A484" s="49" t="b">
        <x:v>0</x:v>
      </x:c>
      <x:c r="B484" s="56" t="str">
        <x:v>FV-0131</x:v>
      </x:c>
      <x:c r="C484" s="53" t="str">
        <x:v>Fan chronology — Clone Wars</x:v>
      </x:c>
      <x:c r="D484" s="53" t="str">
        <x:v>PONG KRELL — BREAK THE LINE | UNLEASHED</x:v>
      </x:c>
      <x:c r="E484" s="53" t="str"/>
      <x:c r="F484" s="53" t="str">
        <x:v>October 1, 2026</x:v>
      </x:c>
      <x:c r="G484" s="53" t="str">
        <x:v>Fan-made / non-canon</x:v>
      </x:c>
      <x:c r="H484" s="53" t="str">
        <x:v>Fan video</x:v>
      </x:c>
      <x:c r="I484" s="53" t="str">
        <x:v>YouTube — search by title</x:v>
      </x:c>
      <x:c r="J484" s="59" t="e">
        <x:f>HYPERLINK("https://www.youtube.com/results?search_query=PONG%20KRELL%20%E2%80%94%20BREAK%20THE%20LINE%20%7C%20UNLEASHED","Search")</x:f>
        <x:v>HYPERLINK is not implemented. linkLocation=https://www.youtube.com/results?search_query=PONG%20KRELL%20%E2%80%94%20BREAK%20THE%20LINE%20%7C%20UNLEASHED, friendlyName=Search</x:v>
      </x:c>
      <x:c r="K484" s="53" t="str">
        <x:v>Named Clone Wars-era character conflict.</x:v>
      </x:c>
      <x:c r="L484" s="76" t="str"/>
      <x:c r="M484" s="76" t="str">
        <x:v>PONG KRELL — BREAK THE LINE | UNLEASHED</x:v>
      </x:c>
      <x:c r="N484" s="76"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84" s="76" t="str">
        <x:v>Clone Wars</x:v>
      </x:c>
      <x:c r="P484" s="76" t="str">
        <x:v>IMG_6314.PNG</x:v>
      </x:c>
      <x:c r="Q484" s="76" t="str">
        <x:v>OCR extracted / placement assigned</x:v>
      </x:c>
      <x:c r="R484" s="76" t="str">
        <x:v>High</x:v>
      </x:c>
      <x:c r="S484" s="76" t="str"/>
      <x:c r="T484" s="76" t="str">
        <x:v>Unique</x:v>
      </x:c>
    </x:row>
    <x:row r="485" s="23" customFormat="1" ht="36" customHeight="1">
      <x:c r="A485" s="49" t="b">
        <x:v>0</x:v>
      </x:c>
      <x:c r="B485" s="56" t="str">
        <x:v>FV-0119</x:v>
      </x:c>
      <x:c r="C485" s="53" t="str">
        <x:v>Fan chronology — Clone Wars</x:v>
      </x:c>
      <x:c r="D485" s="53" t="str">
        <x:v>Pong Krell Unleashed | Four Arms. No Escape.</x:v>
      </x:c>
      <x:c r="E485" s="53" t="str"/>
      <x:c r="F485" s="53" t="str">
        <x:v>October 2, 2026</x:v>
      </x:c>
      <x:c r="G485" s="53" t="str">
        <x:v>Fan-made / non-canon</x:v>
      </x:c>
      <x:c r="H485" s="53" t="str">
        <x:v>Fan video</x:v>
      </x:c>
      <x:c r="I485" s="53" t="str">
        <x:v>YouTube — search by title</x:v>
      </x:c>
      <x:c r="J485" s="59" t="e">
        <x:f>HYPERLINK("https://www.youtube.com/results?search_query=Pong%20Krell%20Unleashed%20%7C%20Four%20Arms.%20No%20Escape.","Search")</x:f>
        <x:v>HYPERLINK is not implemented. linkLocation=https://www.youtube.com/results?search_query=Pong%20Krell%20Unleashed%20%7C%20Four%20Arms.%20No%20Escape., friendlyName=Search</x:v>
      </x:c>
      <x:c r="K485" s="53" t="str">
        <x:v>Named Clone Wars-era character conflict.</x:v>
      </x:c>
      <x:c r="L485" s="76" t="str"/>
      <x:c r="M485" s="76" t="str">
        <x:v>Pong Krell Unleashed | Four Arms. No Escape.</x:v>
      </x:c>
      <x:c r="N485" s="76"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85" s="76" t="str">
        <x:v>Clone Wars</x:v>
      </x:c>
      <x:c r="P485" s="76" t="str">
        <x:v>IMG_6302.PNG</x:v>
      </x:c>
      <x:c r="Q485" s="76" t="str">
        <x:v>OCR extracted / placement assigned</x:v>
      </x:c>
      <x:c r="R485" s="76" t="str">
        <x:v>High</x:v>
      </x:c>
      <x:c r="S485" s="76" t="str"/>
      <x:c r="T485" s="76" t="str">
        <x:v>Unique</x:v>
      </x:c>
    </x:row>
    <x:row r="486" s="23" customFormat="1" ht="36" customHeight="1">
      <x:c r="A486" s="49" t="b">
        <x:v>0</x:v>
      </x:c>
      <x:c r="B486" s="56" t="str">
        <x:v>FV-0335</x:v>
      </x:c>
      <x:c r="C486" s="53" t="str">
        <x:v>Fan chronology — Clone Wars</x:v>
      </x:c>
      <x:c r="D486" s="53" t="str">
        <x:v>Anakin Skywalker CRUSHES an Entire War Walker With the Force 🔥</x:v>
      </x:c>
      <x:c r="E486" s="53" t="str"/>
      <x:c r="F486" s="53" t="str">
        <x:v>August 28, 2026</x:v>
      </x:c>
      <x:c r="G486" s="53" t="str">
        <x:v>Fan-made / non-canon</x:v>
      </x:c>
      <x:c r="H486" s="53" t="str">
        <x:v>Fan video</x:v>
      </x:c>
      <x:c r="I486" s="53" t="str">
        <x:v>YouTube — search by title</x:v>
      </x:c>
      <x:c r="J486" s="59" t="e">
        <x:f>HYPERLINK("https://www.youtube.com/results?search_query=Anakin%20Skywalker%20CRUSHES%20an%20Entire%20War%20Walker%20With%20the%20Force%20%F0%9F%94%A5","Search")</x:f>
        <x:v>HYPERLINK is not implemented. linkLocation=https://www.youtube.com/results?search_query=Anakin%20Skywalker%20CRUSHES%20an%20Entire%20War%20Walker%20With%20the%20Force%20%F0%9F%94%A5, friendlyName=Search</x:v>
      </x:c>
      <x:c r="K486" s="53" t="str">
        <x:v>Broadly placed during Anakin's Clone Wars-era Jedi career; exact story point may vary.</x:v>
      </x:c>
      <x:c r="L486" s="76" t="str"/>
      <x:c r="M486" s="76" t="str">
        <x:v>Anakin Skywalker CRUSHES an Entire War Walker With the Force 🔥</x:v>
      </x:c>
      <x:c r="N486" s="76"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486" s="76" t="str">
        <x:v>Clone Wars — Anakin Skywalker</x:v>
      </x:c>
      <x:c r="P486" s="76" t="str">
        <x:v>IMG_6521.PNG</x:v>
      </x:c>
      <x:c r="Q486" s="76" t="str">
        <x:v>OCR extracted / placement assigned</x:v>
      </x:c>
      <x:c r="R486" s="76" t="str">
        <x:v>Medium</x:v>
      </x:c>
      <x:c r="S486" s="76" t="str"/>
      <x:c r="T486" s="76" t="str">
        <x:v>Unique</x:v>
      </x:c>
    </x:row>
    <x:row r="487" s="23" customFormat="1" ht="36" customHeight="1">
      <x:c r="A487" s="49" t="b">
        <x:v>0</x:v>
      </x:c>
      <x:c r="B487" s="56" t="str">
        <x:v>FV-0336</x:v>
      </x:c>
      <x:c r="C487" s="53" t="str">
        <x:v>Fan chronology — Clone Wars</x:v>
      </x:c>
      <x:c r="D487" s="53" t="str">
        <x:v>Anakin Skywalker Just Refused to Fall * @</x:v>
      </x:c>
      <x:c r="E487" s="53" t="str"/>
      <x:c r="F487" s="53" t="str">
        <x:v>August 28, 2026</x:v>
      </x:c>
      <x:c r="G487" s="53" t="str">
        <x:v>Fan-made / non-canon</x:v>
      </x:c>
      <x:c r="H487" s="53" t="str">
        <x:v>Fan video</x:v>
      </x:c>
      <x:c r="I487" s="53" t="str">
        <x:v>YouTube — search by title</x:v>
      </x:c>
      <x:c r="J487" s="59" t="e">
        <x:f>HYPERLINK("https://www.youtube.com/results?search_query=Anakin%20Skywalker%20Just%20Refused%20to%20Fall%20*%20%40","Search")</x:f>
        <x:v>HYPERLINK is not implemented. linkLocation=https://www.youtube.com/results?search_query=Anakin%20Skywalker%20Just%20Refused%20to%20Fall%20*%20%40, friendlyName=Search</x:v>
      </x:c>
      <x:c r="K487" s="53" t="str">
        <x:v>Broadly placed during Anakin's Clone Wars-era Jedi career; exact story point may vary.</x:v>
      </x:c>
      <x:c r="L487" s="76" t="str"/>
      <x:c r="M487" s="76" t="str">
        <x:v>Anakin Skywalker Just Refused to Fall * @</x:v>
      </x:c>
      <x:c r="N487" s="76"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487" s="76" t="str">
        <x:v>Clone Wars — Anakin Skywalker</x:v>
      </x:c>
      <x:c r="P487" s="76" t="str">
        <x:v>IMG_6522.PNG</x:v>
      </x:c>
      <x:c r="Q487" s="76" t="str">
        <x:v>OCR extracted / placement assigned</x:v>
      </x:c>
      <x:c r="R487" s="76" t="str">
        <x:v>Medium</x:v>
      </x:c>
      <x:c r="S487" s="76" t="str"/>
      <x:c r="T487" s="76" t="str">
        <x:v>Unique</x:v>
      </x:c>
    </x:row>
    <x:row r="488" s="23" customFormat="1" ht="36" customHeight="1">
      <x:c r="A488" s="49" t="b">
        <x:v>0</x:v>
      </x:c>
      <x:c r="B488" s="56" t="str">
        <x:v>FV-0334</x:v>
      </x:c>
      <x:c r="C488" s="53" t="str">
        <x:v>Fan chronology — Clone Wars</x:v>
      </x:c>
      <x:c r="D488" s="53" t="str">
        <x:v>Anakin Skywalker PULLS an Imperial Warship From the Sky @ é</x:v>
      </x:c>
      <x:c r="E488" s="53" t="str"/>
      <x:c r="F488" s="53" t="str">
        <x:v>August 28, 2026</x:v>
      </x:c>
      <x:c r="G488" s="53" t="str">
        <x:v>Fan-made / non-canon</x:v>
      </x:c>
      <x:c r="H488" s="53" t="str">
        <x:v>Fan video</x:v>
      </x:c>
      <x:c r="I488" s="53" t="str">
        <x:v>YouTube — search by title</x:v>
      </x:c>
      <x:c r="J488" s="59" t="e">
        <x:f>HYPERLINK("https://www.youtube.com/results?search_query=Anakin%20Skywalker%20PULLS%20an%20Imperial%20Warship%20From%20the%20Sky%20%40%20%C3%A9","Search")</x:f>
        <x:v>HYPERLINK is not implemented. linkLocation=https://www.youtube.com/results?search_query=Anakin%20Skywalker%20PULLS%20an%20Imperial%20Warship%20From%20the%20Sky%20%40%20%C3%A9, friendlyName=Search</x:v>
      </x:c>
      <x:c r="K488" s="53" t="str">
        <x:v>Broadly placed during Anakin's Clone Wars-era Jedi career; exact story point may vary.</x:v>
      </x:c>
      <x:c r="L488" s="76" t="str"/>
      <x:c r="M488" s="76" t="str">
        <x:v>Anakin Skywalker PULLS an Imperial Warship From the Sky @ é</x:v>
      </x:c>
      <x:c r="N488" s="76"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488" s="76" t="str">
        <x:v>Clone Wars — Anakin Skywalker</x:v>
      </x:c>
      <x:c r="P488" s="76" t="str">
        <x:v>IMG_6520.PNG</x:v>
      </x:c>
      <x:c r="Q488" s="76" t="str">
        <x:v>OCR extracted / placement assigned</x:v>
      </x:c>
      <x:c r="R488" s="76" t="str">
        <x:v>Medium</x:v>
      </x:c>
      <x:c r="S488" s="76" t="str"/>
      <x:c r="T488" s="76" t="str">
        <x:v>Unique</x:v>
      </x:c>
    </x:row>
    <x:row r="489" s="23" customFormat="1" ht="36" customHeight="1">
      <x:c r="A489" s="49" t="b">
        <x:v>0</x:v>
      </x:c>
      <x:c r="B489" s="56" t="str">
        <x:v>FV-0326</x:v>
      </x:c>
      <x:c r="C489" s="53" t="str">
        <x:v>Fan chronology — Clone Wars</x:v>
      </x:c>
      <x:c r="D489" s="53" t="str">
        <x:v>Anakin Skywalker Was Already Becoming Too Powerful</x:v>
      </x:c>
      <x:c r="E489" s="53" t="str"/>
      <x:c r="F489" s="53" t="str">
        <x:v>August 29, 2026</x:v>
      </x:c>
      <x:c r="G489" s="53" t="str">
        <x:v>Fan-made / non-canon</x:v>
      </x:c>
      <x:c r="H489" s="53" t="str">
        <x:v>Fan video</x:v>
      </x:c>
      <x:c r="I489" s="53" t="str">
        <x:v>YouTube — search by title</x:v>
      </x:c>
      <x:c r="J489" s="59" t="e">
        <x:f>HYPERLINK("https://www.youtube.com/results?search_query=Anakin%20Skywalker%20Was%20Already%20Becoming%20Too%20Powerful","Search")</x:f>
        <x:v>HYPERLINK is not implemented. linkLocation=https://www.youtube.com/results?search_query=Anakin%20Skywalker%20Was%20Already%20Becoming%20Too%20Powerful, friendlyName=Search</x:v>
      </x:c>
      <x:c r="K489" s="53" t="str">
        <x:v>Broadly placed during Anakin's Clone Wars-era Jedi career; exact story point may vary.</x:v>
      </x:c>
      <x:c r="L489" s="76" t="str"/>
      <x:c r="M489" s="76" t="str">
        <x:v>Anakin Skywalker Was Already Becoming Too Powerful</x:v>
      </x:c>
      <x:c r="N489" s="76"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489" s="76" t="str">
        <x:v>Clone Wars — Anakin Skywalker</x:v>
      </x:c>
      <x:c r="P489" s="76" t="str">
        <x:v>IMG_6512.PNG</x:v>
      </x:c>
      <x:c r="Q489" s="76" t="str">
        <x:v>OCR extracted / placement assigned</x:v>
      </x:c>
      <x:c r="R489" s="76" t="str">
        <x:v>Medium</x:v>
      </x:c>
      <x:c r="S489" s="76" t="str"/>
      <x:c r="T489" s="76" t="str">
        <x:v>Unique</x:v>
      </x:c>
    </x:row>
    <x:row r="490" s="23" customFormat="1" ht="36" customHeight="1">
      <x:c r="A490" s="49" t="b">
        <x:v>0</x:v>
      </x:c>
      <x:c r="B490" s="56" t="str">
        <x:v>FV-0259</x:v>
      </x:c>
      <x:c r="C490" s="53" t="str">
        <x:v>Fan chronology — Clone Wars</x:v>
      </x:c>
      <x:c r="D490" s="53" t="str">
        <x:v>AXIOM-87: WHY IS ANAKIN SKYWALKER INSIDE THIS ROBOT? | CHAPTER 2</x:v>
      </x:c>
      <x:c r="E490" s="53" t="str">
        <x:v>CHAPTER 2</x:v>
      </x:c>
      <x:c r="F490" s="53" t="str">
        <x:v>September 5, 2026</x:v>
      </x:c>
      <x:c r="G490" s="53" t="str">
        <x:v>Fan-made / non-canon</x:v>
      </x:c>
      <x:c r="H490" s="53" t="str">
        <x:v>Fan video</x:v>
      </x:c>
      <x:c r="I490" s="53" t="str">
        <x:v>YouTube — search by title</x:v>
      </x:c>
      <x:c r="J490" s="59" t="e">
        <x:f>HYPERLINK("https://www.youtube.com/results?search_query=AXIOM-87%3A%20WHY%20IS%20ANAKIN%20SKYWALKER%20INSIDE%20THIS%20ROBOT%3F%20%7C%20CHAPTER%202","Search")</x:f>
        <x:v>HYPERLINK is not implemented. linkLocation=https://www.youtube.com/results?search_query=AXIOM-87%3A%20WHY%20IS%20ANAKIN%20SKYWALKER%20INSIDE%20THIS%20ROBOT%3F%20%7C%20CHAPTER%202, friendlyName=Search</x:v>
      </x:c>
      <x:c r="K490" s="53" t="str">
        <x:v>Broadly placed during Anakin's Clone Wars-era Jedi career; exact story point may vary.</x:v>
      </x:c>
      <x:c r="L490" s="76" t="str">
        <x:v>AXIOM-87: WHY IS ANAKIN SKYWALKER INSIDE THIS ROBOT?</x:v>
      </x:c>
      <x:c r="M490" s="76" t="str">
        <x:v>AXIOM-87: WHY IS ANAKIN SKYWALKER INSIDE THIS ROBOT? | CHAPTER 2</x:v>
      </x:c>
      <x:c r="N490" s="76"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490" s="76" t="str">
        <x:v>Clone Wars — Anakin Skywalker</x:v>
      </x:c>
      <x:c r="P490" s="76" t="str">
        <x:v>IMG_6444.PNG</x:v>
      </x:c>
      <x:c r="Q490" s="76" t="str">
        <x:v>OCR extracted / placement assigned</x:v>
      </x:c>
      <x:c r="R490" s="76" t="str">
        <x:v>Medium</x:v>
      </x:c>
      <x:c r="S490" s="76" t="str"/>
      <x:c r="T490" s="76" t="str">
        <x:v>Unique</x:v>
      </x:c>
    </x:row>
    <x:row r="491" s="23" customFormat="1" ht="36" customHeight="1">
      <x:c r="A491" s="49" t="b">
        <x:v>0</x:v>
      </x:c>
      <x:c r="B491" s="56" t="str">
        <x:v>FV-0319</x:v>
      </x:c>
      <x:c r="C491" s="53" t="str">
        <x:v>Fan chronology — Clone Wars</x:v>
      </x:c>
      <x:c r="D491" s="53" t="str">
        <x:v>Dark Anakin Surrounded by Jedi—Their Final Mistake</x:v>
      </x:c>
      <x:c r="E491" s="53" t="str"/>
      <x:c r="F491" s="53" t="str">
        <x:v>August 30, 2026</x:v>
      </x:c>
      <x:c r="G491" s="53" t="str">
        <x:v>Fan-made / non-canon</x:v>
      </x:c>
      <x:c r="H491" s="53" t="str">
        <x:v>Fan video</x:v>
      </x:c>
      <x:c r="I491" s="53" t="str">
        <x:v>YouTube — search by title</x:v>
      </x:c>
      <x:c r="J491" s="59" t="e">
        <x:f>HYPERLINK("https://www.youtube.com/results?search_query=Dark%20Anakin%20Surrounded%20by%20Jedi%E2%80%94Their%20Final%20Mistake","Search")</x:f>
        <x:v>HYPERLINK is not implemented. linkLocation=https://www.youtube.com/results?search_query=Dark%20Anakin%20Surrounded%20by%20Jedi%E2%80%94Their%20Final%20Mistake, friendlyName=Search</x:v>
      </x:c>
      <x:c r="K491" s="53" t="str">
        <x:v>Broadly placed during Anakin's Clone Wars-era Jedi career; exact story point may vary.</x:v>
      </x:c>
      <x:c r="L491" s="76" t="str"/>
      <x:c r="M491" s="76" t="str">
        <x:v>Dark Anakin Surrounded by Jedi—Their Final Mistake</x:v>
      </x:c>
      <x:c r="N491" s="76"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91" s="76" t="str">
        <x:v>Clone Wars — Anakin Skywalker</x:v>
      </x:c>
      <x:c r="P491" s="76" t="str">
        <x:v>IMG_6505.PNG</x:v>
      </x:c>
      <x:c r="Q491" s="76" t="str">
        <x:v>OCR extracted / placement assigned</x:v>
      </x:c>
      <x:c r="R491" s="76" t="str">
        <x:v>Medium</x:v>
      </x:c>
      <x:c r="S491" s="76" t="str"/>
      <x:c r="T491" s="76" t="str">
        <x:v>Unique</x:v>
      </x:c>
    </x:row>
    <x:row r="492" s="23" customFormat="1" ht="36" customHeight="1">
      <x:c r="A492" s="49" t="b">
        <x:v>0</x:v>
      </x:c>
      <x:c r="B492" s="56" t="str">
        <x:v>FV-0317</x:v>
      </x:c>
      <x:c r="C492" s="53" t="str">
        <x:v>Fan chronology — Clone Wars</x:v>
      </x:c>
      <x:c r="D492" s="53" t="str">
        <x:v>Dark Anakin vs. The Fallen Apprentice— Neither Would Yield</x:v>
      </x:c>
      <x:c r="E492" s="53" t="str"/>
      <x:c r="F492" s="53" t="str">
        <x:v>August 30, 2026</x:v>
      </x:c>
      <x:c r="G492" s="53" t="str">
        <x:v>Fan-made / non-canon</x:v>
      </x:c>
      <x:c r="H492" s="53" t="str">
        <x:v>Fan video</x:v>
      </x:c>
      <x:c r="I492" s="53" t="str">
        <x:v>YouTube — search by title</x:v>
      </x:c>
      <x:c r="J492" s="59" t="e">
        <x:f>HYPERLINK("https://www.youtube.com/results?search_query=Dark%20Anakin%20vs.%20The%20Fallen%20Apprentice%E2%80%94%20Neither%20Would%20Yield","Search")</x:f>
        <x:v>HYPERLINK is not implemented. linkLocation=https://www.youtube.com/results?search_query=Dark%20Anakin%20vs.%20The%20Fallen%20Apprentice%E2%80%94%20Neither%20Would%20Yield, friendlyName=Search</x:v>
      </x:c>
      <x:c r="K492" s="53" t="str">
        <x:v>Broadly placed during Anakin's Clone Wars-era Jedi career; exact story point may vary.</x:v>
      </x:c>
      <x:c r="L492" s="76" t="str">
        <x:v>The Fallen Apprentice</x:v>
      </x:c>
      <x:c r="M492" s="76" t="str">
        <x:v>Dark Anakin vs. The Fallen Apprentice— Neither Would Yield</x:v>
      </x:c>
      <x:c r="N492" s="76" t="str">
        <x:v>Two warriors consumed by darkness. Two crimson
blades. No armies, no distractions, and no escape—
only a relentless test of speed, precision, and raw
power.
Dark Anakin faces the mysterious Fallen Apprentice
in a vicious lightsaber duel where every strike could
be the last. Neither warrior retreats. Neither one
yields.
Who wins this fight?
Al Disclosure &amp; Creator Statement: This video
contains Al-generated visuals created from my
original concepts, scripting, direction, editing, and
creative production. This is transformative fan-
made entertainment and is not official franchise</x:v>
      </x:c>
      <x:c r="O492" s="76" t="str">
        <x:v>Clone Wars — Anakin Skywalker</x:v>
      </x:c>
      <x:c r="P492" s="76" t="str">
        <x:v>IMG_6503.PNG</x:v>
      </x:c>
      <x:c r="Q492" s="76" t="str">
        <x:v>OCR extracted / placement assigned</x:v>
      </x:c>
      <x:c r="R492" s="76" t="str">
        <x:v>Medium</x:v>
      </x:c>
      <x:c r="S492" s="76" t="str"/>
      <x:c r="T492" s="76" t="str">
        <x:v>Unique</x:v>
      </x:c>
    </x:row>
    <x:row r="493" s="23" customFormat="1" ht="36" customHeight="1">
      <x:c r="A493" s="49" t="b">
        <x:v>0</x:v>
      </x:c>
      <x:c r="B493" s="56" t="str">
        <x:v>FV-0082</x:v>
      </x:c>
      <x:c r="C493" s="53" t="str">
        <x:v>Fan chronology — Clone Wars</x:v>
      </x:c>
      <x:c r="D493" s="53" t="str">
        <x:v>Young Anakin Skywalker &amp; Obi-Wan Kenobi | Episode 1: One Stone | UNLEASHED</x:v>
      </x:c>
      <x:c r="E493" s="53" t="str">
        <x:v>Episode 1</x:v>
      </x:c>
      <x:c r="F493" s="53" t="str">
        <x:v>October 6, 2026</x:v>
      </x:c>
      <x:c r="G493" s="53" t="str">
        <x:v>Fan-made / non-canon</x:v>
      </x:c>
      <x:c r="H493" s="53" t="str">
        <x:v>Fan video</x:v>
      </x:c>
      <x:c r="I493" s="53" t="str">
        <x:v>YouTube — search by title</x:v>
      </x:c>
      <x:c r="J493" s="59" t="e">
        <x:f>HYPERLINK("https://www.youtube.com/results?search_query=Young%20Anakin%20Skywalker%20%26%20Obi-Wan%20Kenobi%20%7C%20Episode%201%3A%20One%20Stone%20%7C%20UNLEASHED","Search")</x:f>
        <x:v>HYPERLINK is not implemented. linkLocation=https://www.youtube.com/results?search_query=Young%20Anakin%20Skywalker%20%26%20Obi-Wan%20Kenobi%20%7C%20Episode%201%3A%20One%20Stone%20%7C%20UNLEASHED, friendlyName=Search</x:v>
      </x:c>
      <x:c r="K493" s="53" t="str">
        <x:v>Broadly placed during Anakin's Clone Wars-era Jedi career; exact story point may vary.</x:v>
      </x:c>
      <x:c r="L493" s="76" t="str">
        <x:v>Young Anakin Skywalker &amp; Obi-Wan Kenobi</x:v>
      </x:c>
      <x:c r="M493" s="76" t="str">
        <x:v>Young Anakin Skywalker &amp; Obi-Wan Kenobi | Episode 1: One Stone | UNLEASHED</x:v>
      </x:c>
      <x:c r="N493" s="76"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93" s="76" t="str">
        <x:v>Clone Wars — Anakin Skywalker</x:v>
      </x:c>
      <x:c r="P493" s="76" t="str">
        <x:v>IMG_6265.PNG</x:v>
      </x:c>
      <x:c r="Q493" s="76" t="str">
        <x:v>OCR extracted / placement assigned</x:v>
      </x:c>
      <x:c r="R493" s="76" t="str">
        <x:v>Medium</x:v>
      </x:c>
      <x:c r="S493" s="76" t="str"/>
      <x:c r="T493" s="76" t="str">
        <x:v>Unique</x:v>
      </x:c>
    </x:row>
    <x:row r="494" s="23" customFormat="1" ht="36" customHeight="1">
      <x:c r="A494" s="49" t="b">
        <x:v>0</x:v>
      </x:c>
      <x:c r="B494" s="56" t="str">
        <x:v>FV-0079</x:v>
      </x:c>
      <x:c r="C494" s="53" t="str">
        <x:v>Fan chronology — Clone Wars</x:v>
      </x:c>
      <x:c r="D494" s="53" t="str">
        <x:v>Asajj Ventress &amp; Quinlan Vos | Christie Golden’s Dark Disciple | Episode 1: My Bounty</x:v>
      </x:c>
      <x:c r="E494" s="53" t="str">
        <x:v>Episode 1</x:v>
      </x:c>
      <x:c r="F494" s="53" t="str">
        <x:v>October 6, 2026</x:v>
      </x:c>
      <x:c r="G494" s="53" t="str">
        <x:v>Fan-made / non-canon</x:v>
      </x:c>
      <x:c r="H494" s="53" t="str">
        <x:v>Fan video</x:v>
      </x:c>
      <x:c r="I494" s="53" t="str">
        <x:v>YouTube — search by title</x:v>
      </x:c>
      <x:c r="J494" s="59" t="e">
        <x:f>HYPERLINK("https://www.youtube.com/results?search_query=Asajj%20Ventress%20%26%20Quinlan%20Vos%20%7C%20Christie%20Golden%E2%80%99s%20Dark%20Disciple%20%7C%20Episode%201%3A%20My%20Bounty","Search")</x:f>
        <x:v>HYPERLINK is not implemented. linkLocation=https://www.youtube.com/results?search_query=Asajj%20Ventress%20%26%20Quinlan%20Vos%20%7C%20Christie%20Golden%E2%80%99s%20Dark%20Disciple%20%7C%20Episode%201%3A%20My%20Bounty, friendlyName=Search</x:v>
      </x:c>
      <x:c r="K494" s="53" t="str">
        <x:v>Late Clone Wars, during the unproduced Dark Disciple arc.</x:v>
      </x:c>
      <x:c r="L494" s="76" t="str">
        <x:v>Christie Golden’s Dark Disciple</x:v>
      </x:c>
      <x:c r="M494" s="76" t="str">
        <x:v>Asajj Ventress &amp; Quinlan Vos | Christie Golden’s Dark Disciple | Episode 1: My Bounty</x:v>
      </x:c>
      <x:c r="N494" s="76"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494" s="76" t="str">
        <x:v>Clone Wars — Dark Disciple</x:v>
      </x:c>
      <x:c r="P494" s="76" t="str">
        <x:v>IMG_6262.PNG</x:v>
      </x:c>
      <x:c r="Q494" s="76" t="str">
        <x:v>OCR extracted / placement assigned</x:v>
      </x:c>
      <x:c r="R494" s="76" t="str">
        <x:v>High</x:v>
      </x:c>
      <x:c r="S494" s="76" t="str"/>
      <x:c r="T494" s="76" t="str">
        <x:v>Unique</x:v>
      </x:c>
    </x:row>
    <x:row r="495" s="23" customFormat="1" ht="36" customHeight="1">
      <x:c r="A495" s="49" t="b">
        <x:v>0</x:v>
      </x:c>
      <x:c r="B495" s="56" t="str">
        <x:v>FV-0116</x:v>
      </x:c>
      <x:c r="C495" s="53" t="str">
        <x:v>Fan chronology — Clone Wars</x:v>
      </x:c>
      <x:c r="D495" s="53" t="str">
        <x:v>Darth Sidious vs. Savage Opress | Strength Meets Unlimited Power +</x:v>
      </x:c>
      <x:c r="E495" s="53" t="str"/>
      <x:c r="F495" s="53" t="str">
        <x:v>October 3, 2026</x:v>
      </x:c>
      <x:c r="G495" s="53" t="str">
        <x:v>Fan-made / non-canon</x:v>
      </x:c>
      <x:c r="H495" s="53" t="str">
        <x:v>Fan video</x:v>
      </x:c>
      <x:c r="I495" s="53" t="str">
        <x:v>YouTube — search by title</x:v>
      </x:c>
      <x:c r="J495" s="59" t="e">
        <x:f>HYPERLINK("https://www.youtube.com/results?search_query=Darth%20Sidious%20vs.%20Savage%20Opress%20%7C%20Strength%20Meets%20Unlimited%20Power%20%2B","Search")</x:f>
        <x:v>HYPERLINK is not implemented. linkLocation=https://www.youtube.com/results?search_query=Darth%20Sidious%20vs.%20Savage%20Opress%20%7C%20Strength%20Meets%20Unlimited%20Power%20%2B, friendlyName=Search</x:v>
      </x:c>
      <x:c r="K495" s="53" t="str">
        <x:v>During the Clone Wars, after Maul's capture and before the Siege of Mandalore.</x:v>
      </x:c>
      <x:c r="L495" s="76" t="str"/>
      <x:c r="M495" s="76" t="str">
        <x:v>Darth Sidious vs. Savage Opress | Strength Meets Unlimited Power +</x:v>
      </x:c>
      <x:c r="N495" s="76"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495" s="76" t="str">
        <x:v>Clone Wars — Maul / Son of Dathomir</x:v>
      </x:c>
      <x:c r="P495" s="76" t="str">
        <x:v>IMG_6299.PNG</x:v>
      </x:c>
      <x:c r="Q495" s="76" t="str">
        <x:v>OCR extracted / placement assigned</x:v>
      </x:c>
      <x:c r="R495" s="76" t="str">
        <x:v>High</x:v>
      </x:c>
      <x:c r="S495" s="76" t="str"/>
      <x:c r="T495" s="76" t="str">
        <x:v>Unique</x:v>
      </x:c>
    </x:row>
    <x:row r="496" s="23" customFormat="1" ht="36" customHeight="1">
      <x:c r="A496" s="49" t="b">
        <x:v>0</x:v>
      </x:c>
      <x:c r="B496" s="56" t="str">
        <x:v>FV-0264</x:v>
      </x:c>
      <x:c r="C496" s="53" t="str">
        <x:v>Fan chronology — Clone Wars</x:v>
      </x:c>
      <x:c r="D496" s="53" t="str">
        <x:v>SAVAGE OPRESS — NO ONE COMMANDS HIM AGAIN</x:v>
      </x:c>
      <x:c r="E496" s="53" t="str"/>
      <x:c r="F496" s="53" t="str">
        <x:v>September 4, 2026</x:v>
      </x:c>
      <x:c r="G496" s="53" t="str">
        <x:v>Fan-made / non-canon</x:v>
      </x:c>
      <x:c r="H496" s="53" t="str">
        <x:v>Fan video</x:v>
      </x:c>
      <x:c r="I496" s="53" t="str">
        <x:v>YouTube — search by title</x:v>
      </x:c>
      <x:c r="J496" s="59" t="e">
        <x:f>HYPERLINK("https://www.youtube.com/results?search_query=SAVAGE%20OPRESS%20%E2%80%94%20NO%20ONE%20COMMANDS%20HIM%20AGAIN","Search")</x:f>
        <x:v>HYPERLINK is not implemented. linkLocation=https://www.youtube.com/results?search_query=SAVAGE%20OPRESS%20%E2%80%94%20NO%20ONE%20COMMANDS%20HIM%20AGAIN, friendlyName=Search</x:v>
      </x:c>
      <x:c r="K496" s="53" t="str">
        <x:v>During the Clone Wars, after Maul's capture and before the Siege of Mandalore.</x:v>
      </x:c>
      <x:c r="L496" s="76" t="str"/>
      <x:c r="M496" s="76" t="str">
        <x:v>SAVAGE OPRESS — NO ONE COMMANDS HIM AGAIN</x:v>
      </x:c>
      <x:c r="N496" s="76"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496" s="76" t="str">
        <x:v>Clone Wars — Maul / Son of Dathomir</x:v>
      </x:c>
      <x:c r="P496" s="76" t="str">
        <x:v>IMG_6449.PNG</x:v>
      </x:c>
      <x:c r="Q496" s="76" t="str">
        <x:v>OCR extracted / placement assigned</x:v>
      </x:c>
      <x:c r="R496" s="76" t="str">
        <x:v>High</x:v>
      </x:c>
      <x:c r="S496" s="76" t="str"/>
      <x:c r="T496" s="76" t="str">
        <x:v>Unique</x:v>
      </x:c>
    </x:row>
    <x:row r="497" s="23" customFormat="1" ht="36" customHeight="1">
      <x:c r="A497" s="49" t="b">
        <x:v>0</x:v>
      </x:c>
      <x:c r="B497" s="56" t="str">
        <x:v>FV-0093</x:v>
      </x:c>
      <x:c r="C497" s="53" t="str">
        <x:v>Fan chronology — Clone Wars</x:v>
      </x:c>
      <x:c r="D497" s="53" t="str">
        <x:v>Sidious, Dooku &amp; Maul — Episode 1| The Disposable Apprentice</x:v>
      </x:c>
      <x:c r="E497" s="53" t="str">
        <x:v>Episode 1</x:v>
      </x:c>
      <x:c r="F497" s="53" t="str">
        <x:v>October 4, 2026</x:v>
      </x:c>
      <x:c r="G497" s="53" t="str">
        <x:v>Fan-made / non-canon</x:v>
      </x:c>
      <x:c r="H497" s="53" t="str">
        <x:v>Fan video</x:v>
      </x:c>
      <x:c r="I497" s="53" t="str">
        <x:v>YouTube — search by title</x:v>
      </x:c>
      <x:c r="J497" s="59" t="e">
        <x:f>HYPERLINK("https://www.youtube.com/results?search_query=Sidious%2C%20Dooku%20%26%20Maul%20%E2%80%94%20Episode%201%7C%20The%20Disposable%20Apprentice","Search")</x:f>
        <x:v>HYPERLINK is not implemented. linkLocation=https://www.youtube.com/results?search_query=Sidious%2C%20Dooku%20%26%20Maul%20%E2%80%94%20Episode%201%7C%20The%20Disposable%20Apprentice, friendlyName=Search</x:v>
      </x:c>
      <x:c r="K497" s="53" t="str">
        <x:v>During the Clone Wars, after Maul's capture and before the Siege of Mandalore.</x:v>
      </x:c>
      <x:c r="L497" s="76" t="str">
        <x:v>Sidious, Dooku &amp; Maul</x:v>
      </x:c>
      <x:c r="M497" s="76" t="str">
        <x:v>Sidious, Dooku &amp; Maul — Episode 1| The Disposable Apprentice</x:v>
      </x:c>
      <x:c r="N497" s="76"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497" s="76" t="str">
        <x:v>Clone Wars — Maul / Son of Dathomir</x:v>
      </x:c>
      <x:c r="P497" s="76" t="str">
        <x:v>IMG_6276.PNG</x:v>
      </x:c>
      <x:c r="Q497" s="76" t="str">
        <x:v>OCR extracted / placement assigned</x:v>
      </x:c>
      <x:c r="R497" s="76" t="str">
        <x:v>High</x:v>
      </x:c>
      <x:c r="S497" s="76" t="str"/>
      <x:c r="T497" s="76" t="str">
        <x:v>Unique</x:v>
      </x:c>
    </x:row>
    <x:row r="498" s="23" customFormat="1" ht="36" customHeight="1">
      <x:c r="A498" s="49" t="b">
        <x:v>0</x:v>
      </x:c>
      <x:c r="B498" s="56" t="str">
        <x:v>FV-0092</x:v>
      </x:c>
      <x:c r="C498" s="53" t="str">
        <x:v>Fan chronology — Clone Wars</x:v>
      </x:c>
      <x:c r="D498" s="53" t="str">
        <x:v>Sidious, Dooku &amp; Maul — Episode 2 | “So Are You.”</x:v>
      </x:c>
      <x:c r="E498" s="53" t="str">
        <x:v>Episode 2</x:v>
      </x:c>
      <x:c r="F498" s="53" t="str">
        <x:v>October 4, 2026</x:v>
      </x:c>
      <x:c r="G498" s="53" t="str">
        <x:v>Fan-made / non-canon</x:v>
      </x:c>
      <x:c r="H498" s="53" t="str">
        <x:v>Fan video</x:v>
      </x:c>
      <x:c r="I498" s="53" t="str">
        <x:v>YouTube — search by title</x:v>
      </x:c>
      <x:c r="J498" s="59" t="e">
        <x:f>HYPERLINK("https://www.youtube.com/results?search_query=Sidious%2C%20Dooku%20%26%20Maul%20%E2%80%94%20Episode%202%20%7C%20%E2%80%9CSo%20Are%20You.%E2%80%9D","Search")</x:f>
        <x:v>HYPERLINK is not implemented. linkLocation=https://www.youtube.com/results?search_query=Sidious%2C%20Dooku%20%26%20Maul%20%E2%80%94%20Episode%202%20%7C%20%E2%80%9CSo%20Are%20You.%E2%80%9D, friendlyName=Search</x:v>
      </x:c>
      <x:c r="K498" s="53" t="str">
        <x:v>During the Clone Wars, after Maul's capture and before the Siege of Mandalore.</x:v>
      </x:c>
      <x:c r="L498" s="76" t="str">
        <x:v>Sidious, Dooku &amp; Maul</x:v>
      </x:c>
      <x:c r="M498" s="76" t="str">
        <x:v>Sidious, Dooku &amp; Maul — Episode 2 | “So Are You.”</x:v>
      </x:c>
      <x:c r="N498" s="76"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498" s="76" t="str">
        <x:v>Clone Wars — Maul / Son of Dathomir</x:v>
      </x:c>
      <x:c r="P498" s="76" t="str">
        <x:v>IMG_6275.PNG</x:v>
      </x:c>
      <x:c r="Q498" s="76" t="str">
        <x:v>OCR extracted / placement assigned</x:v>
      </x:c>
      <x:c r="R498" s="76" t="str">
        <x:v>High</x:v>
      </x:c>
      <x:c r="S498" s="76" t="str"/>
      <x:c r="T498" s="76" t="str">
        <x:v>Unique</x:v>
      </x:c>
    </x:row>
    <x:row r="499" s="23" customFormat="1" ht="36" customHeight="1">
      <x:c r="A499" s="49" t="b">
        <x:v>0</x:v>
      </x:c>
      <x:c r="B499" s="56" t="str">
        <x:v>FV-0003</x:v>
      </x:c>
      <x:c r="C499" s="53" t="str">
        <x:v>Fan chronology — Clone Wars</x:v>
      </x:c>
      <x:c r="D499" s="53" t="str">
        <x:v>Son of Dathomir Inspired | Sidious Forces Talzin Out of Dooku!</x:v>
      </x:c>
      <x:c r="E499" s="53" t="str"/>
      <x:c r="F499" s="53" t="str">
        <x:v>13h ago</x:v>
      </x:c>
      <x:c r="G499" s="53" t="str">
        <x:v>Fan-made / non-canon</x:v>
      </x:c>
      <x:c r="H499" s="53" t="str">
        <x:v>Fan video</x:v>
      </x:c>
      <x:c r="I499" s="53" t="str">
        <x:v>YouTube — search by title</x:v>
      </x:c>
      <x:c r="J499" s="59" t="e">
        <x:f>HYPERLINK("https://www.youtube.com/results?search_query=Son%20of%20Dathomir%20Inspired%20%7C%20Sidious%20Forces%20Talzin%20Out%20of%20Dooku!","Search")</x:f>
        <x:v>HYPERLINK is not implemented. linkLocation=https://www.youtube.com/results?search_query=Son%20of%20Dathomir%20Inspired%20%7C%20Sidious%20Forces%20Talzin%20Out%20of%20Dooku!, friendlyName=Search</x:v>
      </x:c>
      <x:c r="K499" s="53" t="str">
        <x:v>During the Clone Wars, after Maul's capture and before the Siege of Mandalore.</x:v>
      </x:c>
      <x:c r="L499" s="76" t="str">
        <x:v>Son of Dathomir</x:v>
      </x:c>
      <x:c r="M499" s="76" t="str">
        <x:v>Son of Dathomir Inspired | Sidious Forces Talzin Out of Dooku!</x:v>
      </x:c>
      <x:c r="N499" s="76"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499" s="76" t="str">
        <x:v>Clone Wars — Maul / Son of Dathomir</x:v>
      </x:c>
      <x:c r="P499" s="76" t="str">
        <x:v>IMG_6186.PNG</x:v>
      </x:c>
      <x:c r="Q499" s="76" t="str">
        <x:v>Needs review</x:v>
      </x:c>
      <x:c r="R499" s="76" t="str">
        <x:v>High</x:v>
      </x:c>
      <x:c r="S499" s="76" t="str">
        <x:v>Screenshot shows only a relative publication time</x:v>
      </x:c>
      <x:c r="T499" s="76" t="str">
        <x:v>Unique</x:v>
      </x:c>
    </x:row>
    <x:row r="500" s="23" customFormat="1" ht="36" customHeight="1">
      <x:c r="A500" s="49" t="b">
        <x:v>0</x:v>
      </x:c>
      <x:c r="B500" s="56" t="str">
        <x:v>SWS-003</x:v>
      </x:c>
      <x:c r="C500" s="53" t="str">
        <x:v>Fan chronology — Clone Wars</x:v>
      </x:c>
      <x:c r="D500" s="53" t="str">
        <x:v>Star Wars: Darth Maul Tortured By Count Dooku and Sidious | Son of Dathomir</x:v>
      </x:c>
      <x:c r="E500" s="53" t="str"/>
      <x:c r="F500" s="53" t="str">
        <x:v>July 31, 2026</x:v>
      </x:c>
      <x:c r="G500" s="53" t="str">
        <x:v>Fan-made / non-canon</x:v>
      </x:c>
      <x:c r="H500" s="53" t="str">
        <x:v>AI fan film</x:v>
      </x:c>
      <x:c r="I500" s="53" t="str">
        <x:v>YouTube — Skywalker Stories</x:v>
      </x:c>
      <x:c r="J500" s="59" t="e">
        <x:f>HYPERLINK("https://www.youtube.com/watch?v=tgd4sWo_xRw","Open")</x:f>
        <x:v>HYPERLINK is not implemented. linkLocation=https://www.youtube.com/watch?v=tgd4sWo_xRw, friendlyName=Open</x:v>
      </x:c>
      <x:c r="K500" s="53" t="str">
        <x:v>Skywalker Stories. Son of Dathomir arc, after The Clone Wars Season 5 and before Season 7. Placement confidence: High. During the Clone Wars, after Maul's capture and before the Siege of Mandalore. Screenshot evidence merged into this existing tracker entry.</x:v>
      </x:c>
      <x:c r="L500" s="76" t="str">
        <x:v>Son of Dathomir</x:v>
      </x:c>
      <x:c r="M500" s="76" t="str">
        <x:v>Star Wars: Darth Maul Tortured By Count Dooku and Sidious | Son of Dathomir</x:v>
      </x:c>
      <x:c r="N500" s="76"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500" s="76" t="str">
        <x:v>Clone Wars — Maul / Son of Dathomir</x:v>
      </x:c>
      <x:c r="P500" s="76" t="str">
        <x:v>IMG_6183.PNG</x:v>
      </x:c>
      <x:c r="Q500" s="76" t="str">
        <x:v>OCR extracted / placement assigned</x:v>
      </x:c>
      <x:c r="R500" s="76" t="str">
        <x:v>High</x:v>
      </x:c>
      <x:c r="S500" s="76" t="str"/>
      <x:c r="T500" s="76" t="str">
        <x:v>Unique</x:v>
      </x:c>
    </x:row>
    <x:row r="501" s="23" customFormat="1" ht="36" customHeight="1">
      <x:c r="A501" s="49" t="b">
        <x:v>0</x:v>
      </x:c>
      <x:c r="B501" s="56" t="str">
        <x:v>FV-0067</x:v>
      </x:c>
      <x:c r="C501" s="53" t="str">
        <x:v>Fan chronology — Clone Wars</x:v>
      </x:c>
      <x:c r="D501" s="53" t="str">
        <x:v>Darman Blows the Door—Etain Holds the Line | Republic Commando Ep. 2</x:v>
      </x:c>
      <x:c r="E501" s="53" t="str">
        <x:v>Ep. 2</x:v>
      </x:c>
      <x:c r="F501" s="53" t="str">
        <x:v>October 8, 2026</x:v>
      </x:c>
      <x:c r="G501" s="53" t="str">
        <x:v>Fan-made / non-canon</x:v>
      </x:c>
      <x:c r="H501" s="53" t="str">
        <x:v>Fan video</x:v>
      </x:c>
      <x:c r="I501" s="53" t="str">
        <x:v>YouTube — search by title</x:v>
      </x:c>
      <x:c r="J501" s="59" t="e">
        <x:f>HYPERLINK("https://www.youtube.com/results?search_query=Darman%20Blows%20the%20Door%E2%80%94Etain%20Holds%20the%20Line%20%7C%20Republic%20Commando%20Ep.%202","Search")</x:f>
        <x:v>HYPERLINK is not implemented. linkLocation=https://www.youtube.com/results?search_query=Darman%20Blows%20the%20Door%E2%80%94Etain%20Holds%20the%20Line%20%7C%20Republic%20Commando%20Ep.%202, friendlyName=Search</x:v>
      </x:c>
      <x:c r="K501" s="53" t="str">
        <x:v>Clone Wars-era Republic Commando story.</x:v>
      </x:c>
      <x:c r="L501" s="76" t="str">
        <x:v>Republic Commando</x:v>
      </x:c>
      <x:c r="M501" s="76" t="str">
        <x:v>Darman Blows the Door—Etain Holds the Line | Republic Commando Ep. 2</x:v>
      </x:c>
      <x:c r="N501" s="76"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501" s="76" t="str">
        <x:v>Clone Wars — Republic Commando</x:v>
      </x:c>
      <x:c r="P501" s="76" t="str">
        <x:v>IMG_6250.PNG</x:v>
      </x:c>
      <x:c r="Q501" s="76" t="str">
        <x:v>OCR extracted / placement assigned</x:v>
      </x:c>
      <x:c r="R501" s="76" t="str">
        <x:v>High</x:v>
      </x:c>
      <x:c r="S501" s="76" t="str"/>
      <x:c r="T501" s="76" t="str">
        <x:v>Unique</x:v>
      </x:c>
    </x:row>
    <x:row r="502" s="23" customFormat="1" ht="36" customHeight="1">
      <x:c r="A502" s="49" t="b">
        <x:v>0</x:v>
      </x:c>
      <x:c r="B502" s="56" t="str">
        <x:v>FV-0059</x:v>
      </x:c>
      <x:c r="C502" s="53" t="str">
        <x:v>Fan chronology — Clone Wars</x:v>
      </x:c>
      <x:c r="D502" s="53" t="str">
        <x:v>Republic Commando — Episode 3 | They Stopped the Alarm... Too Late é</x:v>
      </x:c>
      <x:c r="E502" s="53" t="str">
        <x:v>Episode 3</x:v>
      </x:c>
      <x:c r="F502" s="53" t="str">
        <x:v>October 9, 2026</x:v>
      </x:c>
      <x:c r="G502" s="53" t="str">
        <x:v>Fan-made / non-canon</x:v>
      </x:c>
      <x:c r="H502" s="53" t="str">
        <x:v>Fan video</x:v>
      </x:c>
      <x:c r="I502" s="53" t="str">
        <x:v>YouTube — search by title</x:v>
      </x:c>
      <x:c r="J502" s="59" t="e">
        <x:f>HYPERLINK("https://www.youtube.com/results?search_query=Republic%20Commando%20%E2%80%94%20Episode%203%20%7C%20They%20Stopped%20the%20Alarm...%20Too%20Late%20%C3%A9","Search")</x:f>
        <x:v>HYPERLINK is not implemented. linkLocation=https://www.youtube.com/results?search_query=Republic%20Commando%20%E2%80%94%20Episode%203%20%7C%20They%20Stopped%20the%20Alarm...%20Too%20Late%20%C3%A9, friendlyName=Search</x:v>
      </x:c>
      <x:c r="K502" s="53" t="str">
        <x:v>Clone Wars-era Republic Commando story.</x:v>
      </x:c>
      <x:c r="L502" s="76" t="str">
        <x:v>Republic Commando</x:v>
      </x:c>
      <x:c r="M502" s="76" t="str">
        <x:v>Republic Commando — Episode 3 | They Stopped the Alarm... Too Late é</x:v>
      </x:c>
      <x:c r="N502" s="76"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502" s="76" t="str">
        <x:v>Clone Wars — Republic Commando</x:v>
      </x:c>
      <x:c r="P502" s="76" t="str">
        <x:v>IMG_6242.PNG</x:v>
      </x:c>
      <x:c r="Q502" s="76" t="str">
        <x:v>OCR extracted / placement assigned</x:v>
      </x:c>
      <x:c r="R502" s="76" t="str">
        <x:v>High</x:v>
      </x:c>
      <x:c r="S502" s="76" t="str"/>
      <x:c r="T502" s="76" t="str">
        <x:v>Unique</x:v>
      </x:c>
    </x:row>
    <x:row r="503" s="23" customFormat="1" ht="36" customHeight="1">
      <x:c r="A503" s="49" t="b">
        <x:v>0</x:v>
      </x:c>
      <x:c r="B503" s="56" t="str">
        <x:v>FV-0087</x:v>
      </x:c>
      <x:c r="C503" s="53" t="str">
        <x:v>Fan chronology — Clone Wars</x:v>
      </x:c>
      <x:c r="D503" s="53" t="str">
        <x:v>Republic Commando: Hard Contact | Karen Traviss | Darman &amp; Etain Tur-Mukan — Episode 1</x:v>
      </x:c>
      <x:c r="E503" s="53" t="str">
        <x:v>Episode 1</x:v>
      </x:c>
      <x:c r="F503" s="53" t="str">
        <x:v>October 5, 2026</x:v>
      </x:c>
      <x:c r="G503" s="53" t="str">
        <x:v>Fan-made / non-canon</x:v>
      </x:c>
      <x:c r="H503" s="53" t="str">
        <x:v>Fan video</x:v>
      </x:c>
      <x:c r="I503" s="53" t="str">
        <x:v>YouTube — search by title</x:v>
      </x:c>
      <x:c r="J503" s="59" t="e">
        <x:f>HYPERLINK("https://www.youtube.com/results?search_query=Republic%20Commando%3A%20Hard%20Contact%20%7C%20Karen%20Traviss%20%7C%20Darman%20%26%20Etain%20Tur-Mukan%20%E2%80%94%20Episode%201","Search")</x:f>
        <x:v>HYPERLINK is not implemented. linkLocation=https://www.youtube.com/results?search_query=Republic%20Commando%3A%20Hard%20Contact%20%7C%20Karen%20Traviss%20%7C%20Darman%20%26%20Etain%20Tur-Mukan%20%E2%80%94%20Episode%201, friendlyName=Search</x:v>
      </x:c>
      <x:c r="K503" s="53" t="str">
        <x:v>Clone Wars-era Republic Commando story.</x:v>
      </x:c>
      <x:c r="L503" s="76" t="str">
        <x:v>Republic Commando</x:v>
      </x:c>
      <x:c r="M503" s="76" t="str">
        <x:v>Republic Commando: Hard Contact | Karen Traviss | Darman &amp; Etain Tur-Mukan — Episode 1</x:v>
      </x:c>
      <x:c r="N503" s="76"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503" s="76" t="str">
        <x:v>Clone Wars — Republic Commando</x:v>
      </x:c>
      <x:c r="P503" s="76" t="str">
        <x:v>IMG_6270.PNG</x:v>
      </x:c>
      <x:c r="Q503" s="76" t="str">
        <x:v>OCR extracted / placement assigned</x:v>
      </x:c>
      <x:c r="R503" s="76" t="str">
        <x:v>High</x:v>
      </x:c>
      <x:c r="S503" s="76" t="str"/>
      <x:c r="T503" s="76" t="str">
        <x:v>Unique</x:v>
      </x:c>
    </x:row>
    <x:row r="504" s="23" customFormat="1" ht="36" customHeight="1">
      <x:c r="A504" s="49" t="b">
        <x:v>0</x:v>
      </x:c>
      <x:c r="B504" s="56" t="str">
        <x:v>FV-0575</x:v>
      </x:c>
      <x:c r="C504" s="53" t="str">
        <x:v>Fan chronology — Clone Wars</x:v>
      </x:c>
      <x:c r="D504" s="53" t="str">
        <x:v>STAR WARS The 212th Fan Film</x:v>
      </x:c>
      <x:c r="E504" s="53" t="str"/>
      <x:c r="F504" s="53" t="str">
        <x:v>May 4, 2025</x:v>
      </x:c>
      <x:c r="G504" s="53" t="str">
        <x:v>Fan-made / non-canon</x:v>
      </x:c>
      <x:c r="H504" s="53" t="str">
        <x:v>Fan film</x:v>
      </x:c>
      <x:c r="I504" s="53" t="str">
        <x:v>YouTube — official Hoplite VFX upload</x:v>
      </x:c>
      <x:c r="J504" s="59" t="e">
        <x:f>HYPERLINK("https://www.youtube.com/watch?v=X9q_HDiQSTM","Watch")</x:f>
        <x:v>HYPERLINK is not implemented. linkLocation=https://www.youtube.com/watch?v=X9q_HDiQSTM, friendlyName=Watch</x:v>
      </x:c>
      <x:c r="K504" s="53" t="str">
        <x:v>Commander Cody and the 212th face General Grievous. The filmmakers identify the setting only as the Clone Wars, so its exact point within the conflict remains uncertain.</x:v>
      </x:c>
      <x:c r="L504" s="76" t="str">
        <x:v>The 212 / Hoplite VFX</x:v>
      </x:c>
      <x:c r="M504" s="76" t="str">
        <x:v>STAR WARS The 212th Fan Film</x:v>
      </x:c>
      <x:c r="N504" s="76" t="str">
        <x:v>The short film “Star Wars: The 212” is a non-profit fan film. It allowed us to develop our working method as well as the Hoplite pipeline. It is also a tribute to special effects, by creating a fan film based on one of the first sagas that revolutionized VFX.</x:v>
      </x:c>
      <x:c r="O504" s="76" t="str">
        <x:v>Clone Wars — Commander Cody and the 212th battle General Grievous; exact point within the war is not stated</x:v>
      </x:c>
      <x:c r="P504" s="76" t="str">
        <x:v>IMG_6777.png</x:v>
      </x:c>
      <x:c r="Q504" s="76" t="str">
        <x:v>Verified from screenshot and official Hoplite project/upload; exact placement needs review</x:v>
      </x:c>
      <x:c r="R504" s="76" t="str">
        <x:v>Medium</x:v>
      </x:c>
      <x:c r="S504" s="76" t="str">
        <x:v>Exact point within the Clone Wars is not stated.</x:v>
      </x:c>
      <x:c r="T504" s="76" t="str">
        <x:v>Unique; no duplicate identified in the current catalog</x:v>
      </x:c>
    </x:row>
    <x:row r="505" s="23" customFormat="1" ht="36" customHeight="1">
      <x:c r="A505" s="49" t="b">
        <x:v>0</x:v>
      </x:c>
      <x:c r="B505" s="56" t="str">
        <x:v>SWS-039</x:v>
      </x:c>
      <x:c r="C505" s="53" t="str">
        <x:v>Fan chronology — Imperial era</x:v>
      </x:c>
      <x:c r="D505" s="53" t="str">
        <x:v>Star Wars: Darth Vader and Thrawn Work Together</x:v>
      </x:c>
      <x:c r="E505" s="53" t="str"/>
      <x:c r="F505" s="53" t="str">
        <x:v>Displayed as “1y ago” on October 17, 2026</x:v>
      </x:c>
      <x:c r="G505" s="53" t="str">
        <x:v>Fan-made / non-canon</x:v>
      </x:c>
      <x:c r="H505" s="53" t="str">
        <x:v>AI fan film</x:v>
      </x:c>
      <x:c r="I505" s="53" t="str">
        <x:v>YouTube — Skywalker Stories</x:v>
      </x:c>
      <x:c r="J505" s="59" t="e">
        <x:f>HYPERLINK("https://www.youtube.com/watch?v=g1O95mkSH1Y","Open")</x:f>
        <x:v>HYPERLINK is not implemented. linkLocation=https://www.youtube.com/watch?v=g1O95mkSH1Y, friendlyName=Open</x:v>
      </x:c>
      <x:c r="K505" s="53" t="str">
        <x:v>Skywalker Stories. Imperial era, before the original trilogy; Thrawn/Vader collaboration. Placement confidence: Medium.</x:v>
      </x:c>
      <x:c r="L505" s="76" t="str"/>
      <x:c r="M505" s="76" t="str">
        <x:v>Star Wars: Darth Vader and Thrawn Work Together</x:v>
      </x:c>
      <x:c r="N505" s="76" t="str"/>
      <x:c r="O505" s="76" t="str"/>
      <x:c r="P505" s="76" t="str"/>
      <x:c r="Q505" s="76" t="str">
        <x:v>Previously verified channel entry</x:v>
      </x:c>
      <x:c r="R505" s="76" t="str"/>
      <x:c r="S505" s="76" t="str"/>
      <x:c r="T505" s="76" t="str"/>
    </x:row>
    <x:row r="506" s="23" customFormat="1" ht="36" customHeight="1">
      <x:c r="A506" s="49" t="b">
        <x:v>0</x:v>
      </x:c>
      <x:c r="B506" s="56" t="str">
        <x:v>SWS-016</x:v>
      </x:c>
      <x:c r="C506" s="53" t="str">
        <x:v>Fan chronology — Imperial era</x:v>
      </x:c>
      <x:c r="D506" s="53" t="str">
        <x:v>Star Wars: Darth Vader Bleeds His Kyber Crystal</x:v>
      </x:c>
      <x:c r="E506" s="53" t="str"/>
      <x:c r="F506" s="53" t="str">
        <x:v>Displayed as “10mo ago” on October 17, 2026</x:v>
      </x:c>
      <x:c r="G506" s="53" t="str">
        <x:v>Fan-made / non-canon</x:v>
      </x:c>
      <x:c r="H506" s="53" t="str">
        <x:v>AI fan film</x:v>
      </x:c>
      <x:c r="I506" s="53" t="str">
        <x:v>YouTube — Skywalker Stories</x:v>
      </x:c>
      <x:c r="J506" s="59" t="e">
        <x:f>HYPERLINK("https://www.youtube.com/watch?v=7jpSHN6xz-g","Open")</x:f>
        <x:v>HYPERLINK is not implemented. linkLocation=https://www.youtube.com/watch?v=7jpSHN6xz-g, friendlyName=Open</x:v>
      </x:c>
      <x:c r="K506" s="53" t="str">
        <x:v>Skywalker Stories. Immediately after Episode III, during Vader's earliest Imperial missions. Placement confidence: High.</x:v>
      </x:c>
      <x:c r="L506" s="76" t="str"/>
      <x:c r="M506" s="76" t="str">
        <x:v>Star Wars: Darth Vader Bleeds His Kyber Crystal</x:v>
      </x:c>
      <x:c r="N506" s="76" t="str"/>
      <x:c r="O506" s="76" t="str"/>
      <x:c r="P506" s="76" t="str"/>
      <x:c r="Q506" s="76" t="str">
        <x:v>Previously verified channel entry</x:v>
      </x:c>
      <x:c r="R506" s="76" t="str"/>
      <x:c r="S506" s="76" t="str"/>
      <x:c r="T506" s="76" t="str"/>
    </x:row>
    <x:row r="507" s="23" customFormat="1" ht="36" customHeight="1">
      <x:c r="A507" s="49" t="b">
        <x:v>0</x:v>
      </x:c>
      <x:c r="B507" s="56" t="str">
        <x:v>SWS-008</x:v>
      </x:c>
      <x:c r="C507" s="53" t="str">
        <x:v>Fan chronology — Imperial era</x:v>
      </x:c>
      <x:c r="D507" s="53" t="str">
        <x:v>Star Wars: Darth Vader Bleeds His Kyber Crystal After Revenge of the Sith</x:v>
      </x:c>
      <x:c r="E507" s="53" t="str"/>
      <x:c r="F507" s="53" t="str">
        <x:v>Displayed as “6mo ago” on October 17, 2026</x:v>
      </x:c>
      <x:c r="G507" s="53" t="str">
        <x:v>Fan-made / non-canon</x:v>
      </x:c>
      <x:c r="H507" s="53" t="str">
        <x:v>AI fan film</x:v>
      </x:c>
      <x:c r="I507" s="53" t="str">
        <x:v>YouTube — Skywalker Stories</x:v>
      </x:c>
      <x:c r="J507" s="59" t="e">
        <x:f>HYPERLINK("https://www.youtube.com/watch?v=7nEc6XcWl6Y","Open")</x:f>
        <x:v>HYPERLINK is not implemented. linkLocation=https://www.youtube.com/watch?v=7nEc6XcWl6Y, friendlyName=Open</x:v>
      </x:c>
      <x:c r="K507" s="53" t="str">
        <x:v>Skywalker Stories. Immediately after Episode III, during Vader's earliest Imperial missions. Placement confidence: High.</x:v>
      </x:c>
      <x:c r="L507" s="76" t="str"/>
      <x:c r="M507" s="76" t="str">
        <x:v>Star Wars: Darth Vader Bleeds His Kyber Crystal After Revenge of the Sith</x:v>
      </x:c>
      <x:c r="N507" s="76" t="str"/>
      <x:c r="O507" s="76" t="str"/>
      <x:c r="P507" s="76" t="str"/>
      <x:c r="Q507" s="76" t="str">
        <x:v>Previously verified channel entry</x:v>
      </x:c>
      <x:c r="R507" s="76" t="str"/>
      <x:c r="S507" s="76" t="str"/>
      <x:c r="T507" s="76" t="str"/>
    </x:row>
    <x:row r="508" s="23" customFormat="1" ht="36" customHeight="1">
      <x:c r="A508" s="49" t="b">
        <x:v>0</x:v>
      </x:c>
      <x:c r="B508" s="56" t="str">
        <x:v>SWS-029</x:v>
      </x:c>
      <x:c r="C508" s="53" t="str">
        <x:v>Fan chronology — Imperial era</x:v>
      </x:c>
      <x:c r="D508" s="53" t="str">
        <x:v>Star Wars: Darth Vader Bleeds His Kyber Crystal On Mustafar</x:v>
      </x:c>
      <x:c r="E508" s="53" t="str"/>
      <x:c r="F508" s="53" t="str">
        <x:v>Displayed as “1y ago” on October 17, 2026</x:v>
      </x:c>
      <x:c r="G508" s="53" t="str">
        <x:v>Fan-made / non-canon</x:v>
      </x:c>
      <x:c r="H508" s="53" t="str">
        <x:v>AI fan film</x:v>
      </x:c>
      <x:c r="I508" s="53" t="str">
        <x:v>YouTube — Skywalker Stories</x:v>
      </x:c>
      <x:c r="J508" s="59" t="e">
        <x:f>HYPERLINK("https://www.youtube.com/watch?v=zhPw1MKUBpU","Open")</x:f>
        <x:v>HYPERLINK is not implemented. linkLocation=https://www.youtube.com/watch?v=zhPw1MKUBpU, friendlyName=Open</x:v>
      </x:c>
      <x:c r="K508" s="53" t="str">
        <x:v>Skywalker Stories. Immediately after Episode III, during Vader's earliest Imperial missions. Placement confidence: High.</x:v>
      </x:c>
      <x:c r="L508" s="76" t="str"/>
      <x:c r="M508" s="76" t="str">
        <x:v>Star Wars: Darth Vader Bleeds His Kyber Crystal On Mustafar</x:v>
      </x:c>
      <x:c r="N508" s="76" t="str"/>
      <x:c r="O508" s="76" t="str"/>
      <x:c r="P508" s="76" t="str"/>
      <x:c r="Q508" s="76" t="str">
        <x:v>Previously verified channel entry</x:v>
      </x:c>
      <x:c r="R508" s="76" t="str"/>
      <x:c r="S508" s="76" t="str"/>
      <x:c r="T508" s="76" t="str"/>
    </x:row>
    <x:row r="509" s="23" customFormat="1" ht="36" customHeight="1">
      <x:c r="A509" s="49" t="b">
        <x:v>0</x:v>
      </x:c>
      <x:c r="B509" s="56" t="str">
        <x:v>SWS-006</x:v>
      </x:c>
      <x:c r="C509" s="53" t="str">
        <x:v>Fan chronology — Imperial era</x:v>
      </x:c>
      <x:c r="D509" s="53" t="str">
        <x:v>Star Wars: Darth Vader Finds Ahsoka's Lightsaber</x:v>
      </x:c>
      <x:c r="E509" s="53" t="str"/>
      <x:c r="F509" s="53" t="str">
        <x:v>Displayed as “5mo ago” on October 17, 2026</x:v>
      </x:c>
      <x:c r="G509" s="53" t="str">
        <x:v>Fan-made / non-canon</x:v>
      </x:c>
      <x:c r="H509" s="53" t="str">
        <x:v>AI fan film</x:v>
      </x:c>
      <x:c r="I509" s="53" t="str">
        <x:v>YouTube — Skywalker Stories</x:v>
      </x:c>
      <x:c r="J509" s="59" t="e">
        <x:f>HYPERLINK("https://www.youtube.com/watch?v=bfhraDeFixo","Open")</x:f>
        <x:v>HYPERLINK is not implemented. linkLocation=https://www.youtube.com/watch?v=bfhraDeFixo, friendlyName=Open</x:v>
      </x:c>
      <x:c r="K509" s="53" t="str">
        <x:v>Skywalker Stories. Shortly after Order 66, echoing The Clone Wars finale. Placement confidence: High.</x:v>
      </x:c>
      <x:c r="L509" s="76" t="str"/>
      <x:c r="M509" s="76" t="str">
        <x:v>Star Wars: Darth Vader Finds Ahsoka's Lightsaber</x:v>
      </x:c>
      <x:c r="N509" s="76" t="str"/>
      <x:c r="O509" s="76" t="str"/>
      <x:c r="P509" s="76" t="str"/>
      <x:c r="Q509" s="76" t="str">
        <x:v>Previously verified channel entry</x:v>
      </x:c>
      <x:c r="R509" s="76" t="str"/>
      <x:c r="S509" s="76" t="str"/>
      <x:c r="T509" s="76" t="str"/>
    </x:row>
    <x:row r="510" s="23" customFormat="1" ht="36" customHeight="1">
      <x:c r="A510" s="49" t="b">
        <x:v>0</x:v>
      </x:c>
      <x:c r="B510" s="56" t="str">
        <x:v>SWS-046</x:v>
      </x:c>
      <x:c r="C510" s="53" t="str">
        <x:v>Fan chronology — Imperial era</x:v>
      </x:c>
      <x:c r="D510" s="53" t="str">
        <x:v>Star Wars: Darth Vader Haunted By His Past</x:v>
      </x:c>
      <x:c r="E510" s="53" t="str"/>
      <x:c r="F510" s="53" t="str">
        <x:v>Displayed as “1y ago” on October 17, 2026</x:v>
      </x:c>
      <x:c r="G510" s="53" t="str">
        <x:v>Fan-made / non-canon</x:v>
      </x:c>
      <x:c r="H510" s="53" t="str">
        <x:v>AI fan film</x:v>
      </x:c>
      <x:c r="I510" s="53" t="str">
        <x:v>YouTube — Skywalker Stories</x:v>
      </x:c>
      <x:c r="J510" s="59" t="e">
        <x:f>HYPERLINK("https://www.youtube.com/watch?v=Sx-VIz8Zwq8","Open")</x:f>
        <x:v>HYPERLINK is not implemented. linkLocation=https://www.youtube.com/watch?v=Sx-VIz8Zwq8, friendlyName=Open</x:v>
      </x:c>
      <x:c r="K510" s="53" t="str">
        <x:v>Skywalker Stories. Imperial era; exact point in Vader's life is not stated. Placement confidence: Low.</x:v>
      </x:c>
      <x:c r="L510" s="76" t="str"/>
      <x:c r="M510" s="76" t="str">
        <x:v>Star Wars: Darth Vader Haunted By His Past</x:v>
      </x:c>
      <x:c r="N510" s="76" t="str"/>
      <x:c r="O510" s="76" t="str"/>
      <x:c r="P510" s="76" t="str"/>
      <x:c r="Q510" s="76" t="str">
        <x:v>Previously verified channel entry</x:v>
      </x:c>
      <x:c r="R510" s="76" t="str"/>
      <x:c r="S510" s="76" t="str"/>
      <x:c r="T510" s="76" t="str"/>
    </x:row>
    <x:row r="511" s="23" customFormat="1" ht="36" customHeight="1">
      <x:c r="A511" s="49" t="b">
        <x:v>0</x:v>
      </x:c>
      <x:c r="B511" s="56" t="str">
        <x:v>SWS-026</x:v>
      </x:c>
      <x:c r="C511" s="53" t="str">
        <x:v>Fan chronology — Imperial era</x:v>
      </x:c>
      <x:c r="D511" s="53" t="str">
        <x:v>Star Wars: Darth Vader’s Early Struggles Adapting To Palpatine</x:v>
      </x:c>
      <x:c r="E511" s="53" t="str"/>
      <x:c r="F511" s="53" t="str">
        <x:v>Displayed as “1y ago” on October 17, 2026</x:v>
      </x:c>
      <x:c r="G511" s="53" t="str">
        <x:v>Fan-made / non-canon</x:v>
      </x:c>
      <x:c r="H511" s="53" t="str">
        <x:v>AI fan film</x:v>
      </x:c>
      <x:c r="I511" s="53" t="str">
        <x:v>YouTube — Skywalker Stories</x:v>
      </x:c>
      <x:c r="J511" s="59" t="e">
        <x:f>HYPERLINK("https://www.youtube.com/watch?v=V7Ry_VieZIQ","Open")</x:f>
        <x:v>HYPERLINK is not implemented. linkLocation=https://www.youtube.com/watch?v=V7Ry_VieZIQ, friendlyName=Open</x:v>
      </x:c>
      <x:c r="K511" s="53" t="str">
        <x:v>Skywalker Stories. Early Imperial era, soon after Anakin becomes Darth Vader. Placement confidence: High.</x:v>
      </x:c>
      <x:c r="L511" s="76" t="str"/>
      <x:c r="M511" s="76" t="str">
        <x:v>Star Wars: Darth Vader’s Early Struggles Adapting To Palpatine</x:v>
      </x:c>
      <x:c r="N511" s="76" t="str"/>
      <x:c r="O511" s="76" t="str"/>
      <x:c r="P511" s="76" t="str"/>
      <x:c r="Q511" s="76" t="str">
        <x:v>Previously verified channel entry</x:v>
      </x:c>
      <x:c r="R511" s="76" t="str"/>
      <x:c r="S511" s="76" t="str"/>
      <x:c r="T511" s="76" t="str"/>
    </x:row>
    <x:row r="512" s="23" customFormat="1" ht="36" customHeight="1">
      <x:c r="A512" s="49" t="b">
        <x:v>0</x:v>
      </x:c>
      <x:c r="B512" s="56" t="str">
        <x:v>SWS-042</x:v>
      </x:c>
      <x:c r="C512" s="53" t="str">
        <x:v>Fan chronology — Imperial era</x:v>
      </x:c>
      <x:c r="D512" s="53" t="str">
        <x:v>Star Wars: Qui-Gon Jinn visits Anakin on Mustafar</x:v>
      </x:c>
      <x:c r="E512" s="53" t="str"/>
      <x:c r="F512" s="53" t="str">
        <x:v>Displayed as “1y ago” on October 17, 2026</x:v>
      </x:c>
      <x:c r="G512" s="53" t="str">
        <x:v>Fan-made / non-canon</x:v>
      </x:c>
      <x:c r="H512" s="53" t="str">
        <x:v>AI fan film</x:v>
      </x:c>
      <x:c r="I512" s="53" t="str">
        <x:v>YouTube — Skywalker Stories</x:v>
      </x:c>
      <x:c r="J512" s="59" t="e">
        <x:f>HYPERLINK("https://www.youtube.com/watch?v=CJ1nQpRZsp0","Open")</x:f>
        <x:v>HYPERLINK is not implemented. linkLocation=https://www.youtube.com/watch?v=CJ1nQpRZsp0, friendlyName=Open</x:v>
      </x:c>
      <x:c r="K512" s="53" t="str">
        <x:v>Skywalker Stories. During the Mustafar aftermath of Episode III; alternate fan scene. Placement confidence: High.</x:v>
      </x:c>
      <x:c r="L512" s="76" t="str"/>
      <x:c r="M512" s="76" t="str">
        <x:v>Star Wars: Qui-Gon Jinn visits Anakin on Mustafar</x:v>
      </x:c>
      <x:c r="N512" s="76" t="str"/>
      <x:c r="O512" s="76" t="str"/>
      <x:c r="P512" s="76" t="str"/>
      <x:c r="Q512" s="76" t="str">
        <x:v>Previously verified channel entry</x:v>
      </x:c>
      <x:c r="R512" s="76" t="str"/>
      <x:c r="S512" s="76" t="str"/>
      <x:c r="T512" s="76" t="str"/>
    </x:row>
    <x:row r="513" s="23" customFormat="1" ht="36" customHeight="1">
      <x:c r="A513" s="49" t="b">
        <x:v>0</x:v>
      </x:c>
      <x:c r="B513" s="56" t="str">
        <x:v>SWS-005</x:v>
      </x:c>
      <x:c r="C513" s="53" t="str">
        <x:v>Fan chronology — Imperial era</x:v>
      </x:c>
      <x:c r="D513" s="53" t="str">
        <x:v>Star Wars: The Death of Darth Maul</x:v>
      </x:c>
      <x:c r="E513" s="53" t="str"/>
      <x:c r="F513" s="53" t="str">
        <x:v>Displayed as “4mo ago” on October 17, 2026</x:v>
      </x:c>
      <x:c r="G513" s="53" t="str">
        <x:v>Fan-made / non-canon</x:v>
      </x:c>
      <x:c r="H513" s="53" t="str">
        <x:v>AI fan film</x:v>
      </x:c>
      <x:c r="I513" s="53" t="str">
        <x:v>YouTube — Skywalker Stories</x:v>
      </x:c>
      <x:c r="J513" s="59" t="e">
        <x:f>HYPERLINK("https://www.youtube.com/watch?v=qDFfrsb2I_A","Open")</x:f>
        <x:v>HYPERLINK is not implemented. linkLocation=https://www.youtube.com/watch?v=qDFfrsb2I_A, friendlyName=Open</x:v>
      </x:c>
      <x:c r="K513" s="53" t="str">
        <x:v>Skywalker Stories. Around Rebels Season 3, shortly before A New Hope. Placement confidence: High.</x:v>
      </x:c>
      <x:c r="L513" s="76" t="str"/>
      <x:c r="M513" s="76" t="str">
        <x:v>Star Wars: The Death of Darth Maul</x:v>
      </x:c>
      <x:c r="N513" s="76" t="str"/>
      <x:c r="O513" s="76" t="str"/>
      <x:c r="P513" s="76" t="str"/>
      <x:c r="Q513" s="76" t="str">
        <x:v>Previously verified channel entry</x:v>
      </x:c>
      <x:c r="R513" s="76" t="str"/>
      <x:c r="S513" s="76" t="str"/>
      <x:c r="T513" s="76" t="str"/>
    </x:row>
    <x:row r="514" s="23" customFormat="1" ht="36" customHeight="1">
      <x:c r="A514" s="49" t="b">
        <x:v>0</x:v>
      </x:c>
      <x:c r="B514" s="56" t="str">
        <x:v>SWS-107</x:v>
      </x:c>
      <x:c r="C514" s="53" t="str">
        <x:v>Fan chronology — Imperial era</x:v>
      </x:c>
      <x:c r="D514" s="53" t="str">
        <x:v>Tales of the Sith: Darth Maul encounters Darth Vader</x:v>
      </x:c>
      <x:c r="E514" s="53" t="str"/>
      <x:c r="F514" s="53" t="str">
        <x:v>Displayed as “2y ago” on October 17, 2026</x:v>
      </x:c>
      <x:c r="G514" s="53" t="str">
        <x:v>Fan-made / non-canon</x:v>
      </x:c>
      <x:c r="H514" s="53" t="str">
        <x:v>AI fan film</x:v>
      </x:c>
      <x:c r="I514" s="53" t="str">
        <x:v>YouTube — Skywalker Stories</x:v>
      </x:c>
      <x:c r="J514" s="59" t="e">
        <x:f>HYPERLINK("https://www.youtube.com/watch?v=7fB2aCxcmiU","Open")</x:f>
        <x:v>HYPERLINK is not implemented. linkLocation=https://www.youtube.com/watch?v=7fB2aCxcmiU, friendlyName=Open</x:v>
      </x:c>
      <x:c r="K514" s="53" t="str">
        <x:v>Skywalker Stories. Alternate Imperial-era confrontation; exact year is unstated. Placement confidence: Low.</x:v>
      </x:c>
      <x:c r="L514" s="76" t="str"/>
      <x:c r="M514" s="76" t="str">
        <x:v>Tales of the Sith: Darth Maul encounters Darth Vader</x:v>
      </x:c>
      <x:c r="N514" s="76" t="str"/>
      <x:c r="O514" s="76" t="str"/>
      <x:c r="P514" s="76" t="str"/>
      <x:c r="Q514" s="76" t="str">
        <x:v>Previously verified channel entry</x:v>
      </x:c>
      <x:c r="R514" s="76" t="str"/>
      <x:c r="S514" s="76" t="str"/>
      <x:c r="T514" s="76" t="str"/>
    </x:row>
    <x:row r="515" s="23" customFormat="1" ht="36" customHeight="1">
      <x:c r="A515" s="49" t="b">
        <x:v>0</x:v>
      </x:c>
      <x:c r="B515" s="56" t="str">
        <x:v>SWS-077</x:v>
      </x:c>
      <x:c r="C515" s="53" t="str">
        <x:v>Fan chronology — Imperial era</x:v>
      </x:c>
      <x:c r="D515" s="53" t="str">
        <x:v>Tales of the Star Wars Galaxy: Count Dooku haunts Darth Vader</x:v>
      </x:c>
      <x:c r="E515" s="53" t="str"/>
      <x:c r="F515" s="53" t="str">
        <x:v>Displayed as “1y ago” on October 17, 2026</x:v>
      </x:c>
      <x:c r="G515" s="53" t="str">
        <x:v>Fan-made / non-canon</x:v>
      </x:c>
      <x:c r="H515" s="53" t="str">
        <x:v>AI fan film</x:v>
      </x:c>
      <x:c r="I515" s="53" t="str">
        <x:v>YouTube — Skywalker Stories</x:v>
      </x:c>
      <x:c r="J515" s="59" t="e">
        <x:f>HYPERLINK("https://www.youtube.com/watch?v=bL3EPDvptFA","Open")</x:f>
        <x:v>HYPERLINK is not implemented. linkLocation=https://www.youtube.com/watch?v=bL3EPDvptFA, friendlyName=Open</x:v>
      </x:c>
      <x:c r="K515" s="53" t="str">
        <x:v>Skywalker Stories. Imperial-era supernatural encounter; fan-made and chronologically approximate. Placement confidence: Medium.</x:v>
      </x:c>
      <x:c r="L515" s="76" t="str"/>
      <x:c r="M515" s="76" t="str">
        <x:v>Tales of the Star Wars Galaxy: Count Dooku haunts Darth Vader</x:v>
      </x:c>
      <x:c r="N515" s="76" t="str"/>
      <x:c r="O515" s="76" t="str"/>
      <x:c r="P515" s="76" t="str"/>
      <x:c r="Q515" s="76" t="str">
        <x:v>Previously verified channel entry</x:v>
      </x:c>
      <x:c r="R515" s="76" t="str"/>
      <x:c r="S515" s="76" t="str"/>
      <x:c r="T515" s="76" t="str"/>
    </x:row>
    <x:row r="516" s="23" customFormat="1" ht="36" customHeight="1">
      <x:c r="A516" s="49" t="b">
        <x:v>0</x:v>
      </x:c>
      <x:c r="B516" s="56" t="str">
        <x:v>SWS-061</x:v>
      </x:c>
      <x:c r="C516" s="53" t="str">
        <x:v>Fan chronology — Imperial era</x:v>
      </x:c>
      <x:c r="D516" s="53" t="str">
        <x:v>Tales of the Star Wars Galaxy: Darth Plagueis talks to Darth Vader about Sidious &amp; Vader's Prophecy</x:v>
      </x:c>
      <x:c r="E516" s="53" t="str"/>
      <x:c r="F516" s="53" t="str">
        <x:v>Displayed as “1y ago” on October 17, 2026</x:v>
      </x:c>
      <x:c r="G516" s="53" t="str">
        <x:v>Fan-made / non-canon</x:v>
      </x:c>
      <x:c r="H516" s="53" t="str">
        <x:v>AI fan film</x:v>
      </x:c>
      <x:c r="I516" s="53" t="str">
        <x:v>YouTube — Skywalker Stories</x:v>
      </x:c>
      <x:c r="J516" s="59" t="e">
        <x:f>HYPERLINK("https://www.youtube.com/watch?v=anUearSlXUI","Open")</x:f>
        <x:v>HYPERLINK is not implemented. linkLocation=https://www.youtube.com/watch?v=anUearSlXUI, friendlyName=Open</x:v>
      </x:c>
      <x:c r="K516" s="53" t="str">
        <x:v>Skywalker Stories. Imperial-era supernatural encounter; fan-made and chronologically approximate. Placement confidence: Medium.</x:v>
      </x:c>
      <x:c r="L516" s="76" t="str"/>
      <x:c r="M516" s="76" t="str">
        <x:v>Tales of the Star Wars Galaxy: Darth Plagueis talks to Darth Vader about Sidious &amp; Vader's Prophecy</x:v>
      </x:c>
      <x:c r="N516" s="76" t="str"/>
      <x:c r="O516" s="76" t="str"/>
      <x:c r="P516" s="76" t="str"/>
      <x:c r="Q516" s="76" t="str">
        <x:v>Previously verified channel entry</x:v>
      </x:c>
      <x:c r="R516" s="76" t="str"/>
      <x:c r="S516" s="76" t="str"/>
      <x:c r="T516" s="76" t="str"/>
    </x:row>
    <x:row r="517" s="23" customFormat="1" ht="36" customHeight="1">
      <x:c r="A517" s="49" t="b">
        <x:v>0</x:v>
      </x:c>
      <x:c r="B517" s="56" t="str">
        <x:v>SWS-083</x:v>
      </x:c>
      <x:c r="C517" s="53" t="str">
        <x:v>Fan chronology — Imperial era</x:v>
      </x:c>
      <x:c r="D517" s="53" t="str">
        <x:v>Tales of the Star Wars Galaxy: Darth Vader encounters Mace Windu at the Jedi Temple</x:v>
      </x:c>
      <x:c r="E517" s="53" t="str"/>
      <x:c r="F517" s="53" t="str">
        <x:v>Displayed as “1y ago” on October 17, 2026</x:v>
      </x:c>
      <x:c r="G517" s="53" t="str">
        <x:v>Fan-made / non-canon</x:v>
      </x:c>
      <x:c r="H517" s="53" t="str">
        <x:v>AI fan film</x:v>
      </x:c>
      <x:c r="I517" s="53" t="str">
        <x:v>YouTube — Skywalker Stories</x:v>
      </x:c>
      <x:c r="J517" s="59" t="e">
        <x:f>HYPERLINK("https://www.youtube.com/watch?v=uV3C6v6zpN0","Open")</x:f>
        <x:v>HYPERLINK is not implemented. linkLocation=https://www.youtube.com/watch?v=uV3C6v6zpN0, friendlyName=Open</x:v>
      </x:c>
      <x:c r="K517" s="53" t="str">
        <x:v>Skywalker Stories. Alternate early-Imperial encounter after Order 66; Mace Windu's survival is non-canon. Placement confidence: Low.</x:v>
      </x:c>
      <x:c r="L517" s="76" t="str"/>
      <x:c r="M517" s="76" t="str">
        <x:v>Tales of the Star Wars Galaxy: Darth Vader encounters Mace Windu at the Jedi Temple</x:v>
      </x:c>
      <x:c r="N517" s="76" t="str"/>
      <x:c r="O517" s="76" t="str"/>
      <x:c r="P517" s="76" t="str"/>
      <x:c r="Q517" s="76" t="str">
        <x:v>Previously verified channel entry</x:v>
      </x:c>
      <x:c r="R517" s="76" t="str"/>
      <x:c r="S517" s="76" t="str"/>
      <x:c r="T517" s="76" t="str"/>
    </x:row>
    <x:row r="518" s="23" customFormat="1" ht="36" customHeight="1">
      <x:c r="A518" s="49" t="b">
        <x:v>0</x:v>
      </x:c>
      <x:c r="B518" s="56" t="str">
        <x:v>SWS-086</x:v>
      </x:c>
      <x:c r="C518" s="53" t="str">
        <x:v>Fan chronology — Imperial era</x:v>
      </x:c>
      <x:c r="D518" s="53" t="str">
        <x:v>Tales of the Star Wars Galaxy: Darth Vader gets visited by Qui Gon Jinn</x:v>
      </x:c>
      <x:c r="E518" s="53" t="str"/>
      <x:c r="F518" s="53" t="str">
        <x:v>Displayed as “1y ago” on October 17, 2026</x:v>
      </x:c>
      <x:c r="G518" s="53" t="str">
        <x:v>Fan-made / non-canon</x:v>
      </x:c>
      <x:c r="H518" s="53" t="str">
        <x:v>AI fan film</x:v>
      </x:c>
      <x:c r="I518" s="53" t="str">
        <x:v>YouTube — Skywalker Stories</x:v>
      </x:c>
      <x:c r="J518" s="59" t="e">
        <x:f>HYPERLINK("https://www.youtube.com/watch?v=IYV3VJfOnQo","Open")</x:f>
        <x:v>HYPERLINK is not implemented. linkLocation=https://www.youtube.com/watch?v=IYV3VJfOnQo, friendlyName=Open</x:v>
      </x:c>
      <x:c r="K518" s="53" t="str">
        <x:v>Skywalker Stories. Imperial-era Force-ghost encounter; exact year is unstated. Placement confidence: Low.</x:v>
      </x:c>
      <x:c r="L518" s="76" t="str"/>
      <x:c r="M518" s="76" t="str">
        <x:v>Tales of the Star Wars Galaxy: Darth Vader gets visited by Qui Gon Jinn</x:v>
      </x:c>
      <x:c r="N518" s="76" t="str"/>
      <x:c r="O518" s="76" t="str"/>
      <x:c r="P518" s="76" t="str"/>
      <x:c r="Q518" s="76" t="str">
        <x:v>Previously verified channel entry</x:v>
      </x:c>
      <x:c r="R518" s="76" t="str"/>
      <x:c r="S518" s="76" t="str"/>
      <x:c r="T518" s="76" t="str"/>
    </x:row>
    <x:row r="519" s="23" customFormat="1" ht="36" customHeight="1">
      <x:c r="A519" s="49" t="b">
        <x:v>0</x:v>
      </x:c>
      <x:c r="B519" s="56" t="str">
        <x:v>SWS-064</x:v>
      </x:c>
      <x:c r="C519" s="53" t="str">
        <x:v>Fan chronology — Imperial era</x:v>
      </x:c>
      <x:c r="D519" s="53" t="str">
        <x:v>Tales of the Star Wars Galaxy: Darth Vader reflects on his new struggles to Darth Sidious</x:v>
      </x:c>
      <x:c r="E519" s="53" t="str"/>
      <x:c r="F519" s="53" t="str">
        <x:v>Displayed as “1y ago” on October 17, 2026</x:v>
      </x:c>
      <x:c r="G519" s="53" t="str">
        <x:v>Fan-made / non-canon</x:v>
      </x:c>
      <x:c r="H519" s="53" t="str">
        <x:v>AI fan film</x:v>
      </x:c>
      <x:c r="I519" s="53" t="str">
        <x:v>YouTube — Skywalker Stories</x:v>
      </x:c>
      <x:c r="J519" s="59" t="e">
        <x:f>HYPERLINK("https://www.youtube.com/watch?v=du0JN8-G0Ks","Open")</x:f>
        <x:v>HYPERLINK is not implemented. linkLocation=https://www.youtube.com/watch?v=du0JN8-G0Ks, friendlyName=Open</x:v>
      </x:c>
      <x:c r="K519" s="53" t="str">
        <x:v>Skywalker Stories. Early Imperial era, soon after Anakin becomes Darth Vader. Placement confidence: High.</x:v>
      </x:c>
      <x:c r="L519" s="76" t="str"/>
      <x:c r="M519" s="76" t="str">
        <x:v>Tales of the Star Wars Galaxy: Darth Vader reflects on his new struggles to Darth Sidious</x:v>
      </x:c>
      <x:c r="N519" s="76" t="str"/>
      <x:c r="O519" s="76" t="str"/>
      <x:c r="P519" s="76" t="str"/>
      <x:c r="Q519" s="76" t="str">
        <x:v>Previously verified channel entry</x:v>
      </x:c>
      <x:c r="R519" s="76" t="str"/>
      <x:c r="S519" s="76" t="str"/>
      <x:c r="T519" s="76" t="str"/>
    </x:row>
    <x:row r="520" s="23" customFormat="1" ht="36" customHeight="1">
      <x:c r="A520" s="49" t="b">
        <x:v>0</x:v>
      </x:c>
      <x:c r="B520" s="56" t="str">
        <x:v>SWS-057</x:v>
      </x:c>
      <x:c r="C520" s="53" t="str">
        <x:v>Fan chronology — Imperial era</x:v>
      </x:c>
      <x:c r="D520" s="53" t="str">
        <x:v>Tales of the Star Wars Galaxy: Darth Vader talks to Palpatine after killing Ahsoka</x:v>
      </x:c>
      <x:c r="E520" s="53" t="str"/>
      <x:c r="F520" s="53" t="str">
        <x:v>Displayed as “1y ago” on October 17, 2026</x:v>
      </x:c>
      <x:c r="G520" s="53" t="str">
        <x:v>Fan-made / non-canon</x:v>
      </x:c>
      <x:c r="H520" s="53" t="str">
        <x:v>AI fan film</x:v>
      </x:c>
      <x:c r="I520" s="53" t="str">
        <x:v>YouTube — Skywalker Stories</x:v>
      </x:c>
      <x:c r="J520" s="59" t="e">
        <x:f>HYPERLINK("https://www.youtube.com/watch?v=uVGtjNlTxlI","Open")</x:f>
        <x:v>HYPERLINK is not implemented. linkLocation=https://www.youtube.com/watch?v=uVGtjNlTxlI, friendlyName=Open</x:v>
      </x:c>
      <x:c r="K520" s="53" t="str">
        <x:v>Skywalker Stories. Alternate outcome to Vader and Ahsoka's Malachor confrontation in Rebels. Placement confidence: Medium.</x:v>
      </x:c>
      <x:c r="L520" s="76" t="str"/>
      <x:c r="M520" s="76" t="str">
        <x:v>Tales of the Star Wars Galaxy: Darth Vader talks to Palpatine after killing Ahsoka</x:v>
      </x:c>
      <x:c r="N520" s="76" t="str"/>
      <x:c r="O520" s="76" t="str"/>
      <x:c r="P520" s="76" t="str"/>
      <x:c r="Q520" s="76" t="str">
        <x:v>Previously verified channel entry</x:v>
      </x:c>
      <x:c r="R520" s="76" t="str"/>
      <x:c r="S520" s="76" t="str"/>
      <x:c r="T520" s="76" t="str"/>
    </x:row>
    <x:row r="521" s="23" customFormat="1" ht="36" customHeight="1">
      <x:c r="A521" s="49" t="b">
        <x:v>0</x:v>
      </x:c>
      <x:c r="B521" s="56" t="str">
        <x:v>SWS-060</x:v>
      </x:c>
      <x:c r="C521" s="53" t="str">
        <x:v>Fan chronology — Imperial era</x:v>
      </x:c>
      <x:c r="D521" s="53" t="str">
        <x:v>Tales of the Star Wars Galaxy: Darth Vader visits Padme's tomb and is haunted by his past</x:v>
      </x:c>
      <x:c r="E521" s="53" t="str"/>
      <x:c r="F521" s="53" t="str">
        <x:v>Displayed as “1y ago” on October 17, 2026</x:v>
      </x:c>
      <x:c r="G521" s="53" t="str">
        <x:v>Fan-made / non-canon</x:v>
      </x:c>
      <x:c r="H521" s="53" t="str">
        <x:v>AI fan film</x:v>
      </x:c>
      <x:c r="I521" s="53" t="str">
        <x:v>YouTube — Skywalker Stories</x:v>
      </x:c>
      <x:c r="J521" s="59" t="e">
        <x:f>HYPERLINK("https://www.youtube.com/watch?v=-5XZb67aLo0","Open")</x:f>
        <x:v>HYPERLINK is not implemented. linkLocation=https://www.youtube.com/watch?v=-5XZb67aLo0, friendlyName=Open</x:v>
      </x:c>
      <x:c r="K521" s="53" t="str">
        <x:v>Skywalker Stories. Imperial era; exact point in Vader's life is not stated. Placement confidence: Low.</x:v>
      </x:c>
      <x:c r="L521" s="76" t="str"/>
      <x:c r="M521" s="76" t="str">
        <x:v>Tales of the Star Wars Galaxy: Darth Vader visits Padme's tomb and is haunted by his past</x:v>
      </x:c>
      <x:c r="N521" s="76" t="str"/>
      <x:c r="O521" s="76" t="str"/>
      <x:c r="P521" s="76" t="str"/>
      <x:c r="Q521" s="76" t="str">
        <x:v>Previously verified channel entry</x:v>
      </x:c>
      <x:c r="R521" s="76" t="str"/>
      <x:c r="S521" s="76" t="str"/>
      <x:c r="T521" s="76" t="str"/>
    </x:row>
    <x:row r="522" s="23" customFormat="1" ht="36" customHeight="1">
      <x:c r="A522" s="49" t="b">
        <x:v>0</x:v>
      </x:c>
      <x:c r="B522" s="56" t="str">
        <x:v>SWS-094</x:v>
      </x:c>
      <x:c r="C522" s="53" t="str">
        <x:v>Fan chronology — Imperial era</x:v>
      </x:c>
      <x:c r="D522" s="53" t="str">
        <x:v>Tales of the Star Wars Galaxy: Qui Gon Jinn vists Anakin on Mustafar</x:v>
      </x:c>
      <x:c r="E522" s="53" t="str"/>
      <x:c r="F522" s="53" t="str">
        <x:v>Displayed as “2y ago” on October 17, 2026</x:v>
      </x:c>
      <x:c r="G522" s="53" t="str">
        <x:v>Fan-made / non-canon</x:v>
      </x:c>
      <x:c r="H522" s="53" t="str">
        <x:v>AI fan film</x:v>
      </x:c>
      <x:c r="I522" s="53" t="str">
        <x:v>YouTube — Skywalker Stories</x:v>
      </x:c>
      <x:c r="J522" s="59" t="e">
        <x:f>HYPERLINK("https://www.youtube.com/watch?v=BVgUMU4wnwU","Open")</x:f>
        <x:v>HYPERLINK is not implemented. linkLocation=https://www.youtube.com/watch?v=BVgUMU4wnwU, friendlyName=Open</x:v>
      </x:c>
      <x:c r="K522" s="53" t="str">
        <x:v>Skywalker Stories. During the Mustafar aftermath of Episode III; alternate fan scene. Placement confidence: High.</x:v>
      </x:c>
      <x:c r="L522" s="76" t="str"/>
      <x:c r="M522" s="76" t="str">
        <x:v>Tales of the Star Wars Galaxy: Qui Gon Jinn vists Anakin on Mustafar</x:v>
      </x:c>
      <x:c r="N522" s="76" t="str"/>
      <x:c r="O522" s="76" t="str"/>
      <x:c r="P522" s="76" t="str"/>
      <x:c r="Q522" s="76" t="str">
        <x:v>Previously verified channel entry</x:v>
      </x:c>
      <x:c r="R522" s="76" t="str"/>
      <x:c r="S522" s="76" t="str"/>
      <x:c r="T522" s="76" t="str"/>
    </x:row>
    <x:row r="523" s="23" customFormat="1" ht="36" customHeight="1">
      <x:c r="A523" s="49" t="b">
        <x:v>0</x:v>
      </x:c>
      <x:c r="B523" s="56" t="str">
        <x:v>FV-0064</x:v>
      </x:c>
      <x:c r="C523" s="53" t="str">
        <x:v>Fan chronology — Imperial era</x:v>
      </x:c>
      <x:c r="D523" s="53" t="str">
        <x:v>Darth Vader — “Now. The Truth.” | No Hiding from the Dark Side</x:v>
      </x:c>
      <x:c r="E523" s="53" t="str"/>
      <x:c r="F523" s="53" t="str">
        <x:v>October 8, 2026</x:v>
      </x:c>
      <x:c r="G523" s="53" t="str">
        <x:v>Fan-made / non-canon</x:v>
      </x:c>
      <x:c r="H523" s="53" t="str">
        <x:v>Fan video</x:v>
      </x:c>
      <x:c r="I523" s="53" t="str">
        <x:v>YouTube — search by title</x:v>
      </x:c>
      <x:c r="J523" s="59" t="e">
        <x:f>HYPERLINK("https://www.youtube.com/results?search_query=Darth%20Vader%20%E2%80%94%20%E2%80%9CNow.%20The%20Truth.%E2%80%9D%20%7C%20No%20Hiding%20from%20the%20Dark%20Side","Search")</x:f>
        <x:v>HYPERLINK is not implemented. linkLocation=https://www.youtube.com/results?search_query=Darth%20Vader%20%E2%80%94%20%E2%80%9CNow.%20The%20Truth.%E2%80%9D%20%7C%20No%20Hiding%20from%20the%20Dark%20Side, friendlyName=Search</x:v>
      </x:c>
      <x:c r="K523" s="53" t="str">
        <x:v>The screenshot does not always identify a narrower point in Vader's Imperial career.</x:v>
      </x:c>
      <x:c r="L523" s="76" t="str"/>
      <x:c r="M523" s="76" t="str">
        <x:v>Darth Vader — “Now. The Truth.” | No Hiding from the Dark Side</x:v>
      </x:c>
      <x:c r="N523" s="76"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523" s="76" t="str">
        <x:v>Imperial / Galactic Civil War era — Darth Vader</x:v>
      </x:c>
      <x:c r="P523" s="76" t="str">
        <x:v>IMG_6247.PNG</x:v>
      </x:c>
      <x:c r="Q523" s="76" t="str">
        <x:v>OCR extracted / placement assigned</x:v>
      </x:c>
      <x:c r="R523" s="76" t="str">
        <x:v>Medium</x:v>
      </x:c>
      <x:c r="S523" s="76" t="str"/>
      <x:c r="T523" s="76" t="str">
        <x:v>Unique</x:v>
      </x:c>
    </x:row>
    <x:row r="524" s="23" customFormat="1" ht="36" customHeight="1">
      <x:c r="A524" s="49" t="b">
        <x:v>0</x:v>
      </x:c>
      <x:c r="B524" s="56" t="str">
        <x:v>FV-0060</x:v>
      </x:c>
      <x:c r="C524" s="53" t="str">
        <x:v>Fan chronology — Imperial era</x:v>
      </x:c>
      <x:c r="D524" s="53" t="str">
        <x:v>Darth Vader — “You Were Not Dismissed.” @ | The Sealed Exit</x:v>
      </x:c>
      <x:c r="E524" s="53" t="str"/>
      <x:c r="F524" s="53" t="str">
        <x:v>October 9, 2026</x:v>
      </x:c>
      <x:c r="G524" s="53" t="str">
        <x:v>Fan-made / non-canon</x:v>
      </x:c>
      <x:c r="H524" s="53" t="str">
        <x:v>Fan video</x:v>
      </x:c>
      <x:c r="I524" s="53" t="str">
        <x:v>YouTube — search by title</x:v>
      </x:c>
      <x:c r="J524" s="59" t="e">
        <x:f>HYPERLINK("https://www.youtube.com/results?search_query=Darth%20Vader%20%E2%80%94%20%E2%80%9CYou%20Were%20Not%20Dismissed.%E2%80%9D%20%40%20%7C%20The%20Sealed%20Exit","Search")</x:f>
        <x:v>HYPERLINK is not implemented. linkLocation=https://www.youtube.com/results?search_query=Darth%20Vader%20%E2%80%94%20%E2%80%9CYou%20Were%20Not%20Dismissed.%E2%80%9D%20%40%20%7C%20The%20Sealed%20Exit, friendlyName=Search</x:v>
      </x:c>
      <x:c r="K524" s="53" t="str">
        <x:v>The screenshot does not always identify a narrower point in Vader's Imperial career.</x:v>
      </x:c>
      <x:c r="L524" s="76" t="str"/>
      <x:c r="M524" s="76" t="str">
        <x:v>Darth Vader — “You Were Not Dismissed.” @ | The Sealed Exit</x:v>
      </x:c>
      <x:c r="N524" s="76"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524" s="76" t="str">
        <x:v>Imperial / Galactic Civil War era — Darth Vader</x:v>
      </x:c>
      <x:c r="P524" s="76" t="str">
        <x:v>IMG_6243.PNG</x:v>
      </x:c>
      <x:c r="Q524" s="76" t="str">
        <x:v>OCR extracted / placement assigned</x:v>
      </x:c>
      <x:c r="R524" s="76" t="str">
        <x:v>Medium</x:v>
      </x:c>
      <x:c r="S524" s="76" t="str"/>
      <x:c r="T524" s="76" t="str">
        <x:v>Unique</x:v>
      </x:c>
    </x:row>
    <x:row r="525" s="23" customFormat="1" ht="36" customHeight="1">
      <x:c r="A525" s="49" t="b">
        <x:v>0</x:v>
      </x:c>
      <x:c r="B525" s="56" t="str">
        <x:v>FV-0311</x:v>
      </x:c>
      <x:c r="C525" s="53" t="str">
        <x:v>Fan chronology — Imperial era</x:v>
      </x:c>
      <x:c r="D525" s="53" t="str">
        <x:v>MACE WINDU VS. DARTH VADER — THE DUEL THAT NEVER HAPPENED</x:v>
      </x:c>
      <x:c r="E525" s="53" t="str"/>
      <x:c r="F525" s="53" t="str">
        <x:v>August 30, 2026</x:v>
      </x:c>
      <x:c r="G525" s="53" t="str">
        <x:v>Fan-made / non-canon</x:v>
      </x:c>
      <x:c r="H525" s="53" t="str">
        <x:v>Fan video</x:v>
      </x:c>
      <x:c r="I525" s="53" t="str">
        <x:v>YouTube — search by title</x:v>
      </x:c>
      <x:c r="J525" s="59" t="e">
        <x:f>HYPERLINK("https://www.youtube.com/results?search_query=MACE%20WINDU%20VS.%20DARTH%20VADER%20%E2%80%94%20THE%20DUEL%20THAT%20NEVER%20HAPPENED","Search")</x:f>
        <x:v>HYPERLINK is not implemented. linkLocation=https://www.youtube.com/results?search_query=MACE%20WINDU%20VS.%20DARTH%20VADER%20%E2%80%94%20THE%20DUEL%20THAT%20NEVER%20HAPPENED, friendlyName=Search</x:v>
      </x:c>
      <x:c r="K525" s="53" t="str">
        <x:v>The screenshot does not always identify a narrower point in Vader's Imperial career.</x:v>
      </x:c>
      <x:c r="L525" s="76" t="str"/>
      <x:c r="M525" s="76" t="str">
        <x:v>MACE WINDU VS. DARTH VADER — THE DUEL THAT NEVER HAPPENED</x:v>
      </x:c>
      <x:c r="N525" s="76"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525" s="76" t="str">
        <x:v>Imperial / Galactic Civil War era — Darth Vader</x:v>
      </x:c>
      <x:c r="P525" s="76" t="str">
        <x:v>IMG_6497.PNG</x:v>
      </x:c>
      <x:c r="Q525" s="76" t="str">
        <x:v>OCR extracted / placement assigned</x:v>
      </x:c>
      <x:c r="R525" s="76" t="str">
        <x:v>Medium</x:v>
      </x:c>
      <x:c r="S525" s="76" t="str"/>
      <x:c r="T525" s="76" t="str">
        <x:v>Unique</x:v>
      </x:c>
    </x:row>
    <x:row r="526" s="23" customFormat="1" ht="36" customHeight="1">
      <x:c r="A526" s="49" t="b">
        <x:v>0</x:v>
      </x:c>
      <x:c r="B526" s="56" t="str">
        <x:v>FV-0126</x:v>
      </x:c>
      <x:c r="C526" s="53" t="str">
        <x:v>Fan chronology — Imperial era</x:v>
      </x:c>
      <x:c r="D526" s="53" t="str">
        <x:v>Ahsoka Tano — The Empire Picked the Wrong Target | Star Wars</x:v>
      </x:c>
      <x:c r="E526" s="53" t="str"/>
      <x:c r="F526" s="53" t="str">
        <x:v>October 2, 2026</x:v>
      </x:c>
      <x:c r="G526" s="53" t="str">
        <x:v>Fan-made / non-canon</x:v>
      </x:c>
      <x:c r="H526" s="53" t="str">
        <x:v>Fan video</x:v>
      </x:c>
      <x:c r="I526" s="53" t="str">
        <x:v>YouTube — search by title</x:v>
      </x:c>
      <x:c r="J526" s="59" t="e">
        <x:f>HYPERLINK("https://www.youtube.com/results?search_query=Ahsoka%20Tano%20%E2%80%94%20The%20Empire%20Picked%20the%20Wrong%20Target%20%7C%20Star%20Wars","Search")</x:f>
        <x:v>HYPERLINK is not implemented. linkLocation=https://www.youtube.com/results?search_query=Ahsoka%20Tano%20%E2%80%94%20The%20Empire%20Picked%20the%20Wrong%20Target%20%7C%20Star%20Wars, friendlyName=Search</x:v>
      </x:c>
      <x:c r="K526" s="53" t="str">
        <x:v>Ahsoka story explicitly framed against the Empire.</x:v>
      </x:c>
      <x:c r="L526" s="76" t="str"/>
      <x:c r="M526" s="76" t="str">
        <x:v>Ahsoka Tano — The Empire Picked the Wrong Target | Star Wars</x:v>
      </x:c>
      <x:c r="N526" s="76"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526" s="76" t="str">
        <x:v>Imperial era — Ahsoka / early Rebellion</x:v>
      </x:c>
      <x:c r="P526" s="76" t="str">
        <x:v>IMG_6309.PNG</x:v>
      </x:c>
      <x:c r="Q526" s="76" t="str">
        <x:v>OCR extracted / placement assigned</x:v>
      </x:c>
      <x:c r="R526" s="76" t="str">
        <x:v>Medium</x:v>
      </x:c>
      <x:c r="S526" s="76" t="str"/>
      <x:c r="T526" s="76" t="str">
        <x:v>Unique</x:v>
      </x:c>
    </x:row>
    <x:row r="527" s="23" customFormat="1" ht="36" customHeight="1">
      <x:c r="A527" s="49" t="b">
        <x:v>0</x:v>
      </x:c>
      <x:c r="B527" s="56" t="str">
        <x:v>FV-0109</x:v>
      </x:c>
      <x:c r="C527" s="53" t="str">
        <x:v>Fan chronology — Imperial era</x:v>
      </x:c>
      <x:c r="D527" s="53" t="str">
        <x:v>Starkiller Unleashed 4 | Vader's Apprentice Breaks Through</x:v>
      </x:c>
      <x:c r="E527" s="53" t="str"/>
      <x:c r="F527" s="53" t="str">
        <x:v>October 3, 2026</x:v>
      </x:c>
      <x:c r="G527" s="53" t="str">
        <x:v>Fan-made / non-canon</x:v>
      </x:c>
      <x:c r="H527" s="53" t="str">
        <x:v>Fan video</x:v>
      </x:c>
      <x:c r="I527" s="53" t="str">
        <x:v>YouTube — search by title</x:v>
      </x:c>
      <x:c r="J527" s="59" t="e">
        <x:f>HYPERLINK("https://www.youtube.com/results?search_query=Starkiller%20Unleashed%204%20%7C%20Vader's%20Apprentice%20Breaks%20Through","Search")</x:f>
        <x:v>HYPERLINK is not implemented. linkLocation=https://www.youtube.com/results?search_query=Starkiller%20Unleashed%204%20%7C%20Vader's%20Apprentice%20Breaks%20Through, friendlyName=Search</x:v>
      </x:c>
      <x:c r="K527" s="53" t="str">
        <x:v>Starkiller/Vader's-apprentice fan material.</x:v>
      </x:c>
      <x:c r="L527" s="76" t="str"/>
      <x:c r="M527" s="76" t="str">
        <x:v>Starkiller Unleashed 4 | Vader's Apprentice Breaks Through</x:v>
      </x:c>
      <x:c r="N527" s="76"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527" s="76" t="str">
        <x:v>Imperial era — before A New Hope</x:v>
      </x:c>
      <x:c r="P527" s="76" t="str">
        <x:v>IMG_6292.PNG</x:v>
      </x:c>
      <x:c r="Q527" s="76" t="str">
        <x:v>OCR extracted / placement assigned</x:v>
      </x:c>
      <x:c r="R527" s="76" t="str">
        <x:v>High</x:v>
      </x:c>
      <x:c r="S527" s="76" t="str"/>
      <x:c r="T527" s="76" t="str">
        <x:v>Unique</x:v>
      </x:c>
    </x:row>
    <x:row r="528" s="23" customFormat="1" ht="36" customHeight="1">
      <x:c r="A528" s="49" t="b">
        <x:v>0</x:v>
      </x:c>
      <x:c r="B528" s="56" t="str">
        <x:v>FV-0073</x:v>
      </x:c>
      <x:c r="C528" s="53" t="str">
        <x:v>Fan chronology — Imperial era</x:v>
      </x:c>
      <x:c r="D528" s="53" t="str">
        <x:v>Trig &amp; Kale Longo | Joe Schreiber’s Star Wars: Death Troopers | Ep. 1: After Lockdown</x:v>
      </x:c>
      <x:c r="E528" s="53" t="str">
        <x:v>Ep. 1</x:v>
      </x:c>
      <x:c r="F528" s="53" t="str">
        <x:v>October 7, 2026</x:v>
      </x:c>
      <x:c r="G528" s="53" t="str">
        <x:v>Fan-made / non-canon</x:v>
      </x:c>
      <x:c r="H528" s="53" t="str">
        <x:v>Fan video</x:v>
      </x:c>
      <x:c r="I528" s="53" t="str">
        <x:v>YouTube — search by title</x:v>
      </x:c>
      <x:c r="J528" s="59" t="e">
        <x:f>HYPERLINK("https://www.youtube.com/results?search_query=Trig%20%26%20Kale%20Longo%20%7C%20Joe%20Schreiber%E2%80%99s%20Star%20Wars%3A%20Death%20Troopers%20%7C%20Ep.%201%3A%20After%20Lockdown","Search")</x:f>
        <x:v>HYPERLINK is not implemented. linkLocation=https://www.youtube.com/results?search_query=Trig%20%26%20Kale%20Longo%20%7C%20Joe%20Schreiber%E2%80%99s%20Star%20Wars%3A%20Death%20Troopers%20%7C%20Ep.%201%3A%20After%20Lockdown, friendlyName=Search</x:v>
      </x:c>
      <x:c r="K528" s="53" t="str">
        <x:v>Death Troopers is set in 1 BBY.</x:v>
      </x:c>
      <x:c r="L528" s="76" t="str">
        <x:v>Joe Schreiber’s Star Wars: Death Troopers</x:v>
      </x:c>
      <x:c r="M528" s="76" t="str">
        <x:v>Trig &amp; Kale Longo | Joe Schreiber’s Star Wars: Death Troopers | Ep. 1: After Lockdown</x:v>
      </x:c>
      <x:c r="N528" s="76"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528" s="76" t="str">
        <x:v>Imperial era — shortly before A New Hope</x:v>
      </x:c>
      <x:c r="P528" s="76" t="str">
        <x:v>IMG_6256.PNG</x:v>
      </x:c>
      <x:c r="Q528" s="76" t="str">
        <x:v>OCR extracted / placement assigned</x:v>
      </x:c>
      <x:c r="R528" s="76" t="str">
        <x:v>High</x:v>
      </x:c>
      <x:c r="S528" s="76" t="str"/>
      <x:c r="T528" s="76" t="str">
        <x:v>Unique</x:v>
      </x:c>
    </x:row>
    <x:row r="529" s="23" customFormat="1" ht="36" customHeight="1">
      <x:c r="A529" s="49" t="b">
        <x:v>0</x:v>
      </x:c>
      <x:c r="B529" s="56" t="str">
        <x:v>SWS-087</x:v>
      </x:c>
      <x:c r="C529" s="53" t="str">
        <x:v>Fan chronology — Imperial era</x:v>
      </x:c>
      <x:c r="D529" s="53" t="str">
        <x:v>Tales of the Star Wars Galaxy: Darth Sidious talks to Darth Plagueis</x:v>
      </x:c>
      <x:c r="E529" s="53" t="str"/>
      <x:c r="F529" s="53" t="str">
        <x:v>November 25, 2024</x:v>
      </x:c>
      <x:c r="G529" s="53" t="str">
        <x:v>Fan-made / non-canon</x:v>
      </x:c>
      <x:c r="H529" s="53" t="str">
        <x:v>AI fan film</x:v>
      </x:c>
      <x:c r="I529" s="53" t="str">
        <x:v>YouTube — Skywalker Stories</x:v>
      </x:c>
      <x:c r="J529" s="59" t="e">
        <x:f>HYPERLINK("https://www.youtube.com/watch?v=retpf1RKl5g","Open")</x:f>
        <x:v>HYPERLINK is not implemented. linkLocation=https://www.youtube.com/watch?v=retpf1RKl5g, friendlyName=Open</x:v>
      </x:c>
      <x:c r="K529" s="53"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529" s="76" t="str">
        <x:v>Tales of the Star Wars Galaxy</x:v>
      </x:c>
      <x:c r="M529" s="76" t="str">
        <x:v>Tales of the Star Wars Galaxy: Darth Sidious talks to Darth Plagueis</x:v>
      </x:c>
      <x:c r="N529" s="76" t="str">
        <x:v>Patreon: @ / skywalkerstories
Disclaimer: These videos are not associated with
Lucasfilm, they are fan made creations and stories.</x:v>
      </x:c>
      <x:c r="O529" s="76" t="str">
        <x:v>Imperial era — Sidious consults Plagueis's spirit</x:v>
      </x:c>
      <x:c r="P529" s="76" t="str">
        <x:v>IMG_6178.PNG</x:v>
      </x:c>
      <x:c r="Q529" s="76" t="str">
        <x:v>OCR extracted / placement assigned</x:v>
      </x:c>
      <x:c r="R529" s="76" t="str">
        <x:v>High</x:v>
      </x:c>
      <x:c r="S529" s="76" t="str"/>
      <x:c r="T529" s="76" t="str">
        <x:v>Unique</x:v>
      </x:c>
    </x:row>
    <x:row r="530" s="23" customFormat="1" ht="36" customHeight="1">
      <x:c r="A530" s="49" t="b">
        <x:v>0</x:v>
      </x:c>
      <x:c r="B530" s="56" t="str">
        <x:v>SWS-051</x:v>
      </x:c>
      <x:c r="C530" s="53" t="str">
        <x:v>Fan chronology — Galactic Civil War</x:v>
      </x:c>
      <x:c r="D530" s="53" t="str">
        <x:v>Star Wars - Qui-Gon visits Darth Vader after fighting Luke Skywalker on Bespin</x:v>
      </x:c>
      <x:c r="E530" s="53" t="str"/>
      <x:c r="F530" s="53" t="str">
        <x:v>Displayed as “1y ago” on October 17, 2026</x:v>
      </x:c>
      <x:c r="G530" s="53" t="str">
        <x:v>Fan-made / non-canon</x:v>
      </x:c>
      <x:c r="H530" s="53" t="str">
        <x:v>AI fan film</x:v>
      </x:c>
      <x:c r="I530" s="53" t="str">
        <x:v>YouTube — Skywalker Stories</x:v>
      </x:c>
      <x:c r="J530" s="59" t="e">
        <x:f>HYPERLINK("https://www.youtube.com/watch?v=EChIJZdWGY4","Open")</x:f>
        <x:v>HYPERLINK is not implemented. linkLocation=https://www.youtube.com/watch?v=EChIJZdWGY4, friendlyName=Open</x:v>
      </x:c>
      <x:c r="K530" s="53" t="str">
        <x:v>Skywalker Stories. Immediately after Episode V: The Empire Strikes Back. Placement confidence: High.</x:v>
      </x:c>
      <x:c r="L530" s="76" t="str"/>
      <x:c r="M530" s="76" t="str">
        <x:v>Star Wars - Qui-Gon visits Darth Vader after fighting Luke Skywalker on Bespin</x:v>
      </x:c>
      <x:c r="N530" s="76" t="str"/>
      <x:c r="O530" s="76" t="str"/>
      <x:c r="P530" s="76" t="str"/>
      <x:c r="Q530" s="76" t="str">
        <x:v>Previously verified channel entry</x:v>
      </x:c>
      <x:c r="R530" s="76" t="str"/>
      <x:c r="S530" s="76" t="str"/>
      <x:c r="T530" s="76" t="str"/>
    </x:row>
    <x:row r="531" s="23" customFormat="1" ht="36" customHeight="1">
      <x:c r="A531" s="49" t="b">
        <x:v>0</x:v>
      </x:c>
      <x:c r="B531" s="56" t="str">
        <x:v>SWS-110</x:v>
      </x:c>
      <x:c r="C531" s="53" t="str">
        <x:v>Fan chronology — Galactic Civil War</x:v>
      </x:c>
      <x:c r="D531" s="53" t="str">
        <x:v>Star Wars Deepfake - Ewan McGregor as Ben Kenobi in A New Hope</x:v>
      </x:c>
      <x:c r="E531" s="53" t="str"/>
      <x:c r="F531" s="53" t="str">
        <x:v>Displayed as “2y ago” on October 17, 2026</x:v>
      </x:c>
      <x:c r="G531" s="53" t="str">
        <x:v>Fan-made / non-canon</x:v>
      </x:c>
      <x:c r="H531" s="53" t="str">
        <x:v>AI fan film</x:v>
      </x:c>
      <x:c r="I531" s="53" t="str">
        <x:v>YouTube — Skywalker Stories</x:v>
      </x:c>
      <x:c r="J531" s="59" t="e">
        <x:f>HYPERLINK("https://www.youtube.com/watch?v=KknCPAcGKxc","Open")</x:f>
        <x:v>HYPERLINK is not implemented. linkLocation=https://www.youtube.com/watch?v=KknCPAcGKxc, friendlyName=Open</x:v>
      </x:c>
      <x:c r="K531" s="53" t="str">
        <x:v>Skywalker Stories. Visual re-edit alongside Episode IV: A New Hope; no new story continuity. Placement confidence: High.</x:v>
      </x:c>
      <x:c r="L531" s="76" t="str"/>
      <x:c r="M531" s="76" t="str">
        <x:v>Star Wars Deepfake - Ewan McGregor as Ben Kenobi in A New Hope</x:v>
      </x:c>
      <x:c r="N531" s="76" t="str"/>
      <x:c r="O531" s="76" t="str"/>
      <x:c r="P531" s="76" t="str"/>
      <x:c r="Q531" s="76" t="str">
        <x:v>Previously verified channel entry</x:v>
      </x:c>
      <x:c r="R531" s="76" t="str"/>
      <x:c r="S531" s="76" t="str"/>
      <x:c r="T531" s="76" t="str"/>
    </x:row>
    <x:row r="532" s="23" customFormat="1" ht="36" customHeight="1">
      <x:c r="A532" s="49" t="b">
        <x:v>0</x:v>
      </x:c>
      <x:c r="B532" s="56" t="str">
        <x:v>SWS-043</x:v>
      </x:c>
      <x:c r="C532" s="53" t="str">
        <x:v>Fan chronology — Galactic Civil War</x:v>
      </x:c>
      <x:c r="D532" s="53" t="str">
        <x:v>Star Wars: Darth Vader Learns About Luke Skywalker</x:v>
      </x:c>
      <x:c r="E532" s="53" t="str"/>
      <x:c r="F532" s="53" t="str">
        <x:v>Displayed as “1y ago” on October 17, 2026</x:v>
      </x:c>
      <x:c r="G532" s="53" t="str">
        <x:v>Fan-made / non-canon</x:v>
      </x:c>
      <x:c r="H532" s="53" t="str">
        <x:v>AI fan film</x:v>
      </x:c>
      <x:c r="I532" s="53" t="str">
        <x:v>YouTube — Skywalker Stories</x:v>
      </x:c>
      <x:c r="J532" s="59" t="e">
        <x:f>HYPERLINK("https://www.youtube.com/watch?v=Cb52tiDHL0o","Open")</x:f>
        <x:v>HYPERLINK is not implemented. linkLocation=https://www.youtube.com/watch?v=Cb52tiDHL0o, friendlyName=Open</x:v>
      </x:c>
      <x:c r="K532" s="53" t="str">
        <x:v>Skywalker Stories. Between Episodes IV and V, after Vader learns Luke's identity. Placement confidence: High. Separate upload sharing a title with another channel video.</x:v>
      </x:c>
      <x:c r="L532" s="76" t="str"/>
      <x:c r="M532" s="76" t="str">
        <x:v>Star Wars: Darth Vader Learns About Luke Skywalker</x:v>
      </x:c>
      <x:c r="N532" s="76" t="str"/>
      <x:c r="O532" s="76" t="str"/>
      <x:c r="P532" s="76" t="str"/>
      <x:c r="Q532" s="76" t="str">
        <x:v>Previously verified channel entry</x:v>
      </x:c>
      <x:c r="R532" s="76" t="str"/>
      <x:c r="S532" s="76" t="str"/>
      <x:c r="T532" s="76" t="str"/>
    </x:row>
    <x:row r="533" s="23" customFormat="1" ht="36" customHeight="1">
      <x:c r="A533" s="49" t="b">
        <x:v>0</x:v>
      </x:c>
      <x:c r="B533" s="56" t="str">
        <x:v>SWS-009</x:v>
      </x:c>
      <x:c r="C533" s="53" t="str">
        <x:v>Fan chronology — Galactic Civil War</x:v>
      </x:c>
      <x:c r="D533" s="53" t="str">
        <x:v>Star Wars: Darth Vader Learns About Luke Skywalker</x:v>
      </x:c>
      <x:c r="E533" s="53" t="str"/>
      <x:c r="F533" s="53" t="str">
        <x:v>Displayed as “7mo ago” on October 17, 2026</x:v>
      </x:c>
      <x:c r="G533" s="53" t="str">
        <x:v>Fan-made / non-canon</x:v>
      </x:c>
      <x:c r="H533" s="53" t="str">
        <x:v>AI fan film</x:v>
      </x:c>
      <x:c r="I533" s="53" t="str">
        <x:v>YouTube — Skywalker Stories</x:v>
      </x:c>
      <x:c r="J533" s="59" t="e">
        <x:f>HYPERLINK("https://www.youtube.com/watch?v=L3m2BQ6ob7I","Open")</x:f>
        <x:v>HYPERLINK is not implemented. linkLocation=https://www.youtube.com/watch?v=L3m2BQ6ob7I, friendlyName=Open</x:v>
      </x:c>
      <x:c r="K533" s="53" t="str">
        <x:v>Skywalker Stories. Between Episodes IV and V, after Vader learns Luke's identity. Placement confidence: High. Separate upload sharing a title with another channel video.</x:v>
      </x:c>
      <x:c r="L533" s="76" t="str"/>
      <x:c r="M533" s="76" t="str">
        <x:v>Star Wars: Darth Vader Learns About Luke Skywalker</x:v>
      </x:c>
      <x:c r="N533" s="76" t="str"/>
      <x:c r="O533" s="76" t="str"/>
      <x:c r="P533" s="76" t="str"/>
      <x:c r="Q533" s="76" t="str">
        <x:v>Previously verified channel entry</x:v>
      </x:c>
      <x:c r="R533" s="76" t="str"/>
      <x:c r="S533" s="76" t="str"/>
      <x:c r="T533" s="76" t="str"/>
    </x:row>
    <x:row r="534" s="23" customFormat="1" ht="36" customHeight="1">
      <x:c r="A534" s="49" t="b">
        <x:v>0</x:v>
      </x:c>
      <x:c r="B534" s="56" t="str">
        <x:v>SWS-012</x:v>
      </x:c>
      <x:c r="C534" s="53" t="str">
        <x:v>Fan chronology — Galactic Civil War</x:v>
      </x:c>
      <x:c r="D534" s="53" t="str">
        <x:v>Star Wars: Darth Vader Visits Padme's Tomb Before Return of the Jedi</x:v>
      </x:c>
      <x:c r="E534" s="53" t="str"/>
      <x:c r="F534" s="53" t="str">
        <x:v>Displayed as “8mo ago” on October 17, 2026</x:v>
      </x:c>
      <x:c r="G534" s="53" t="str">
        <x:v>Fan-made / non-canon</x:v>
      </x:c>
      <x:c r="H534" s="53" t="str">
        <x:v>AI fan film</x:v>
      </x:c>
      <x:c r="I534" s="53" t="str">
        <x:v>YouTube — Skywalker Stories</x:v>
      </x:c>
      <x:c r="J534" s="59" t="e">
        <x:f>HYPERLINK("https://www.youtube.com/watch?v=IEwgJfQ0MKE","Open")</x:f>
        <x:v>HYPERLINK is not implemented. linkLocation=https://www.youtube.com/watch?v=IEwgJfQ0MKE, friendlyName=Open</x:v>
      </x:c>
      <x:c r="K534" s="53" t="str">
        <x:v>Skywalker Stories. Between Episodes V and VI, before Return of the Jedi. Placement confidence: High.</x:v>
      </x:c>
      <x:c r="L534" s="76" t="str"/>
      <x:c r="M534" s="76" t="str">
        <x:v>Star Wars: Darth Vader Visits Padme's Tomb Before Return of the Jedi</x:v>
      </x:c>
      <x:c r="N534" s="76" t="str"/>
      <x:c r="O534" s="76" t="str"/>
      <x:c r="P534" s="76" t="str"/>
      <x:c r="Q534" s="76" t="str">
        <x:v>Previously verified channel entry</x:v>
      </x:c>
      <x:c r="R534" s="76" t="str"/>
      <x:c r="S534" s="76" t="str"/>
      <x:c r="T534" s="76" t="str"/>
    </x:row>
    <x:row r="535" s="23" customFormat="1" ht="36" customHeight="1">
      <x:c r="A535" s="49" t="b">
        <x:v>0</x:v>
      </x:c>
      <x:c r="B535" s="56" t="str">
        <x:v>SWS-045</x:v>
      </x:c>
      <x:c r="C535" s="53" t="str">
        <x:v>Fan chronology — Galactic Civil War</x:v>
      </x:c>
      <x:c r="D535" s="53" t="str">
        <x:v>Star Wars: Darth Vader's Journey to Redemption at Padme's Tomb</x:v>
      </x:c>
      <x:c r="E535" s="53" t="str"/>
      <x:c r="F535" s="53" t="str">
        <x:v>Displayed as “1y ago” on October 17, 2026</x:v>
      </x:c>
      <x:c r="G535" s="53" t="str">
        <x:v>Fan-made / non-canon</x:v>
      </x:c>
      <x:c r="H535" s="53" t="str">
        <x:v>AI fan film</x:v>
      </x:c>
      <x:c r="I535" s="53" t="str">
        <x:v>YouTube — Skywalker Stories</x:v>
      </x:c>
      <x:c r="J535" s="59" t="e">
        <x:f>HYPERLINK("https://www.youtube.com/watch?v=HsC2UzDVPSI","Open")</x:f>
        <x:v>HYPERLINK is not implemented. linkLocation=https://www.youtube.com/watch?v=HsC2UzDVPSI, friendlyName=Open</x:v>
      </x:c>
      <x:c r="K535" s="53" t="str">
        <x:v>Skywalker Stories. Vader-era Padmé-tomb story, placed provisionally before Return of the Jedi. Placement confidence: Medium.</x:v>
      </x:c>
      <x:c r="L535" s="76" t="str"/>
      <x:c r="M535" s="76" t="str">
        <x:v>Star Wars: Darth Vader's Journey to Redemption at Padme's Tomb</x:v>
      </x:c>
      <x:c r="N535" s="76" t="str"/>
      <x:c r="O535" s="76" t="str"/>
      <x:c r="P535" s="76" t="str"/>
      <x:c r="Q535" s="76" t="str">
        <x:v>Previously verified channel entry</x:v>
      </x:c>
      <x:c r="R535" s="76" t="str"/>
      <x:c r="S535" s="76" t="str"/>
      <x:c r="T535" s="76" t="str"/>
    </x:row>
    <x:row r="536" s="23" customFormat="1" ht="36" customHeight="1">
      <x:c r="A536" s="49" t="b">
        <x:v>0</x:v>
      </x:c>
      <x:c r="B536" s="56" t="str">
        <x:v>SWS-023</x:v>
      </x:c>
      <x:c r="C536" s="53" t="str">
        <x:v>Fan chronology — Galactic Civil War</x:v>
      </x:c>
      <x:c r="D536" s="53" t="str">
        <x:v>Star Wars: Darth Vader's Journey To Redemption At Padme's Tomb</x:v>
      </x:c>
      <x:c r="E536" s="53" t="str"/>
      <x:c r="F536" s="53" t="str">
        <x:v>Displayed as “1y ago” on October 17, 2026</x:v>
      </x:c>
      <x:c r="G536" s="53" t="str">
        <x:v>Fan-made / non-canon</x:v>
      </x:c>
      <x:c r="H536" s="53" t="str">
        <x:v>AI fan film</x:v>
      </x:c>
      <x:c r="I536" s="53" t="str">
        <x:v>YouTube — Skywalker Stories</x:v>
      </x:c>
      <x:c r="J536" s="59" t="e">
        <x:f>HYPERLINK("https://www.youtube.com/watch?v=5jQtkG1ysow","Open")</x:f>
        <x:v>HYPERLINK is not implemented. linkLocation=https://www.youtube.com/watch?v=5jQtkG1ysow, friendlyName=Open</x:v>
      </x:c>
      <x:c r="K536" s="53" t="str">
        <x:v>Skywalker Stories. Vader-era Padmé-tomb story, placed provisionally before Return of the Jedi. Placement confidence: Medium.</x:v>
      </x:c>
      <x:c r="L536" s="76" t="str"/>
      <x:c r="M536" s="76" t="str">
        <x:v>Star Wars: Darth Vader's Journey To Redemption At Padme's Tomb</x:v>
      </x:c>
      <x:c r="N536" s="76" t="str"/>
      <x:c r="O536" s="76" t="str"/>
      <x:c r="P536" s="76" t="str"/>
      <x:c r="Q536" s="76" t="str">
        <x:v>Previously verified channel entry</x:v>
      </x:c>
      <x:c r="R536" s="76" t="str"/>
      <x:c r="S536" s="76" t="str"/>
      <x:c r="T536" s="76" t="str"/>
    </x:row>
    <x:row r="537" s="23" customFormat="1" ht="36" customHeight="1">
      <x:c r="A537" s="49" t="b">
        <x:v>0</x:v>
      </x:c>
      <x:c r="B537" s="56" t="str">
        <x:v>SWS-044</x:v>
      </x:c>
      <x:c r="C537" s="53" t="str">
        <x:v>Fan chronology — Galactic Civil War</x:v>
      </x:c>
      <x:c r="D537" s="53" t="str">
        <x:v>Star Wars: Emperor Palpatine Dissolves the Senate</x:v>
      </x:c>
      <x:c r="E537" s="53" t="str"/>
      <x:c r="F537" s="53" t="str">
        <x:v>Displayed as “1y ago” on October 17, 2026</x:v>
      </x:c>
      <x:c r="G537" s="53" t="str">
        <x:v>Fan-made / non-canon</x:v>
      </x:c>
      <x:c r="H537" s="53" t="str">
        <x:v>AI fan film</x:v>
      </x:c>
      <x:c r="I537" s="53" t="str">
        <x:v>YouTube — Skywalker Stories</x:v>
      </x:c>
      <x:c r="J537" s="59" t="e">
        <x:f>HYPERLINK("https://www.youtube.com/watch?v=wX0v-nPngvQ","Open")</x:f>
        <x:v>HYPERLINK is not implemented. linkLocation=https://www.youtube.com/watch?v=wX0v-nPngvQ, friendlyName=Open</x:v>
      </x:c>
      <x:c r="K537" s="53" t="str">
        <x:v>Skywalker Stories. Alongside Episode IV: A New Hope, when the Imperial Senate is dissolved. Placement confidence: High.</x:v>
      </x:c>
      <x:c r="L537" s="76" t="str"/>
      <x:c r="M537" s="76" t="str">
        <x:v>Star Wars: Emperor Palpatine Dissolves the Senate</x:v>
      </x:c>
      <x:c r="N537" s="76" t="str"/>
      <x:c r="O537" s="76" t="str"/>
      <x:c r="P537" s="76" t="str"/>
      <x:c r="Q537" s="76" t="str">
        <x:v>Previously verified channel entry</x:v>
      </x:c>
      <x:c r="R537" s="76" t="str"/>
      <x:c r="S537" s="76" t="str"/>
      <x:c r="T537" s="76" t="str"/>
    </x:row>
    <x:row r="538" s="23" customFormat="1" ht="36" customHeight="1">
      <x:c r="A538" s="49" t="b">
        <x:v>0</x:v>
      </x:c>
      <x:c r="B538" s="56" t="str">
        <x:v>SWS-007</x:v>
      </x:c>
      <x:c r="C538" s="53" t="str">
        <x:v>Fan chronology — Galactic Civil War</x:v>
      </x:c>
      <x:c r="D538" s="53" t="str">
        <x:v>Star Wars: Qui Gon Visits Darth Vader After His Fight With Luke Skywalker On Bespin</x:v>
      </x:c>
      <x:c r="E538" s="53" t="str"/>
      <x:c r="F538" s="53" t="str">
        <x:v>Displayed as “5mo ago” on October 17, 2026</x:v>
      </x:c>
      <x:c r="G538" s="53" t="str">
        <x:v>Fan-made / non-canon</x:v>
      </x:c>
      <x:c r="H538" s="53" t="str">
        <x:v>AI fan film</x:v>
      </x:c>
      <x:c r="I538" s="53" t="str">
        <x:v>YouTube — Skywalker Stories</x:v>
      </x:c>
      <x:c r="J538" s="59" t="e">
        <x:f>HYPERLINK("https://www.youtube.com/watch?v=-bXYD7d1MMg","Open")</x:f>
        <x:v>HYPERLINK is not implemented. linkLocation=https://www.youtube.com/watch?v=-bXYD7d1MMg, friendlyName=Open</x:v>
      </x:c>
      <x:c r="K538" s="53" t="str">
        <x:v>Skywalker Stories. Immediately after Episode V: The Empire Strikes Back. Placement confidence: High.</x:v>
      </x:c>
      <x:c r="L538" s="76" t="str"/>
      <x:c r="M538" s="76" t="str">
        <x:v>Star Wars: Qui Gon Visits Darth Vader After His Fight With Luke Skywalker On Bespin</x:v>
      </x:c>
      <x:c r="N538" s="76" t="str"/>
      <x:c r="O538" s="76" t="str"/>
      <x:c r="P538" s="76" t="str"/>
      <x:c r="Q538" s="76" t="str">
        <x:v>Previously verified channel entry</x:v>
      </x:c>
      <x:c r="R538" s="76" t="str"/>
      <x:c r="S538" s="76" t="str"/>
      <x:c r="T538" s="76" t="str"/>
    </x:row>
    <x:row r="539" s="23" customFormat="1" ht="36" customHeight="1">
      <x:c r="A539" s="49" t="b">
        <x:v>0</x:v>
      </x:c>
      <x:c r="B539" s="56" t="str">
        <x:v>SWS-037</x:v>
      </x:c>
      <x:c r="C539" s="53" t="str">
        <x:v>Fan chronology — Galactic Civil War</x:v>
      </x:c>
      <x:c r="D539" s="53" t="str">
        <x:v>Star Wars: Qui-Gon Jinn visits Yoda on Dagobah after Luke Confronts Vader</x:v>
      </x:c>
      <x:c r="E539" s="53" t="str"/>
      <x:c r="F539" s="53" t="str">
        <x:v>Displayed as “1y ago” on October 17, 2026</x:v>
      </x:c>
      <x:c r="G539" s="53" t="str">
        <x:v>Fan-made / non-canon</x:v>
      </x:c>
      <x:c r="H539" s="53" t="str">
        <x:v>AI fan film</x:v>
      </x:c>
      <x:c r="I539" s="53" t="str">
        <x:v>YouTube — Skywalker Stories</x:v>
      </x:c>
      <x:c r="J539" s="59" t="e">
        <x:f>HYPERLINK("https://www.youtube.com/watch?v=Jeme4doSM34","Open")</x:f>
        <x:v>HYPERLINK is not implemented. linkLocation=https://www.youtube.com/watch?v=Jeme4doSM34, friendlyName=Open</x:v>
      </x:c>
      <x:c r="K539" s="53" t="str">
        <x:v>Skywalker Stories. Between Episodes V and VI, after Luke's confrontation with Vader. Placement confidence: High.</x:v>
      </x:c>
      <x:c r="L539" s="76" t="str"/>
      <x:c r="M539" s="76" t="str">
        <x:v>Star Wars: Qui-Gon Jinn visits Yoda on Dagobah after Luke Confronts Vader</x:v>
      </x:c>
      <x:c r="N539" s="76" t="str"/>
      <x:c r="O539" s="76" t="str"/>
      <x:c r="P539" s="76" t="str"/>
      <x:c r="Q539" s="76" t="str">
        <x:v>Previously verified channel entry</x:v>
      </x:c>
      <x:c r="R539" s="76" t="str"/>
      <x:c r="S539" s="76" t="str"/>
      <x:c r="T539" s="76" t="str"/>
    </x:row>
    <x:row r="540" s="23" customFormat="1" ht="36" customHeight="1">
      <x:c r="A540" s="49" t="b">
        <x:v>0</x:v>
      </x:c>
      <x:c r="B540" s="56" t="str">
        <x:v>SWS-028</x:v>
      </x:c>
      <x:c r="C540" s="53" t="str">
        <x:v>Fan chronology — Galactic Civil War</x:v>
      </x:c>
      <x:c r="D540" s="53" t="str">
        <x:v>Star Wars: Qui-Gon Visits Darth Vader After His Duel With Luke Skywalker On Bespin</x:v>
      </x:c>
      <x:c r="E540" s="53" t="str"/>
      <x:c r="F540" s="53" t="str">
        <x:v>Displayed as “1y ago” on October 17, 2026</x:v>
      </x:c>
      <x:c r="G540" s="53" t="str">
        <x:v>Fan-made / non-canon</x:v>
      </x:c>
      <x:c r="H540" s="53" t="str">
        <x:v>AI fan film</x:v>
      </x:c>
      <x:c r="I540" s="53" t="str">
        <x:v>YouTube — Skywalker Stories</x:v>
      </x:c>
      <x:c r="J540" s="59" t="e">
        <x:f>HYPERLINK("https://www.youtube.com/watch?v=f09zNDZNrro","Open")</x:f>
        <x:v>HYPERLINK is not implemented. linkLocation=https://www.youtube.com/watch?v=f09zNDZNrro, friendlyName=Open</x:v>
      </x:c>
      <x:c r="K540" s="53" t="str">
        <x:v>Skywalker Stories. Immediately after Episode V: The Empire Strikes Back. Placement confidence: High.</x:v>
      </x:c>
      <x:c r="L540" s="76" t="str"/>
      <x:c r="M540" s="76" t="str">
        <x:v>Star Wars: Qui-Gon Visits Darth Vader After His Duel With Luke Skywalker On Bespin</x:v>
      </x:c>
      <x:c r="N540" s="76" t="str"/>
      <x:c r="O540" s="76" t="str"/>
      <x:c r="P540" s="76" t="str"/>
      <x:c r="Q540" s="76" t="str">
        <x:v>Previously verified channel entry</x:v>
      </x:c>
      <x:c r="R540" s="76" t="str"/>
      <x:c r="S540" s="76" t="str"/>
      <x:c r="T540" s="76" t="str"/>
    </x:row>
    <x:row r="541" s="23" customFormat="1" ht="36" customHeight="1">
      <x:c r="A541" s="49" t="b">
        <x:v>0</x:v>
      </x:c>
      <x:c r="B541" s="56" t="str">
        <x:v>SWS-015</x:v>
      </x:c>
      <x:c r="C541" s="53" t="str">
        <x:v>Fan chronology — Galactic Civil War</x:v>
      </x:c>
      <x:c r="D541" s="53" t="str">
        <x:v>Star Wars: Qui-Gon Visits Darth Vader After His Fight With Luke Skywalker On Bespin</x:v>
      </x:c>
      <x:c r="E541" s="53" t="str"/>
      <x:c r="F541" s="53" t="str">
        <x:v>Displayed as “10mo ago” on October 17, 2026</x:v>
      </x:c>
      <x:c r="G541" s="53" t="str">
        <x:v>Fan-made / non-canon</x:v>
      </x:c>
      <x:c r="H541" s="53" t="str">
        <x:v>AI fan film</x:v>
      </x:c>
      <x:c r="I541" s="53" t="str">
        <x:v>YouTube — Skywalker Stories</x:v>
      </x:c>
      <x:c r="J541" s="59" t="e">
        <x:f>HYPERLINK("https://www.youtube.com/watch?v=TbI7E8OoXDI","Open")</x:f>
        <x:v>HYPERLINK is not implemented. linkLocation=https://www.youtube.com/watch?v=TbI7E8OoXDI, friendlyName=Open</x:v>
      </x:c>
      <x:c r="K541" s="53" t="str">
        <x:v>Skywalker Stories. Immediately after Episode V: The Empire Strikes Back. Placement confidence: High.</x:v>
      </x:c>
      <x:c r="L541" s="76" t="str"/>
      <x:c r="M541" s="76" t="str">
        <x:v>Star Wars: Qui-Gon Visits Darth Vader After His Fight With Luke Skywalker On Bespin</x:v>
      </x:c>
      <x:c r="N541" s="76" t="str"/>
      <x:c r="O541" s="76" t="str"/>
      <x:c r="P541" s="76" t="str"/>
      <x:c r="Q541" s="76" t="str">
        <x:v>Previously verified channel entry</x:v>
      </x:c>
      <x:c r="R541" s="76" t="str"/>
      <x:c r="S541" s="76" t="str"/>
      <x:c r="T541" s="76" t="str"/>
    </x:row>
    <x:row r="542" s="23" customFormat="1" ht="36" customHeight="1">
      <x:c r="A542" s="49" t="b">
        <x:v>0</x:v>
      </x:c>
      <x:c r="B542" s="56" t="str">
        <x:v>SWS-085</x:v>
      </x:c>
      <x:c r="C542" s="53" t="str">
        <x:v>Fan chronology — Galactic Civil War</x:v>
      </x:c>
      <x:c r="D542" s="53" t="str">
        <x:v>Tales of the Star Wars Galaxy: Darth Vader Learns He Has A Son</x:v>
      </x:c>
      <x:c r="E542" s="53" t="str"/>
      <x:c r="F542" s="53" t="str">
        <x:v>Displayed as “1y ago” on October 17, 2026</x:v>
      </x:c>
      <x:c r="G542" s="53" t="str">
        <x:v>Fan-made / non-canon</x:v>
      </x:c>
      <x:c r="H542" s="53" t="str">
        <x:v>AI fan film</x:v>
      </x:c>
      <x:c r="I542" s="53" t="str">
        <x:v>YouTube — Skywalker Stories</x:v>
      </x:c>
      <x:c r="J542" s="59" t="e">
        <x:f>HYPERLINK("https://www.youtube.com/watch?v=Qwz8KpGTztk","Open")</x:f>
        <x:v>HYPERLINK is not implemented. linkLocation=https://www.youtube.com/watch?v=Qwz8KpGTztk, friendlyName=Open</x:v>
      </x:c>
      <x:c r="K542" s="53" t="str">
        <x:v>Skywalker Stories. Between Episodes IV and V, after Vader learns Luke's identity. Placement confidence: High.</x:v>
      </x:c>
      <x:c r="L542" s="76" t="str"/>
      <x:c r="M542" s="76" t="str">
        <x:v>Tales of the Star Wars Galaxy: Darth Vader Learns He Has A Son</x:v>
      </x:c>
      <x:c r="N542" s="76" t="str"/>
      <x:c r="O542" s="76" t="str"/>
      <x:c r="P542" s="76" t="str"/>
      <x:c r="Q542" s="76" t="str">
        <x:v>Previously verified channel entry</x:v>
      </x:c>
      <x:c r="R542" s="76" t="str"/>
      <x:c r="S542" s="76" t="str"/>
      <x:c r="T542" s="76" t="str"/>
    </x:row>
    <x:row r="543" s="23" customFormat="1" ht="36" customHeight="1">
      <x:c r="A543" s="49" t="b">
        <x:v>0</x:v>
      </x:c>
      <x:c r="B543" s="56" t="str">
        <x:v>FV-0040</x:v>
      </x:c>
      <x:c r="C543" s="53" t="str">
        <x:v>Fan chronology — Galactic Civil War</x:v>
      </x:c>
      <x:c r="D543" s="53" t="str">
        <x:v>Jabba the Hutt: Han Delivered an Assassin! | Episode 1</x:v>
      </x:c>
      <x:c r="E543" s="53" t="str">
        <x:v>Episode 1</x:v>
      </x:c>
      <x:c r="F543" s="53" t="str">
        <x:v>October 11, 2026</x:v>
      </x:c>
      <x:c r="G543" s="53" t="str">
        <x:v>Fan-made / non-canon</x:v>
      </x:c>
      <x:c r="H543" s="53" t="str">
        <x:v>Fan video</x:v>
      </x:c>
      <x:c r="I543" s="53" t="str">
        <x:v>YouTube — search by title</x:v>
      </x:c>
      <x:c r="J543" s="59" t="e">
        <x:f>HYPERLINK("https://www.youtube.com/results?search_query=Jabba%20the%20Hutt%3A%20Han%20Delivered%20an%20Assassin!%20%7C%20Episode%201","Search")</x:f>
        <x:v>HYPERLINK is not implemented. linkLocation=https://www.youtube.com/results?search_query=Jabba%20the%20Hutt%3A%20Han%20Delivered%20an%20Assassin!%20%7C%20Episode%201, friendlyName=Search</x:v>
      </x:c>
      <x:c r="K543" s="53" t="str">
        <x:v>Before or during the original-trilogy period.</x:v>
      </x:c>
      <x:c r="L543" s="76" t="str">
        <x:v>Jabba the Hutt: Han Delivered an Assassin!</x:v>
      </x:c>
      <x:c r="M543" s="76" t="str">
        <x:v>Jabba the Hutt: Han Delivered an Assassin! | Episode 1</x:v>
      </x:c>
      <x:c r="N543" s="76"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543" s="76" t="str">
        <x:v>Galactic Civil War — Han Solo / Jabba era</x:v>
      </x:c>
      <x:c r="P543" s="76" t="str">
        <x:v>IMG_6223.PNG</x:v>
      </x:c>
      <x:c r="Q543" s="76" t="str">
        <x:v>OCR extracted / placement assigned</x:v>
      </x:c>
      <x:c r="R543" s="76" t="str">
        <x:v>Medium</x:v>
      </x:c>
      <x:c r="S543" s="76" t="str"/>
      <x:c r="T543" s="76" t="str">
        <x:v>Unique</x:v>
      </x:c>
    </x:row>
    <x:row r="544" s="23" customFormat="1" ht="36" customHeight="1">
      <x:c r="A544" s="49" t="b">
        <x:v>0</x:v>
      </x:c>
      <x:c r="B544" s="56" t="str">
        <x:v>FV-0117</x:v>
      </x:c>
      <x:c r="C544" s="53" t="str">
        <x:v>Fan chronology — Galactic Civil War</x:v>
      </x:c>
      <x:c r="D544" s="53" t="str">
        <x:v>Mara Jade: The Emperor’s Hand — Part 2 | The Trap Has Another Layer</x:v>
      </x:c>
      <x:c r="E544" s="53" t="str">
        <x:v>Part 2</x:v>
      </x:c>
      <x:c r="F544" s="53" t="str">
        <x:v>October 3, 2026</x:v>
      </x:c>
      <x:c r="G544" s="53" t="str">
        <x:v>Fan-made / non-canon</x:v>
      </x:c>
      <x:c r="H544" s="53" t="str">
        <x:v>Fan video</x:v>
      </x:c>
      <x:c r="I544" s="53" t="str">
        <x:v>YouTube — search by title</x:v>
      </x:c>
      <x:c r="J544" s="59" t="e">
        <x:f>HYPERLINK("https://www.youtube.com/results?search_query=Mara%20Jade%3A%20The%20Emperor%E2%80%99s%20Hand%20%E2%80%94%20Part%202%20%7C%20The%20Trap%20Has%20Another%20Layer","Search")</x:f>
        <x:v>HYPERLINK is not implemented. linkLocation=https://www.youtube.com/results?search_query=Mara%20Jade%3A%20The%20Emperor%E2%80%99s%20Hand%20%E2%80%94%20Part%202%20%7C%20The%20Trap%20Has%20Another%20Layer, friendlyName=Search</x:v>
      </x:c>
      <x:c r="K544" s="53" t="str">
        <x:v>Before the Emperor's death in Return of the Jedi.</x:v>
      </x:c>
      <x:c r="L544" s="76" t="str">
        <x:v>Mara Jade: The Emperor’s Hand</x:v>
      </x:c>
      <x:c r="M544" s="76" t="str">
        <x:v>Mara Jade: The Emperor’s Hand — Part 2 | The Trap Has Another Layer</x:v>
      </x:c>
      <x:c r="N544" s="76"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544" s="76" t="str">
        <x:v>Galactic Civil War — Mara Jade as Emperor's Hand</x:v>
      </x:c>
      <x:c r="P544" s="76" t="str">
        <x:v>IMG_6300.PNG</x:v>
      </x:c>
      <x:c r="Q544" s="76" t="str">
        <x:v>OCR extracted / placement assigned</x:v>
      </x:c>
      <x:c r="R544" s="76" t="str">
        <x:v>High</x:v>
      </x:c>
      <x:c r="S544" s="76" t="str"/>
      <x:c r="T544" s="76" t="str">
        <x:v>Unique</x:v>
      </x:c>
    </x:row>
    <x:row r="545" s="23" customFormat="1" ht="36" customHeight="1">
      <x:c r="A545" s="49" t="b">
        <x:v>0</x:v>
      </x:c>
      <x:c r="B545" s="56" t="str">
        <x:v>FV-0111</x:v>
      </x:c>
      <x:c r="C545" s="53" t="str">
        <x:v>Fan chronology — Galactic Civil War</x:v>
      </x:c>
      <x:c r="D545" s="53" t="str">
        <x:v>Mara Jade: The Emperor’s Hand — Part 3 | The Courier Was a Lie</x:v>
      </x:c>
      <x:c r="E545" s="53" t="str">
        <x:v>Part 3</x:v>
      </x:c>
      <x:c r="F545" s="53" t="str">
        <x:v>October 3, 2026</x:v>
      </x:c>
      <x:c r="G545" s="53" t="str">
        <x:v>Fan-made / non-canon</x:v>
      </x:c>
      <x:c r="H545" s="53" t="str">
        <x:v>Fan video</x:v>
      </x:c>
      <x:c r="I545" s="53" t="str">
        <x:v>YouTube — search by title</x:v>
      </x:c>
      <x:c r="J545" s="59" t="e">
        <x:f>HYPERLINK("https://www.youtube.com/results?search_query=Mara%20Jade%3A%20The%20Emperor%E2%80%99s%20Hand%20%E2%80%94%20Part%203%20%7C%20The%20Courier%20Was%20a%20Lie","Search")</x:f>
        <x:v>HYPERLINK is not implemented. linkLocation=https://www.youtube.com/results?search_query=Mara%20Jade%3A%20The%20Emperor%E2%80%99s%20Hand%20%E2%80%94%20Part%203%20%7C%20The%20Courier%20Was%20a%20Lie, friendlyName=Search</x:v>
      </x:c>
      <x:c r="K545" s="53" t="str">
        <x:v>Before the Emperor's death in Return of the Jedi.</x:v>
      </x:c>
      <x:c r="L545" s="76" t="str">
        <x:v>Mara Jade: The Emperor’s Hand</x:v>
      </x:c>
      <x:c r="M545" s="76" t="str">
        <x:v>Mara Jade: The Emperor’s Hand — Part 3 | The Courier Was a Lie</x:v>
      </x:c>
      <x:c r="N545" s="76"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545" s="76" t="str">
        <x:v>Galactic Civil War — Mara Jade as Emperor's Hand</x:v>
      </x:c>
      <x:c r="P545" s="76" t="str">
        <x:v>IMG_6294.PNG</x:v>
      </x:c>
      <x:c r="Q545" s="76" t="str">
        <x:v>OCR extracted / placement assigned</x:v>
      </x:c>
      <x:c r="R545" s="76" t="str">
        <x:v>High</x:v>
      </x:c>
      <x:c r="S545" s="76" t="str"/>
      <x:c r="T545" s="76" t="str">
        <x:v>Unique</x:v>
      </x:c>
    </x:row>
    <x:row r="546" s="23" customFormat="1" ht="36" customHeight="1">
      <x:c r="A546" s="49" t="b">
        <x:v>0</x:v>
      </x:c>
      <x:c r="B546" s="56" t="str">
        <x:v>FV-0107</x:v>
      </x:c>
      <x:c r="C546" s="53" t="str">
        <x:v>Fan chronology — Galactic Civil War</x:v>
      </x:c>
      <x:c r="D546" s="53" t="str">
        <x:v>Mara Jade: The Emperor’s Hand — Part 4 | She Hijacked His Escape @</x:v>
      </x:c>
      <x:c r="E546" s="53" t="str">
        <x:v>Part 4</x:v>
      </x:c>
      <x:c r="F546" s="53" t="str">
        <x:v>October 3, 2026</x:v>
      </x:c>
      <x:c r="G546" s="53" t="str">
        <x:v>Fan-made / non-canon</x:v>
      </x:c>
      <x:c r="H546" s="53" t="str">
        <x:v>Fan video</x:v>
      </x:c>
      <x:c r="I546" s="53" t="str">
        <x:v>YouTube — search by title</x:v>
      </x:c>
      <x:c r="J546" s="59" t="e">
        <x:f>HYPERLINK("https://www.youtube.com/results?search_query=Mara%20Jade%3A%20The%20Emperor%E2%80%99s%20Hand%20%E2%80%94%20Part%204%20%7C%20She%20Hijacked%20His%20Escape%20%40","Search")</x:f>
        <x:v>HYPERLINK is not implemented. linkLocation=https://www.youtube.com/results?search_query=Mara%20Jade%3A%20The%20Emperor%E2%80%99s%20Hand%20%E2%80%94%20Part%204%20%7C%20She%20Hijacked%20His%20Escape%20%40, friendlyName=Search</x:v>
      </x:c>
      <x:c r="K546" s="53" t="str">
        <x:v>Before the Emperor's death in Return of the Jedi.</x:v>
      </x:c>
      <x:c r="L546" s="76" t="str">
        <x:v>Mara Jade: The Emperor’s Hand</x:v>
      </x:c>
      <x:c r="M546" s="76" t="str">
        <x:v>Mara Jade: The Emperor’s Hand — Part 4 | She Hijacked His Escape @</x:v>
      </x:c>
      <x:c r="N546" s="76"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546" s="76" t="str">
        <x:v>Galactic Civil War — Mara Jade as Emperor's Hand</x:v>
      </x:c>
      <x:c r="P546" s="76" t="str">
        <x:v>IMG_6290.PNG</x:v>
      </x:c>
      <x:c r="Q546" s="76" t="str">
        <x:v>OCR extracted / placement assigned</x:v>
      </x:c>
      <x:c r="R546" s="76" t="str">
        <x:v>High</x:v>
      </x:c>
      <x:c r="S546" s="76" t="str"/>
      <x:c r="T546" s="76" t="str">
        <x:v>Unique</x:v>
      </x:c>
    </x:row>
    <x:row r="547" s="23" customFormat="1" ht="36" customHeight="1">
      <x:c r="A547" s="49" t="b">
        <x:v>0</x:v>
      </x:c>
      <x:c r="B547" s="56" t="str">
        <x:v>FV-0106</x:v>
      </x:c>
      <x:c r="C547" s="53" t="str">
        <x:v>Fan chronology — Galactic Civil War</x:v>
      </x:c>
      <x:c r="D547" s="53" t="str">
        <x:v>Mara Jade: The Emperor’s Hand — Part 5 | They Ordered Them Both Dead @</x:v>
      </x:c>
      <x:c r="E547" s="53" t="str">
        <x:v>Part 5</x:v>
      </x:c>
      <x:c r="F547" s="53" t="str">
        <x:v>October 3, 2026</x:v>
      </x:c>
      <x:c r="G547" s="53" t="str">
        <x:v>Fan-made / non-canon</x:v>
      </x:c>
      <x:c r="H547" s="53" t="str">
        <x:v>Fan video</x:v>
      </x:c>
      <x:c r="I547" s="53" t="str">
        <x:v>YouTube — search by title</x:v>
      </x:c>
      <x:c r="J547" s="59" t="e">
        <x:f>HYPERLINK("https://www.youtube.com/results?search_query=Mara%20Jade%3A%20The%20Emperor%E2%80%99s%20Hand%20%E2%80%94%20Part%205%20%7C%20They%20Ordered%20Them%20Both%20Dead%20%40","Search")</x:f>
        <x:v>HYPERLINK is not implemented. linkLocation=https://www.youtube.com/results?search_query=Mara%20Jade%3A%20The%20Emperor%E2%80%99s%20Hand%20%E2%80%94%20Part%205%20%7C%20They%20Ordered%20Them%20Both%20Dead%20%40, friendlyName=Search</x:v>
      </x:c>
      <x:c r="K547" s="53" t="str">
        <x:v>Before the Emperor's death in Return of the Jedi.</x:v>
      </x:c>
      <x:c r="L547" s="76" t="str">
        <x:v>Mara Jade: The Emperor’s Hand</x:v>
      </x:c>
      <x:c r="M547" s="76" t="str">
        <x:v>Mara Jade: The Emperor’s Hand — Part 5 | They Ordered Them Both Dead @</x:v>
      </x:c>
      <x:c r="N547" s="76"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547" s="76" t="str">
        <x:v>Galactic Civil War — Mara Jade as Emperor's Hand</x:v>
      </x:c>
      <x:c r="P547" s="76" t="str">
        <x:v>IMG_6289.PNG</x:v>
      </x:c>
      <x:c r="Q547" s="76" t="str">
        <x:v>OCR extracted / placement assigned</x:v>
      </x:c>
      <x:c r="R547" s="76" t="str">
        <x:v>High</x:v>
      </x:c>
      <x:c r="S547" s="76" t="str"/>
      <x:c r="T547" s="76" t="str">
        <x:v>Unique</x:v>
      </x:c>
    </x:row>
    <x:row r="548" s="23" customFormat="1" ht="36" customHeight="1">
      <x:c r="A548" s="49" t="b">
        <x:v>0</x:v>
      </x:c>
      <x:c r="B548" s="56" t="str">
        <x:v>FV-0104</x:v>
      </x:c>
      <x:c r="C548" s="53" t="str">
        <x:v>Fan chronology — Galactic Civil War</x:v>
      </x:c>
      <x:c r="D548" s="53" t="str">
        <x:v>Mara Jade: The Emperor’s Hand — Part 6 | They Already Recorded His Death é</x:v>
      </x:c>
      <x:c r="E548" s="53" t="str">
        <x:v>Part 6</x:v>
      </x:c>
      <x:c r="F548" s="53" t="str">
        <x:v>October 3, 2026</x:v>
      </x:c>
      <x:c r="G548" s="53" t="str">
        <x:v>Fan-made / non-canon</x:v>
      </x:c>
      <x:c r="H548" s="53" t="str">
        <x:v>Fan video</x:v>
      </x:c>
      <x:c r="I548" s="53" t="str">
        <x:v>YouTube — search by title</x:v>
      </x:c>
      <x:c r="J548" s="59" t="e">
        <x:f>HYPERLINK("https://www.youtube.com/results?search_query=Mara%20Jade%3A%20The%20Emperor%E2%80%99s%20Hand%20%E2%80%94%20Part%206%20%7C%20They%20Already%20Recorded%20His%20Death%20%C3%A9","Search")</x:f>
        <x:v>HYPERLINK is not implemented. linkLocation=https://www.youtube.com/results?search_query=Mara%20Jade%3A%20The%20Emperor%E2%80%99s%20Hand%20%E2%80%94%20Part%206%20%7C%20They%20Already%20Recorded%20His%20Death%20%C3%A9, friendlyName=Search</x:v>
      </x:c>
      <x:c r="K548" s="53" t="str">
        <x:v>Before the Emperor's death in Return of the Jedi.</x:v>
      </x:c>
      <x:c r="L548" s="76" t="str">
        <x:v>Mara Jade: The Emperor’s Hand</x:v>
      </x:c>
      <x:c r="M548" s="76" t="str">
        <x:v>Mara Jade: The Emperor’s Hand — Part 6 | They Already Recorded His Death é</x:v>
      </x:c>
      <x:c r="N548" s="76"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548" s="76" t="str">
        <x:v>Galactic Civil War — Mara Jade as Emperor's Hand</x:v>
      </x:c>
      <x:c r="P548" s="76" t="str">
        <x:v>IMG_6287.PNG</x:v>
      </x:c>
      <x:c r="Q548" s="76" t="str">
        <x:v>OCR extracted / placement assigned</x:v>
      </x:c>
      <x:c r="R548" s="76" t="str">
        <x:v>High</x:v>
      </x:c>
      <x:c r="S548" s="76" t="str"/>
      <x:c r="T548" s="76" t="str">
        <x:v>Unique</x:v>
      </x:c>
    </x:row>
    <x:row r="549" s="23" customFormat="1" ht="36" customHeight="1">
      <x:c r="A549" s="49" t="b">
        <x:v>0</x:v>
      </x:c>
      <x:c r="B549" s="56" t="str">
        <x:v>FV-0103</x:v>
      </x:c>
      <x:c r="C549" s="53" t="str">
        <x:v>Fan chronology — Galactic Civil War</x:v>
      </x:c>
      <x:c r="D549" s="53" t="str">
        <x:v>Mara Jade: The Emperor’s Hand — Part 7 | Their Escape Route Is for the Dead @</x:v>
      </x:c>
      <x:c r="E549" s="53" t="str">
        <x:v>Part 7</x:v>
      </x:c>
      <x:c r="F549" s="53" t="str">
        <x:v>October 3, 2026</x:v>
      </x:c>
      <x:c r="G549" s="53" t="str">
        <x:v>Fan-made / non-canon</x:v>
      </x:c>
      <x:c r="H549" s="53" t="str">
        <x:v>Fan video</x:v>
      </x:c>
      <x:c r="I549" s="53" t="str">
        <x:v>YouTube — search by title</x:v>
      </x:c>
      <x:c r="J549" s="59" t="e">
        <x:f>HYPERLINK("https://www.youtube.com/results?search_query=Mara%20Jade%3A%20The%20Emperor%E2%80%99s%20Hand%20%E2%80%94%20Part%207%20%7C%20Their%20Escape%20Route%20Is%20for%20the%20Dead%20%40","Search")</x:f>
        <x:v>HYPERLINK is not implemented. linkLocation=https://www.youtube.com/results?search_query=Mara%20Jade%3A%20The%20Emperor%E2%80%99s%20Hand%20%E2%80%94%20Part%207%20%7C%20Their%20Escape%20Route%20Is%20for%20the%20Dead%20%40, friendlyName=Search</x:v>
      </x:c>
      <x:c r="K549" s="53" t="str">
        <x:v>Before the Emperor's death in Return of the Jedi.</x:v>
      </x:c>
      <x:c r="L549" s="76" t="str">
        <x:v>Mara Jade: The Emperor’s Hand</x:v>
      </x:c>
      <x:c r="M549" s="76" t="str">
        <x:v>Mara Jade: The Emperor’s Hand — Part 7 | Their Escape Route Is for the Dead @</x:v>
      </x:c>
      <x:c r="N549" s="76"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549" s="76" t="str">
        <x:v>Galactic Civil War — Mara Jade as Emperor's Hand</x:v>
      </x:c>
      <x:c r="P549" s="76" t="str">
        <x:v>IMG_6286.PNG</x:v>
      </x:c>
      <x:c r="Q549" s="76" t="str">
        <x:v>OCR extracted / placement assigned</x:v>
      </x:c>
      <x:c r="R549" s="76" t="str">
        <x:v>High</x:v>
      </x:c>
      <x:c r="S549" s="76" t="str"/>
      <x:c r="T549" s="76" t="str">
        <x:v>Unique</x:v>
      </x:c>
    </x:row>
    <x:row r="550" s="23" customFormat="1" ht="36" customHeight="1">
      <x:c r="A550" s="49" t="b">
        <x:v>0</x:v>
      </x:c>
      <x:c r="B550" s="56" t="str">
        <x:v>FV-0262</x:v>
      </x:c>
      <x:c r="C550" s="53" t="str">
        <x:v>Fan chronology — Galactic Civil War</x:v>
      </x:c>
      <x:c r="D550" s="53" t="str">
        <x:v>MARA JADE: THE EMPEROR’S HAND — THE HUNT BEGINS</x:v>
      </x:c>
      <x:c r="E550" s="53" t="str"/>
      <x:c r="F550" s="53" t="str">
        <x:v>September 5, 2026</x:v>
      </x:c>
      <x:c r="G550" s="53" t="str">
        <x:v>Fan-made / non-canon</x:v>
      </x:c>
      <x:c r="H550" s="53" t="str">
        <x:v>Fan video</x:v>
      </x:c>
      <x:c r="I550" s="53" t="str">
        <x:v>YouTube — search by title</x:v>
      </x:c>
      <x:c r="J550" s="59" t="e">
        <x:f>HYPERLINK("https://www.youtube.com/results?search_query=MARA%20JADE%3A%20THE%20EMPEROR%E2%80%99S%20HAND%20%E2%80%94%20THE%20HUNT%20BEGINS","Search")</x:f>
        <x:v>HYPERLINK is not implemented. linkLocation=https://www.youtube.com/results?search_query=MARA%20JADE%3A%20THE%20EMPEROR%E2%80%99S%20HAND%20%E2%80%94%20THE%20HUNT%20BEGINS, friendlyName=Search</x:v>
      </x:c>
      <x:c r="K550" s="53" t="str">
        <x:v>Before the Emperor's death in Return of the Jedi.</x:v>
      </x:c>
      <x:c r="L550" s="76" t="str">
        <x:v>Mara Jade: The Emperor’s Hand</x:v>
      </x:c>
      <x:c r="M550" s="76" t="str">
        <x:v>MARA JADE: THE EMPEROR’S HAND — THE HUNT BEGINS</x:v>
      </x:c>
      <x:c r="N550" s="76"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550" s="76" t="str">
        <x:v>Galactic Civil War — Mara Jade as Emperor's Hand</x:v>
      </x:c>
      <x:c r="P550" s="76" t="str">
        <x:v>IMG_6447.PNG</x:v>
      </x:c>
      <x:c r="Q550" s="76" t="str">
        <x:v>OCR extracted / placement assigned</x:v>
      </x:c>
      <x:c r="R550" s="76" t="str">
        <x:v>High</x:v>
      </x:c>
      <x:c r="S550" s="76" t="str"/>
      <x:c r="T550" s="76" t="str">
        <x:v>Unique</x:v>
      </x:c>
    </x:row>
    <x:row r="551" s="23" customFormat="1" ht="36" customHeight="1">
      <x:c r="A551" s="49" t="b">
        <x:v>0</x:v>
      </x:c>
      <x:c r="B551" s="56" t="str">
        <x:v>FV-0118</x:v>
      </x:c>
      <x:c r="C551" s="53" t="str">
        <x:v>Fan chronology — Galactic Civil War</x:v>
      </x:c>
      <x:c r="D551" s="53" t="str">
        <x:v>Mara Jade: The Emperor’s Hand | Someone Set Her Up</x:v>
      </x:c>
      <x:c r="E551" s="53" t="str"/>
      <x:c r="F551" s="53" t="str">
        <x:v>October 2, 2026</x:v>
      </x:c>
      <x:c r="G551" s="53" t="str">
        <x:v>Fan-made / non-canon</x:v>
      </x:c>
      <x:c r="H551" s="53" t="str">
        <x:v>Fan video</x:v>
      </x:c>
      <x:c r="I551" s="53" t="str">
        <x:v>YouTube — search by title</x:v>
      </x:c>
      <x:c r="J551" s="59" t="e">
        <x:f>HYPERLINK("https://www.youtube.com/results?search_query=Mara%20Jade%3A%20The%20Emperor%E2%80%99s%20Hand%20%7C%20Someone%20Set%20Her%20Up","Search")</x:f>
        <x:v>HYPERLINK is not implemented. linkLocation=https://www.youtube.com/results?search_query=Mara%20Jade%3A%20The%20Emperor%E2%80%99s%20Hand%20%7C%20Someone%20Set%20Her%20Up, friendlyName=Search</x:v>
      </x:c>
      <x:c r="K551" s="53" t="str">
        <x:v>Before the Emperor's death in Return of the Jedi.</x:v>
      </x:c>
      <x:c r="L551" s="76" t="str">
        <x:v>Mara Jade: The Emperor’s Hand</x:v>
      </x:c>
      <x:c r="M551" s="76" t="str">
        <x:v>Mara Jade: The Emperor’s Hand | Someone Set Her Up</x:v>
      </x:c>
      <x:c r="N551" s="76"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551" s="76" t="str">
        <x:v>Galactic Civil War — Mara Jade as Emperor's Hand</x:v>
      </x:c>
      <x:c r="P551" s="76" t="str">
        <x:v>IMG_6301.PNG</x:v>
      </x:c>
      <x:c r="Q551" s="76" t="str">
        <x:v>OCR extracted / placement assigned</x:v>
      </x:c>
      <x:c r="R551" s="76" t="str">
        <x:v>High</x:v>
      </x:c>
      <x:c r="S551" s="76" t="str"/>
      <x:c r="T551" s="76" t="str">
        <x:v>Unique</x:v>
      </x:c>
    </x:row>
    <x:row r="552" s="23" customFormat="1" ht="36" customHeight="1">
      <x:c r="A552" s="49" t="b">
        <x:v>0</x:v>
      </x:c>
      <x:c r="B552" s="56" t="str">
        <x:v>FV-0401</x:v>
      </x:c>
      <x:c r="C552" s="53" t="str">
        <x:v>Fan chronology — Galactic Civil War</x:v>
      </x:c>
      <x:c r="D552" s="53" t="str">
        <x:v>The Emperor's Hand — The Last Warning</x:v>
      </x:c>
      <x:c r="E552" s="53" t="str"/>
      <x:c r="F552" s="53" t="str">
        <x:v>August 22, 2026</x:v>
      </x:c>
      <x:c r="G552" s="53" t="str">
        <x:v>Fan-made / non-canon</x:v>
      </x:c>
      <x:c r="H552" s="53" t="str">
        <x:v>Fan video</x:v>
      </x:c>
      <x:c r="I552" s="53" t="str">
        <x:v>YouTube — search by title</x:v>
      </x:c>
      <x:c r="J552" s="59" t="e">
        <x:f>HYPERLINK("https://www.youtube.com/results?search_query=The%20Emperor's%20Hand%20%E2%80%94%20The%20Last%20Warning","Search")</x:f>
        <x:v>HYPERLINK is not implemented. linkLocation=https://www.youtube.com/results?search_query=The%20Emperor's%20Hand%20%E2%80%94%20The%20Last%20Warning, friendlyName=Search</x:v>
      </x:c>
      <x:c r="K552" s="53" t="str">
        <x:v>Before the Emperor's death in Return of the Jedi.</x:v>
      </x:c>
      <x:c r="L552" s="76" t="str"/>
      <x:c r="M552" s="76" t="str">
        <x:v>The Emperor's Hand — The Last Warning</x:v>
      </x:c>
      <x:c r="N552" s="76"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552" s="76" t="str">
        <x:v>Galactic Civil War — Mara Jade as Emperor's Hand</x:v>
      </x:c>
      <x:c r="P552" s="76" t="str">
        <x:v>IMG_6587.PNG</x:v>
      </x:c>
      <x:c r="Q552" s="76" t="str">
        <x:v>OCR extracted / placement assigned</x:v>
      </x:c>
      <x:c r="R552" s="76" t="str">
        <x:v>High</x:v>
      </x:c>
      <x:c r="S552" s="76" t="str"/>
      <x:c r="T552" s="76" t="str">
        <x:v>Unique</x:v>
      </x:c>
    </x:row>
    <x:row r="553" s="23" customFormat="1" ht="36" customHeight="1">
      <x:c r="A553" s="49" t="b">
        <x:v>0</x:v>
      </x:c>
      <x:c r="B553" s="56" t="str">
        <x:v>FV-0279</x:v>
      </x:c>
      <x:c r="C553" s="53" t="str">
        <x:v>Fan chronology — Galactic Civil War</x:v>
      </x:c>
      <x:c r="D553" s="53" t="str">
        <x:v>The Emperor's Hand — They Knew Who Was Coming</x:v>
      </x:c>
      <x:c r="E553" s="53" t="str"/>
      <x:c r="F553" s="53" t="str">
        <x:v>September 3, 2026</x:v>
      </x:c>
      <x:c r="G553" s="53" t="str">
        <x:v>Fan-made / non-canon</x:v>
      </x:c>
      <x:c r="H553" s="53" t="str">
        <x:v>Fan video</x:v>
      </x:c>
      <x:c r="I553" s="53" t="str">
        <x:v>YouTube — search by title</x:v>
      </x:c>
      <x:c r="J553" s="59" t="e">
        <x:f>HYPERLINK("https://www.youtube.com/results?search_query=The%20Emperor's%20Hand%20%E2%80%94%20They%20Knew%20Who%20Was%20Coming","Search")</x:f>
        <x:v>HYPERLINK is not implemented. linkLocation=https://www.youtube.com/results?search_query=The%20Emperor's%20Hand%20%E2%80%94%20They%20Knew%20Who%20Was%20Coming, friendlyName=Search</x:v>
      </x:c>
      <x:c r="K553" s="53" t="str">
        <x:v>Before the Emperor's death in Return of the Jedi.</x:v>
      </x:c>
      <x:c r="L553" s="76" t="str"/>
      <x:c r="M553" s="76" t="str">
        <x:v>The Emperor's Hand — They Knew Who Was Coming</x:v>
      </x:c>
      <x:c r="N553" s="76"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553" s="76" t="str">
        <x:v>Galactic Civil War — Mara Jade as Emperor's Hand</x:v>
      </x:c>
      <x:c r="P553" s="76" t="str">
        <x:v>IMG_6464.PNG</x:v>
      </x:c>
      <x:c r="Q553" s="76" t="str">
        <x:v>OCR extracted / placement assigned</x:v>
      </x:c>
      <x:c r="R553" s="76" t="str">
        <x:v>High</x:v>
      </x:c>
      <x:c r="S553" s="76" t="str"/>
      <x:c r="T553" s="76" t="str">
        <x:v>Unique</x:v>
      </x:c>
    </x:row>
    <x:row r="554" s="23" customFormat="1" ht="36" customHeight="1">
      <x:c r="A554" s="49" t="b">
        <x:v>0</x:v>
      </x:c>
      <x:c r="B554" s="56" t="str">
        <x:v>SWS-113</x:v>
      </x:c>
      <x:c r="C554" s="53" t="str">
        <x:v>Fan chronology — New Republic</x:v>
      </x:c>
      <x:c r="D554" s="53" t="str">
        <x:v>Luke Skywalker Talks To Force Ghost Anakin Skywalker about Grogu (AI Audio) - Star Wars</x:v>
      </x:c>
      <x:c r="E554" s="53" t="str"/>
      <x:c r="F554" s="53" t="str">
        <x:v>Displayed as “3y ago” on October 17, 2026</x:v>
      </x:c>
      <x:c r="G554" s="53" t="str">
        <x:v>Fan-made / non-canon</x:v>
      </x:c>
      <x:c r="H554" s="53" t="str">
        <x:v>AI fan film</x:v>
      </x:c>
      <x:c r="I554" s="53" t="str">
        <x:v>YouTube — Skywalker Stories</x:v>
      </x:c>
      <x:c r="J554" s="59" t="e">
        <x:f>HYPERLINK("https://www.youtube.com/watch?v=joaCtSy4Z-M","Open")</x:f>
        <x:v>HYPERLINK is not implemented. linkLocation=https://www.youtube.com/watch?v=joaCtSy4Z-M, friendlyName=Open</x:v>
      </x:c>
      <x:c r="K554" s="53" t="str">
        <x:v>Skywalker Stories. Around The Mandalorian/The Book of Boba Fett era. Placement confidence: High.</x:v>
      </x:c>
      <x:c r="L554" s="76" t="str"/>
      <x:c r="M554" s="76" t="str">
        <x:v>Luke Skywalker Talks To Force Ghost Anakin Skywalker about Grogu (AI Audio) - Star Wars</x:v>
      </x:c>
      <x:c r="N554" s="76" t="str"/>
      <x:c r="O554" s="76" t="str"/>
      <x:c r="P554" s="76" t="str"/>
      <x:c r="Q554" s="76" t="str">
        <x:v>Previously verified channel entry</x:v>
      </x:c>
      <x:c r="R554" s="76" t="str"/>
      <x:c r="S554" s="76" t="str"/>
      <x:c r="T554" s="76" t="str"/>
    </x:row>
    <x:row r="555" s="23" customFormat="1" ht="36" customHeight="1">
      <x:c r="A555" s="49" t="b">
        <x:v>0</x:v>
      </x:c>
      <x:c r="B555" s="56" t="str">
        <x:v>SWS-048</x:v>
      </x:c>
      <x:c r="C555" s="53" t="str">
        <x:v>Fan chronology — New Republic</x:v>
      </x:c>
      <x:c r="D555" s="53" t="str">
        <x:v>Star Wars - Luke Skywalker tells Leia about how Vader turned back to the light</x:v>
      </x:c>
      <x:c r="E555" s="53" t="str"/>
      <x:c r="F555" s="53" t="str">
        <x:v>Displayed as “1y ago” on October 17, 2026</x:v>
      </x:c>
      <x:c r="G555" s="53" t="str">
        <x:v>Fan-made / non-canon</x:v>
      </x:c>
      <x:c r="H555" s="53" t="str">
        <x:v>AI fan film</x:v>
      </x:c>
      <x:c r="I555" s="53" t="str">
        <x:v>YouTube — Skywalker Stories</x:v>
      </x:c>
      <x:c r="J555" s="59" t="e">
        <x:f>HYPERLINK("https://www.youtube.com/watch?v=2iYI2anOeLs","Open")</x:f>
        <x:v>HYPERLINK is not implemented. linkLocation=https://www.youtube.com/watch?v=2iYI2anOeLs, friendlyName=Open</x:v>
      </x:c>
      <x:c r="K555" s="53" t="str">
        <x:v>Skywalker Stories. After Return of the Jedi, during Luke/Leia's reckoning with Anakin's redemption. Placement confidence: High.</x:v>
      </x:c>
      <x:c r="L555" s="76" t="str"/>
      <x:c r="M555" s="76" t="str">
        <x:v>Star Wars - Luke Skywalker tells Leia about how Vader turned back to the light</x:v>
      </x:c>
      <x:c r="N555" s="76" t="str"/>
      <x:c r="O555" s="76" t="str"/>
      <x:c r="P555" s="76" t="str"/>
      <x:c r="Q555" s="76" t="str">
        <x:v>Previously verified channel entry</x:v>
      </x:c>
      <x:c r="R555" s="76" t="str"/>
      <x:c r="S555" s="76" t="str"/>
      <x:c r="T555" s="76" t="str"/>
    </x:row>
    <x:row r="556" s="23" customFormat="1" ht="36" customHeight="1">
      <x:c r="A556" s="49" t="b">
        <x:v>0</x:v>
      </x:c>
      <x:c r="B556" s="56" t="str">
        <x:v>SWS-018</x:v>
      </x:c>
      <x:c r="C556" s="53" t="str">
        <x:v>Fan chronology — New Republic</x:v>
      </x:c>
      <x:c r="D556" s="53" t="str">
        <x:v>Star Wars: Anakin Skywalker Asks Leia For Forgiveness</x:v>
      </x:c>
      <x:c r="E556" s="53" t="str"/>
      <x:c r="F556" s="53" t="str">
        <x:v>Displayed as “10mo ago” on October 17, 2026</x:v>
      </x:c>
      <x:c r="G556" s="53" t="str">
        <x:v>Fan-made / non-canon</x:v>
      </x:c>
      <x:c r="H556" s="53" t="str">
        <x:v>AI fan film</x:v>
      </x:c>
      <x:c r="I556" s="53" t="str">
        <x:v>YouTube — Skywalker Stories</x:v>
      </x:c>
      <x:c r="J556" s="59" t="e">
        <x:f>HYPERLINK("https://www.youtube.com/watch?v=3nB_FrKHLNU","Open")</x:f>
        <x:v>HYPERLINK is not implemented. linkLocation=https://www.youtube.com/watch?v=3nB_FrKHLNU, friendlyName=Open</x:v>
      </x:c>
      <x:c r="K556" s="53" t="str">
        <x:v>Skywalker Stories. After Return of the Jedi, during Luke/Leia's reckoning with Anakin's redemption. Placement confidence: High. Separate upload sharing a title with another channel video.</x:v>
      </x:c>
      <x:c r="L556" s="76" t="str"/>
      <x:c r="M556" s="76" t="str">
        <x:v>Star Wars: Anakin Skywalker Asks Leia For Forgiveness</x:v>
      </x:c>
      <x:c r="N556" s="76" t="str"/>
      <x:c r="O556" s="76" t="str"/>
      <x:c r="P556" s="76" t="str"/>
      <x:c r="Q556" s="76" t="str">
        <x:v>Previously verified channel entry</x:v>
      </x:c>
      <x:c r="R556" s="76" t="str"/>
      <x:c r="S556" s="76" t="str"/>
      <x:c r="T556" s="76" t="str"/>
    </x:row>
    <x:row r="557" s="23" customFormat="1" ht="36" customHeight="1">
      <x:c r="A557" s="49" t="b">
        <x:v>0</x:v>
      </x:c>
      <x:c r="B557" s="56" t="str">
        <x:v>SWS-001</x:v>
      </x:c>
      <x:c r="C557" s="53" t="str">
        <x:v>Fan chronology — New Republic</x:v>
      </x:c>
      <x:c r="D557" s="53" t="str">
        <x:v>Star Wars: Anakin Skywalker Asks Leia For Forgiveness</x:v>
      </x:c>
      <x:c r="E557" s="53" t="str"/>
      <x:c r="F557" s="53" t="str">
        <x:v>September 18, 2026</x:v>
      </x:c>
      <x:c r="G557" s="53" t="str">
        <x:v>Fan-made / non-canon</x:v>
      </x:c>
      <x:c r="H557" s="53" t="str">
        <x:v>AI fan film</x:v>
      </x:c>
      <x:c r="I557" s="53" t="str">
        <x:v>YouTube — Skywalker Stories</x:v>
      </x:c>
      <x:c r="J557" s="59" t="e">
        <x:f>HYPERLINK("https://www.youtube.com/watch?v=sxo8lo7e7Q8","Open")</x:f>
        <x:v>HYPERLINK is not implemented. linkLocation=https://www.youtube.com/watch?v=sxo8lo7e7Q8, friendlyName=Open</x:v>
      </x:c>
      <x:c r="K557" s="53" t="str">
        <x:v>Skywalker Stories. After Return of the Jedi, during Luke/Leia's reckoning with Anakin's redemption. Placement confidence: High. Separate upload sharing a title with another channel video.</x:v>
      </x:c>
      <x:c r="L557" s="76" t="str"/>
      <x:c r="M557" s="76" t="str">
        <x:v>Star Wars: Anakin Skywalker Asks Leia For Forgiveness</x:v>
      </x:c>
      <x:c r="N557" s="76" t="str"/>
      <x:c r="O557" s="76" t="str"/>
      <x:c r="P557" s="76" t="str"/>
      <x:c r="Q557" s="76" t="str">
        <x:v>Previously verified channel entry</x:v>
      </x:c>
      <x:c r="R557" s="76" t="str"/>
      <x:c r="S557" s="76" t="str"/>
      <x:c r="T557" s="76" t="str"/>
    </x:row>
    <x:row r="558" s="23" customFormat="1" ht="36" customHeight="1">
      <x:c r="A558" s="49" t="b">
        <x:v>0</x:v>
      </x:c>
      <x:c r="B558" s="56" t="str">
        <x:v>SWS-019</x:v>
      </x:c>
      <x:c r="C558" s="53" t="str">
        <x:v>Fan chronology — New Republic</x:v>
      </x:c>
      <x:c r="D558" s="53" t="str">
        <x:v>Star Wars: Luke Skywalker and Anakin in The World Between Worlds</x:v>
      </x:c>
      <x:c r="E558" s="53" t="str"/>
      <x:c r="F558" s="53" t="str">
        <x:v>Displayed as “11mo ago” on October 17, 2026</x:v>
      </x:c>
      <x:c r="G558" s="53" t="str">
        <x:v>Fan-made / non-canon</x:v>
      </x:c>
      <x:c r="H558" s="53" t="str">
        <x:v>AI fan film</x:v>
      </x:c>
      <x:c r="I558" s="53" t="str">
        <x:v>YouTube — Skywalker Stories</x:v>
      </x:c>
      <x:c r="J558" s="59" t="e">
        <x:f>HYPERLINK("https://www.youtube.com/watch?v=nlYKedsYe50","Open")</x:f>
        <x:v>HYPERLINK is not implemented. linkLocation=https://www.youtube.com/watch?v=nlYKedsYe50, friendlyName=Open</x:v>
      </x:c>
      <x:c r="K558" s="53" t="str">
        <x:v>Skywalker Stories. New Republic era; speculative World Between Worlds encounter. Placement confidence: Medium.</x:v>
      </x:c>
      <x:c r="L558" s="76" t="str"/>
      <x:c r="M558" s="76" t="str">
        <x:v>Star Wars: Luke Skywalker and Anakin in The World Between Worlds</x:v>
      </x:c>
      <x:c r="N558" s="76" t="str"/>
      <x:c r="O558" s="76" t="str"/>
      <x:c r="P558" s="76" t="str"/>
      <x:c r="Q558" s="76" t="str">
        <x:v>Previously verified channel entry</x:v>
      </x:c>
      <x:c r="R558" s="76" t="str"/>
      <x:c r="S558" s="76" t="str"/>
      <x:c r="T558" s="76" t="str"/>
    </x:row>
    <x:row r="559" s="23" customFormat="1" ht="36" customHeight="1">
      <x:c r="A559" s="49" t="b">
        <x:v>0</x:v>
      </x:c>
      <x:c r="B559" s="56" t="str">
        <x:v>SWS-002</x:v>
      </x:c>
      <x:c r="C559" s="53" t="str">
        <x:v>Fan chronology — New Republic</x:v>
      </x:c>
      <x:c r="D559" s="53" t="str">
        <x:v>Star Wars: Luke Skywalker and Anakin Skywalker in The World Between Worlds</x:v>
      </x:c>
      <x:c r="E559" s="53" t="str"/>
      <x:c r="F559" s="53" t="str">
        <x:v>Displayed as “1mo ago” on October 17, 2026</x:v>
      </x:c>
      <x:c r="G559" s="53" t="str">
        <x:v>Fan-made / non-canon</x:v>
      </x:c>
      <x:c r="H559" s="53" t="str">
        <x:v>AI fan film</x:v>
      </x:c>
      <x:c r="I559" s="53" t="str">
        <x:v>YouTube — Skywalker Stories</x:v>
      </x:c>
      <x:c r="J559" s="59" t="e">
        <x:f>HYPERLINK("https://www.youtube.com/watch?v=qInG0fDGyRA","Open")</x:f>
        <x:v>HYPERLINK is not implemented. linkLocation=https://www.youtube.com/watch?v=qInG0fDGyRA, friendlyName=Open</x:v>
      </x:c>
      <x:c r="K559" s="53" t="str">
        <x:v>Skywalker Stories. New Republic era; speculative World Between Worlds encounter. Placement confidence: Medium.</x:v>
      </x:c>
      <x:c r="L559" s="76" t="str"/>
      <x:c r="M559" s="76" t="str">
        <x:v>Star Wars: Luke Skywalker and Anakin Skywalker in The World Between Worlds</x:v>
      </x:c>
      <x:c r="N559" s="76" t="str"/>
      <x:c r="O559" s="76" t="str"/>
      <x:c r="P559" s="76" t="str"/>
      <x:c r="Q559" s="76" t="str">
        <x:v>Previously verified channel entry</x:v>
      </x:c>
      <x:c r="R559" s="76" t="str"/>
      <x:c r="S559" s="76" t="str"/>
      <x:c r="T559" s="76" t="str"/>
    </x:row>
    <x:row r="560" s="23" customFormat="1" ht="36" customHeight="1">
      <x:c r="A560" s="49" t="b">
        <x:v>0</x:v>
      </x:c>
      <x:c r="B560" s="56" t="str">
        <x:v>SWS-014</x:v>
      </x:c>
      <x:c r="C560" s="53" t="str">
        <x:v>Fan chronology — New Republic</x:v>
      </x:c>
      <x:c r="D560" s="53" t="str">
        <x:v>Star Wars: Luke Skywalker Encounters Darth Bane &amp; Begins The Jedi Academy</x:v>
      </x:c>
      <x:c r="E560" s="53" t="str"/>
      <x:c r="F560" s="53" t="str">
        <x:v>Displayed as “9mo ago” on October 17, 2026</x:v>
      </x:c>
      <x:c r="G560" s="53" t="str">
        <x:v>Fan-made / non-canon</x:v>
      </x:c>
      <x:c r="H560" s="53" t="str">
        <x:v>AI fan film</x:v>
      </x:c>
      <x:c r="I560" s="53" t="str">
        <x:v>YouTube — Skywalker Stories</x:v>
      </x:c>
      <x:c r="J560" s="59" t="e">
        <x:f>HYPERLINK("https://www.youtube.com/watch?v=G_Ugr_O0-8k","Open")</x:f>
        <x:v>HYPERLINK is not implemented. linkLocation=https://www.youtube.com/watch?v=G_Ugr_O0-8k, friendlyName=Open</x:v>
      </x:c>
      <x:c r="K560" s="53" t="str">
        <x:v>Skywalker Stories. Early New Republic, while Luke establishes his Jedi academy. Placement confidence: High.</x:v>
      </x:c>
      <x:c r="L560" s="76" t="str"/>
      <x:c r="M560" s="76" t="str">
        <x:v>Star Wars: Luke Skywalker Encounters Darth Bane &amp; Begins The Jedi Academy</x:v>
      </x:c>
      <x:c r="N560" s="76" t="str"/>
      <x:c r="O560" s="76" t="str"/>
      <x:c r="P560" s="76" t="str"/>
      <x:c r="Q560" s="76" t="str">
        <x:v>Previously verified channel entry</x:v>
      </x:c>
      <x:c r="R560" s="76" t="str"/>
      <x:c r="S560" s="76" t="str"/>
      <x:c r="T560" s="76" t="str"/>
    </x:row>
    <x:row r="561" s="23" customFormat="1" ht="36" customHeight="1">
      <x:c r="A561" s="49" t="b">
        <x:v>0</x:v>
      </x:c>
      <x:c r="B561" s="56" t="str">
        <x:v>SWS-034</x:v>
      </x:c>
      <x:c r="C561" s="53" t="str">
        <x:v>Fan chronology — New Republic</x:v>
      </x:c>
      <x:c r="D561" s="53" t="str">
        <x:v>Star Wars: Luke Skywalker Guided By Anakin Skywalker &amp; Obi Wan On Rebuilding the Jedi Order</x:v>
      </x:c>
      <x:c r="E561" s="53" t="str"/>
      <x:c r="F561" s="53" t="str">
        <x:v>Displayed as “1y ago” on October 17, 2026</x:v>
      </x:c>
      <x:c r="G561" s="53" t="str">
        <x:v>Fan-made / non-canon</x:v>
      </x:c>
      <x:c r="H561" s="53" t="str">
        <x:v>AI fan film</x:v>
      </x:c>
      <x:c r="I561" s="53" t="str">
        <x:v>YouTube — Skywalker Stories</x:v>
      </x:c>
      <x:c r="J561" s="59" t="e">
        <x:f>HYPERLINK("https://www.youtube.com/watch?v=ryZqmDReUmg","Open")</x:f>
        <x:v>HYPERLINK is not implemented. linkLocation=https://www.youtube.com/watch?v=ryZqmDReUmg, friendlyName=Open</x:v>
      </x:c>
      <x:c r="K561" s="53" t="str">
        <x:v>Skywalker Stories. Early New Republic, while Luke establishes his Jedi academy. Placement confidence: High.</x:v>
      </x:c>
      <x:c r="L561" s="76" t="str"/>
      <x:c r="M561" s="76" t="str">
        <x:v>Star Wars: Luke Skywalker Guided By Anakin Skywalker &amp; Obi Wan On Rebuilding the Jedi Order</x:v>
      </x:c>
      <x:c r="N561" s="76" t="str"/>
      <x:c r="O561" s="76" t="str"/>
      <x:c r="P561" s="76" t="str"/>
      <x:c r="Q561" s="76" t="str">
        <x:v>Previously verified channel entry</x:v>
      </x:c>
      <x:c r="R561" s="76" t="str"/>
      <x:c r="S561" s="76" t="str"/>
      <x:c r="T561" s="76" t="str"/>
    </x:row>
    <x:row r="562" s="23" customFormat="1" ht="36" customHeight="1">
      <x:c r="A562" s="49" t="b">
        <x:v>0</x:v>
      </x:c>
      <x:c r="B562" s="56" t="str">
        <x:v>SWS-024</x:v>
      </x:c>
      <x:c r="C562" s="53" t="str">
        <x:v>Fan chronology — New Republic</x:v>
      </x:c>
      <x:c r="D562" s="53" t="str">
        <x:v>Star Wars: Luke Skywalker Speaks To Qui Gon Jinn and Begins The Jedi Academy</x:v>
      </x:c>
      <x:c r="E562" s="53" t="str"/>
      <x:c r="F562" s="53" t="str">
        <x:v>Displayed as “1y ago” on October 17, 2026</x:v>
      </x:c>
      <x:c r="G562" s="53" t="str">
        <x:v>Fan-made / non-canon</x:v>
      </x:c>
      <x:c r="H562" s="53" t="str">
        <x:v>AI fan film</x:v>
      </x:c>
      <x:c r="I562" s="53" t="str">
        <x:v>YouTube — Skywalker Stories</x:v>
      </x:c>
      <x:c r="J562" s="59" t="e">
        <x:f>HYPERLINK("https://www.youtube.com/watch?v=jKXpZXp1A6s","Open")</x:f>
        <x:v>HYPERLINK is not implemented. linkLocation=https://www.youtube.com/watch?v=jKXpZXp1A6s, friendlyName=Open</x:v>
      </x:c>
      <x:c r="K562" s="53" t="str">
        <x:v>Skywalker Stories. Early New Republic, while Luke establishes his Jedi academy. Placement confidence: High.</x:v>
      </x:c>
      <x:c r="L562" s="76" t="str"/>
      <x:c r="M562" s="76" t="str">
        <x:v>Star Wars: Luke Skywalker Speaks To Qui Gon Jinn and Begins The Jedi Academy</x:v>
      </x:c>
      <x:c r="N562" s="76" t="str"/>
      <x:c r="O562" s="76" t="str"/>
      <x:c r="P562" s="76" t="str"/>
      <x:c r="Q562" s="76" t="str">
        <x:v>Previously verified channel entry</x:v>
      </x:c>
      <x:c r="R562" s="76" t="str"/>
      <x:c r="S562" s="76" t="str"/>
      <x:c r="T562" s="76" t="str"/>
    </x:row>
    <x:row r="563" s="23" customFormat="1" ht="36" customHeight="1">
      <x:c r="A563" s="49" t="b">
        <x:v>0</x:v>
      </x:c>
      <x:c r="B563" s="56" t="str">
        <x:v>SWS-038</x:v>
      </x:c>
      <x:c r="C563" s="53" t="str">
        <x:v>Fan chronology — New Republic</x:v>
      </x:c>
      <x:c r="D563" s="53" t="str">
        <x:v>Star Wars: The Redemption of Anakin Skywalker</x:v>
      </x:c>
      <x:c r="E563" s="53" t="str"/>
      <x:c r="F563" s="53" t="str">
        <x:v>Displayed as “1y ago” on October 17, 2026</x:v>
      </x:c>
      <x:c r="G563" s="53" t="str">
        <x:v>Fan-made / non-canon</x:v>
      </x:c>
      <x:c r="H563" s="53" t="str">
        <x:v>AI fan film</x:v>
      </x:c>
      <x:c r="I563" s="53" t="str">
        <x:v>YouTube — Skywalker Stories</x:v>
      </x:c>
      <x:c r="J563" s="59" t="e">
        <x:f>HYPERLINK("https://www.youtube.com/watch?v=9QCkvkbloUA","Open")</x:f>
        <x:v>HYPERLINK is not implemented. linkLocation=https://www.youtube.com/watch?v=9QCkvkbloUA, friendlyName=Open</x:v>
      </x:c>
      <x:c r="K563" s="53" t="str">
        <x:v>Skywalker Stories. Immediately after Return of the Jedi; redemption/Force-ghost epilogue. Placement confidence: Medium.</x:v>
      </x:c>
      <x:c r="L563" s="76" t="str"/>
      <x:c r="M563" s="76" t="str">
        <x:v>Star Wars: The Redemption of Anakin Skywalker</x:v>
      </x:c>
      <x:c r="N563" s="76" t="str"/>
      <x:c r="O563" s="76" t="str"/>
      <x:c r="P563" s="76" t="str"/>
      <x:c r="Q563" s="76" t="str">
        <x:v>Previously verified channel entry</x:v>
      </x:c>
      <x:c r="R563" s="76" t="str"/>
      <x:c r="S563" s="76" t="str"/>
      <x:c r="T563" s="76" t="str"/>
    </x:row>
    <x:row r="564" s="23" customFormat="1" ht="36" customHeight="1">
      <x:c r="A564" s="49" t="b">
        <x:v>0</x:v>
      </x:c>
      <x:c r="B564" s="56" t="str">
        <x:v>SWS-091</x:v>
      </x:c>
      <x:c r="C564" s="53" t="str">
        <x:v>Fan chronology — New Republic</x:v>
      </x:c>
      <x:c r="D564" s="53" t="str">
        <x:v>Tales of the Star Wars Galaxy: Anakin Skywalker and Obi Wan talk to Luke Skywalker about Baylan</x:v>
      </x:c>
      <x:c r="E564" s="53" t="str"/>
      <x:c r="F564" s="53" t="str">
        <x:v>Displayed as “2y ago” on October 17, 2026</x:v>
      </x:c>
      <x:c r="G564" s="53" t="str">
        <x:v>Fan-made / non-canon</x:v>
      </x:c>
      <x:c r="H564" s="53" t="str">
        <x:v>AI fan film</x:v>
      </x:c>
      <x:c r="I564" s="53" t="str">
        <x:v>YouTube — Skywalker Stories</x:v>
      </x:c>
      <x:c r="J564" s="59" t="e">
        <x:f>HYPERLINK("https://www.youtube.com/watch?v=hn-1oxgU4gI","Open")</x:f>
        <x:v>HYPERLINK is not implemented. linkLocation=https://www.youtube.com/watch?v=hn-1oxgU4gI, friendlyName=Open</x:v>
      </x:c>
      <x:c r="K564" s="53" t="str">
        <x:v>Skywalker Stories. After Ahsoka, during Luke's New Republic-era Jedi work. Placement confidence: Medium.</x:v>
      </x:c>
      <x:c r="L564" s="76" t="str"/>
      <x:c r="M564" s="76" t="str">
        <x:v>Tales of the Star Wars Galaxy: Anakin Skywalker and Obi Wan talk to Luke Skywalker about Baylan</x:v>
      </x:c>
      <x:c r="N564" s="76" t="str"/>
      <x:c r="O564" s="76" t="str"/>
      <x:c r="P564" s="76" t="str"/>
      <x:c r="Q564" s="76" t="str">
        <x:v>Previously verified channel entry</x:v>
      </x:c>
      <x:c r="R564" s="76" t="str"/>
      <x:c r="S564" s="76" t="str"/>
      <x:c r="T564" s="76" t="str"/>
    </x:row>
    <x:row r="565" s="23" customFormat="1" ht="36" customHeight="1">
      <x:c r="A565" s="49" t="b">
        <x:v>0</x:v>
      </x:c>
      <x:c r="B565" s="56" t="str">
        <x:v>SWS-058</x:v>
      </x:c>
      <x:c r="C565" s="53" t="str">
        <x:v>Fan chronology — New Republic</x:v>
      </x:c>
      <x:c r="D565" s="53" t="str">
        <x:v>Tales of the Star Wars Galaxy: Anakin Skywalker Asks Leia For Forgiveness</x:v>
      </x:c>
      <x:c r="E565" s="53" t="str"/>
      <x:c r="F565" s="53" t="str">
        <x:v>Displayed as “1y ago” on October 17, 2026</x:v>
      </x:c>
      <x:c r="G565" s="53" t="str">
        <x:v>Fan-made / non-canon</x:v>
      </x:c>
      <x:c r="H565" s="53" t="str">
        <x:v>AI fan film</x:v>
      </x:c>
      <x:c r="I565" s="53" t="str">
        <x:v>YouTube — Skywalker Stories</x:v>
      </x:c>
      <x:c r="J565" s="59" t="e">
        <x:f>HYPERLINK("https://www.youtube.com/watch?v=__94Dx8HHxE","Open")</x:f>
        <x:v>HYPERLINK is not implemented. linkLocation=https://www.youtube.com/watch?v=__94Dx8HHxE, friendlyName=Open</x:v>
      </x:c>
      <x:c r="K565" s="53" t="str">
        <x:v>Skywalker Stories. After Return of the Jedi, during Luke/Leia's reckoning with Anakin's redemption. Placement confidence: High.</x:v>
      </x:c>
      <x:c r="L565" s="76" t="str"/>
      <x:c r="M565" s="76" t="str">
        <x:v>Tales of the Star Wars Galaxy: Anakin Skywalker Asks Leia For Forgiveness</x:v>
      </x:c>
      <x:c r="N565" s="76" t="str"/>
      <x:c r="O565" s="76" t="str"/>
      <x:c r="P565" s="76" t="str"/>
      <x:c r="Q565" s="76" t="str">
        <x:v>Previously verified channel entry</x:v>
      </x:c>
      <x:c r="R565" s="76" t="str"/>
      <x:c r="S565" s="76" t="str"/>
      <x:c r="T565" s="76" t="str"/>
    </x:row>
    <x:row r="566" s="23" customFormat="1" ht="36" customHeight="1">
      <x:c r="A566" s="49" t="b">
        <x:v>0</x:v>
      </x:c>
      <x:c r="B566" s="56" t="str">
        <x:v>SWS-101</x:v>
      </x:c>
      <x:c r="C566" s="53" t="str">
        <x:v>Fan chronology — New Republic</x:v>
      </x:c>
      <x:c r="D566" s="53" t="str">
        <x:v>Tales of the Star Wars Galaxy: Anakin Skywalker seeks forgiveness from Leia</x:v>
      </x:c>
      <x:c r="E566" s="53" t="str"/>
      <x:c r="F566" s="53" t="str">
        <x:v>Displayed as “2y ago” on October 17, 2026</x:v>
      </x:c>
      <x:c r="G566" s="53" t="str">
        <x:v>Fan-made / non-canon</x:v>
      </x:c>
      <x:c r="H566" s="53" t="str">
        <x:v>AI fan film</x:v>
      </x:c>
      <x:c r="I566" s="53" t="str">
        <x:v>YouTube — Skywalker Stories</x:v>
      </x:c>
      <x:c r="J566" s="59" t="e">
        <x:f>HYPERLINK("https://www.youtube.com/watch?v=cixOJY_4VM0","Open")</x:f>
        <x:v>HYPERLINK is not implemented. linkLocation=https://www.youtube.com/watch?v=cixOJY_4VM0, friendlyName=Open</x:v>
      </x:c>
      <x:c r="K566" s="53" t="str">
        <x:v>Skywalker Stories. After Return of the Jedi, during Luke/Leia's reckoning with Anakin's redemption. Placement confidence: High.</x:v>
      </x:c>
      <x:c r="L566" s="76" t="str"/>
      <x:c r="M566" s="76" t="str">
        <x:v>Tales of the Star Wars Galaxy: Anakin Skywalker seeks forgiveness from Leia</x:v>
      </x:c>
      <x:c r="N566" s="76" t="str"/>
      <x:c r="O566" s="76" t="str"/>
      <x:c r="P566" s="76" t="str"/>
      <x:c r="Q566" s="76" t="str">
        <x:v>Previously verified channel entry</x:v>
      </x:c>
      <x:c r="R566" s="76" t="str"/>
      <x:c r="S566" s="76" t="str"/>
      <x:c r="T566" s="76" t="str"/>
    </x:row>
    <x:row r="567" s="23" customFormat="1" ht="36" customHeight="1">
      <x:c r="A567" s="49" t="b">
        <x:v>0</x:v>
      </x:c>
      <x:c r="B567" s="56" t="str">
        <x:v>SWS-108</x:v>
      </x:c>
      <x:c r="C567" s="53" t="str">
        <x:v>Fan chronology — New Republic</x:v>
      </x:c>
      <x:c r="D567" s="53" t="str">
        <x:v>Tales of the Star Wars Galaxy: Anakin Skywalker visits Luke Skywalker about Grogu</x:v>
      </x:c>
      <x:c r="E567" s="53" t="str"/>
      <x:c r="F567" s="53" t="str">
        <x:v>Displayed as “2y ago” on October 17, 2026</x:v>
      </x:c>
      <x:c r="G567" s="53" t="str">
        <x:v>Fan-made / non-canon</x:v>
      </x:c>
      <x:c r="H567" s="53" t="str">
        <x:v>AI fan film</x:v>
      </x:c>
      <x:c r="I567" s="53" t="str">
        <x:v>YouTube — Skywalker Stories</x:v>
      </x:c>
      <x:c r="J567" s="59" t="e">
        <x:f>HYPERLINK("https://www.youtube.com/watch?v=bMgCYBvwsf0","Open")</x:f>
        <x:v>HYPERLINK is not implemented. linkLocation=https://www.youtube.com/watch?v=bMgCYBvwsf0, friendlyName=Open</x:v>
      </x:c>
      <x:c r="K567" s="53" t="str">
        <x:v>Skywalker Stories. Around The Mandalorian/The Book of Boba Fett era. Placement confidence: High.</x:v>
      </x:c>
      <x:c r="L567" s="76" t="str"/>
      <x:c r="M567" s="76" t="str">
        <x:v>Tales of the Star Wars Galaxy: Anakin Skywalker visits Luke Skywalker about Grogu</x:v>
      </x:c>
      <x:c r="N567" s="76" t="str"/>
      <x:c r="O567" s="76" t="str"/>
      <x:c r="P567" s="76" t="str"/>
      <x:c r="Q567" s="76" t="str">
        <x:v>Previously verified channel entry</x:v>
      </x:c>
      <x:c r="R567" s="76" t="str"/>
      <x:c r="S567" s="76" t="str"/>
      <x:c r="T567" s="76" t="str"/>
    </x:row>
    <x:row r="568" s="23" customFormat="1" ht="36" customHeight="1">
      <x:c r="A568" s="49" t="b">
        <x:v>0</x:v>
      </x:c>
      <x:c r="B568" s="56" t="str">
        <x:v>SWS-063</x:v>
      </x:c>
      <x:c r="C568" s="53" t="str">
        <x:v>Fan chronology — New Republic</x:v>
      </x:c>
      <x:c r="D568" s="53" t="str">
        <x:v>Tales of the Star Wars Galaxy: Cal Kestis meets Luke Skywalker</x:v>
      </x:c>
      <x:c r="E568" s="53" t="str"/>
      <x:c r="F568" s="53" t="str">
        <x:v>Displayed as “1y ago” on October 17, 2026</x:v>
      </x:c>
      <x:c r="G568" s="53" t="str">
        <x:v>Fan-made / non-canon</x:v>
      </x:c>
      <x:c r="H568" s="53" t="str">
        <x:v>AI fan film</x:v>
      </x:c>
      <x:c r="I568" s="53" t="str">
        <x:v>YouTube — Skywalker Stories</x:v>
      </x:c>
      <x:c r="J568" s="59" t="e">
        <x:f>HYPERLINK("https://www.youtube.com/watch?v=_f-gTUDm-Nk","Open")</x:f>
        <x:v>HYPERLINK is not implemented. linkLocation=https://www.youtube.com/watch?v=_f-gTUDm-Nk, friendlyName=Open</x:v>
      </x:c>
      <x:c r="K568" s="53" t="str">
        <x:v>Skywalker Stories. Speculative post-Endor meeting; Cal Kestis's status makes placement uncertain. Placement confidence: Low.</x:v>
      </x:c>
      <x:c r="L568" s="76" t="str"/>
      <x:c r="M568" s="76" t="str">
        <x:v>Tales of the Star Wars Galaxy: Cal Kestis meets Luke Skywalker</x:v>
      </x:c>
      <x:c r="N568" s="76" t="str"/>
      <x:c r="O568" s="76" t="str"/>
      <x:c r="P568" s="76" t="str"/>
      <x:c r="Q568" s="76" t="str">
        <x:v>Previously verified channel entry</x:v>
      </x:c>
      <x:c r="R568" s="76" t="str"/>
      <x:c r="S568" s="76" t="str"/>
      <x:c r="T568" s="76" t="str"/>
    </x:row>
    <x:row r="569" s="23" customFormat="1" ht="36" customHeight="1">
      <x:c r="A569" s="49" t="b">
        <x:v>0</x:v>
      </x:c>
      <x:c r="B569" s="56" t="str">
        <x:v>SWS-078</x:v>
      </x:c>
      <x:c r="C569" s="53" t="str">
        <x:v>Fan chronology — New Republic</x:v>
      </x:c>
      <x:c r="D569" s="53" t="str">
        <x:v>Tales of the Star Wars Galaxy: Din Djarin and Boba Fett seek out Luke Skywalker about Thrawn</x:v>
      </x:c>
      <x:c r="E569" s="53" t="str"/>
      <x:c r="F569" s="53" t="str">
        <x:v>Displayed as “1y ago” on October 17, 2026</x:v>
      </x:c>
      <x:c r="G569" s="53" t="str">
        <x:v>Fan-made / non-canon</x:v>
      </x:c>
      <x:c r="H569" s="53" t="str">
        <x:v>AI fan film</x:v>
      </x:c>
      <x:c r="I569" s="53" t="str">
        <x:v>YouTube — Skywalker Stories</x:v>
      </x:c>
      <x:c r="J569" s="59" t="e">
        <x:f>HYPERLINK("https://www.youtube.com/watch?v=0tdxW14paxU","Open")</x:f>
        <x:v>HYPERLINK is not implemented. linkLocation=https://www.youtube.com/watch?v=0tdxW14paxU, friendlyName=Open</x:v>
      </x:c>
      <x:c r="K569" s="53" t="str">
        <x:v>Skywalker Stories. New Republic era, after Luke meets Din Djarin and Grogu. Placement confidence: Medium.</x:v>
      </x:c>
      <x:c r="L569" s="76" t="str"/>
      <x:c r="M569" s="76" t="str">
        <x:v>Tales of the Star Wars Galaxy: Din Djarin and Boba Fett seek out Luke Skywalker about Thrawn</x:v>
      </x:c>
      <x:c r="N569" s="76" t="str"/>
      <x:c r="O569" s="76" t="str"/>
      <x:c r="P569" s="76" t="str"/>
      <x:c r="Q569" s="76" t="str">
        <x:v>Previously verified channel entry</x:v>
      </x:c>
      <x:c r="R569" s="76" t="str"/>
      <x:c r="S569" s="76" t="str"/>
      <x:c r="T569" s="76" t="str"/>
    </x:row>
    <x:row r="570" s="23" customFormat="1" ht="36" customHeight="1">
      <x:c r="A570" s="49" t="b">
        <x:v>0</x:v>
      </x:c>
      <x:c r="B570" s="56" t="str">
        <x:v>SWS-104</x:v>
      </x:c>
      <x:c r="C570" s="53" t="str">
        <x:v>Fan chronology — New Republic</x:v>
      </x:c>
      <x:c r="D570" s="53" t="str">
        <x:v>Tales of the Star Wars Galaxy: Luke Skywalker finds out about Leia &amp; Han having a kid</x:v>
      </x:c>
      <x:c r="E570" s="53" t="str"/>
      <x:c r="F570" s="53" t="str">
        <x:v>Displayed as “2y ago” on October 17, 2026</x:v>
      </x:c>
      <x:c r="G570" s="53" t="str">
        <x:v>Fan-made / non-canon</x:v>
      </x:c>
      <x:c r="H570" s="53" t="str">
        <x:v>AI fan film</x:v>
      </x:c>
      <x:c r="I570" s="53" t="str">
        <x:v>YouTube — Skywalker Stories</x:v>
      </x:c>
      <x:c r="J570" s="59" t="e">
        <x:f>HYPERLINK("https://www.youtube.com/watch?v=SNZr_5Gpplk","Open")</x:f>
        <x:v>HYPERLINK is not implemented. linkLocation=https://www.youtube.com/watch?v=SNZr_5Gpplk, friendlyName=Open</x:v>
      </x:c>
      <x:c r="K570" s="53" t="str">
        <x:v>Skywalker Stories. Early New Republic, after Leia and Han begin their family. Placement confidence: Medium.</x:v>
      </x:c>
      <x:c r="L570" s="76" t="str"/>
      <x:c r="M570" s="76" t="str">
        <x:v>Tales of the Star Wars Galaxy: Luke Skywalker finds out about Leia &amp; Han having a kid</x:v>
      </x:c>
      <x:c r="N570" s="76" t="str"/>
      <x:c r="O570" s="76" t="str"/>
      <x:c r="P570" s="76" t="str"/>
      <x:c r="Q570" s="76" t="str">
        <x:v>Previously verified channel entry</x:v>
      </x:c>
      <x:c r="R570" s="76" t="str"/>
      <x:c r="S570" s="76" t="str"/>
      <x:c r="T570" s="76" t="str"/>
    </x:row>
    <x:row r="571" s="23" customFormat="1" ht="36" customHeight="1">
      <x:c r="A571" s="49" t="b">
        <x:v>0</x:v>
      </x:c>
      <x:c r="B571" s="56" t="str">
        <x:v>SWS-059</x:v>
      </x:c>
      <x:c r="C571" s="53" t="str">
        <x:v>Fan chronology — New Republic</x:v>
      </x:c>
      <x:c r="D571" s="53" t="str">
        <x:v>Tales of the Star Wars Galaxy: Luke Skywalker finds out the truth about what happened to Padme</x:v>
      </x:c>
      <x:c r="E571" s="53" t="str"/>
      <x:c r="F571" s="53" t="str">
        <x:v>Displayed as “1y ago” on October 17, 2026</x:v>
      </x:c>
      <x:c r="G571" s="53" t="str">
        <x:v>Fan-made / non-canon</x:v>
      </x:c>
      <x:c r="H571" s="53" t="str">
        <x:v>AI fan film</x:v>
      </x:c>
      <x:c r="I571" s="53" t="str">
        <x:v>YouTube — Skywalker Stories</x:v>
      </x:c>
      <x:c r="J571" s="59" t="e">
        <x:f>HYPERLINK("https://www.youtube.com/watch?v=ZsCOrp87ujE","Open")</x:f>
        <x:v>HYPERLINK is not implemented. linkLocation=https://www.youtube.com/watch?v=ZsCOrp87ujE, friendlyName=Open</x:v>
      </x:c>
      <x:c r="K571" s="53" t="str">
        <x:v>Skywalker Stories. After Return of the Jedi, when Luke investigates his mother's fate. Placement confidence: Medium.</x:v>
      </x:c>
      <x:c r="L571" s="76" t="str"/>
      <x:c r="M571" s="76" t="str">
        <x:v>Tales of the Star Wars Galaxy: Luke Skywalker finds out the truth about what happened to Padme</x:v>
      </x:c>
      <x:c r="N571" s="76" t="str"/>
      <x:c r="O571" s="76" t="str"/>
      <x:c r="P571" s="76" t="str"/>
      <x:c r="Q571" s="76" t="str">
        <x:v>Previously verified channel entry</x:v>
      </x:c>
      <x:c r="R571" s="76" t="str"/>
      <x:c r="S571" s="76" t="str"/>
      <x:c r="T571" s="76" t="str"/>
    </x:row>
    <x:row r="572" s="23" customFormat="1" ht="36" customHeight="1">
      <x:c r="A572" s="49" t="b">
        <x:v>0</x:v>
      </x:c>
      <x:c r="B572" s="56" t="str">
        <x:v>SWS-056</x:v>
      </x:c>
      <x:c r="C572" s="53" t="str">
        <x:v>Fan chronology — New Republic</x:v>
      </x:c>
      <x:c r="D572" s="53" t="str">
        <x:v>Tales of the Star Wars Galaxy: Luke Skywalker Guides Ben Solo in the Force</x:v>
      </x:c>
      <x:c r="E572" s="53" t="str"/>
      <x:c r="F572" s="53" t="str">
        <x:v>Displayed as “1y ago” on October 17, 2026</x:v>
      </x:c>
      <x:c r="G572" s="53" t="str">
        <x:v>Fan-made / non-canon</x:v>
      </x:c>
      <x:c r="H572" s="53" t="str">
        <x:v>AI fan film</x:v>
      </x:c>
      <x:c r="I572" s="53" t="str">
        <x:v>YouTube — Skywalker Stories</x:v>
      </x:c>
      <x:c r="J572" s="59" t="e">
        <x:f>HYPERLINK("https://www.youtube.com/watch?v=An8T-X_6GvA","Open")</x:f>
        <x:v>HYPERLINK is not implemented. linkLocation=https://www.youtube.com/watch?v=An8T-X_6GvA, friendlyName=Open</x:v>
      </x:c>
      <x:c r="K572" s="53" t="str">
        <x:v>Skywalker Stories. During Ben Solo's training at Luke's Jedi academy. Placement confidence: High.</x:v>
      </x:c>
      <x:c r="L572" s="76" t="str"/>
      <x:c r="M572" s="76" t="str">
        <x:v>Tales of the Star Wars Galaxy: Luke Skywalker Guides Ben Solo in the Force</x:v>
      </x:c>
      <x:c r="N572" s="76" t="str"/>
      <x:c r="O572" s="76" t="str"/>
      <x:c r="P572" s="76" t="str"/>
      <x:c r="Q572" s="76" t="str">
        <x:v>Previously verified channel entry</x:v>
      </x:c>
      <x:c r="R572" s="76" t="str"/>
      <x:c r="S572" s="76" t="str"/>
      <x:c r="T572" s="76" t="str"/>
    </x:row>
    <x:row r="573" s="23" customFormat="1" ht="36" customHeight="1">
      <x:c r="A573" s="49" t="b">
        <x:v>0</x:v>
      </x:c>
      <x:c r="B573" s="56" t="str">
        <x:v>SWS-106</x:v>
      </x:c>
      <x:c r="C573" s="53" t="str">
        <x:v>Fan chronology — New Republic</x:v>
      </x:c>
      <x:c r="D573" s="53" t="str">
        <x:v>Tales of the Star Wars Galaxy: Luke Skywalker helps find balance in Ben Solo</x:v>
      </x:c>
      <x:c r="E573" s="53" t="str"/>
      <x:c r="F573" s="53" t="str">
        <x:v>Displayed as “2y ago” on October 17, 2026</x:v>
      </x:c>
      <x:c r="G573" s="53" t="str">
        <x:v>Fan-made / non-canon</x:v>
      </x:c>
      <x:c r="H573" s="53" t="str">
        <x:v>AI fan film</x:v>
      </x:c>
      <x:c r="I573" s="53" t="str">
        <x:v>YouTube — Skywalker Stories</x:v>
      </x:c>
      <x:c r="J573" s="59" t="e">
        <x:f>HYPERLINK("https://www.youtube.com/watch?v=TxlvyVoxJ6g","Open")</x:f>
        <x:v>HYPERLINK is not implemented. linkLocation=https://www.youtube.com/watch?v=TxlvyVoxJ6g, friendlyName=Open</x:v>
      </x:c>
      <x:c r="K573" s="53" t="str">
        <x:v>Skywalker Stories. During Ben Solo's training at Luke's Jedi academy. Placement confidence: High.</x:v>
      </x:c>
      <x:c r="L573" s="76" t="str"/>
      <x:c r="M573" s="76" t="str">
        <x:v>Tales of the Star Wars Galaxy: Luke Skywalker helps find balance in Ben Solo</x:v>
      </x:c>
      <x:c r="N573" s="76" t="str"/>
      <x:c r="O573" s="76" t="str"/>
      <x:c r="P573" s="76" t="str"/>
      <x:c r="Q573" s="76" t="str">
        <x:v>Previously verified channel entry</x:v>
      </x:c>
      <x:c r="R573" s="76" t="str"/>
      <x:c r="S573" s="76" t="str"/>
      <x:c r="T573" s="76" t="str"/>
    </x:row>
    <x:row r="574" s="23" customFormat="1" ht="36" customHeight="1">
      <x:c r="A574" s="49" t="b">
        <x:v>0</x:v>
      </x:c>
      <x:c r="B574" s="56" t="str">
        <x:v>SWS-109</x:v>
      </x:c>
      <x:c r="C574" s="53" t="str">
        <x:v>Fan chronology — New Republic</x:v>
      </x:c>
      <x:c r="D574" s="53" t="str">
        <x:v>Tales of the Star Wars Galaxy: Luke Skywalker meets Ahsoka Tano</x:v>
      </x:c>
      <x:c r="E574" s="53" t="str"/>
      <x:c r="F574" s="53" t="str">
        <x:v>Displayed as “2y ago” on October 17, 2026</x:v>
      </x:c>
      <x:c r="G574" s="53" t="str">
        <x:v>Fan-made / non-canon</x:v>
      </x:c>
      <x:c r="H574" s="53" t="str">
        <x:v>AI fan film</x:v>
      </x:c>
      <x:c r="I574" s="53" t="str">
        <x:v>YouTube — Skywalker Stories</x:v>
      </x:c>
      <x:c r="J574" s="59" t="e">
        <x:f>HYPERLINK("https://www.youtube.com/watch?v=SOYNTuKzICE","Open")</x:f>
        <x:v>HYPERLINK is not implemented. linkLocation=https://www.youtube.com/watch?v=SOYNTuKzICE, friendlyName=Open</x:v>
      </x:c>
      <x:c r="K574" s="53" t="str">
        <x:v>Skywalker Stories. Around The Mandalorian/The Book of Boba Fett era. Placement confidence: High.</x:v>
      </x:c>
      <x:c r="L574" s="76" t="str"/>
      <x:c r="M574" s="76" t="str">
        <x:v>Tales of the Star Wars Galaxy: Luke Skywalker meets Ahsoka Tano</x:v>
      </x:c>
      <x:c r="N574" s="76" t="str"/>
      <x:c r="O574" s="76" t="str"/>
      <x:c r="P574" s="76" t="str"/>
      <x:c r="Q574" s="76" t="str">
        <x:v>Previously verified channel entry</x:v>
      </x:c>
      <x:c r="R574" s="76" t="str"/>
      <x:c r="S574" s="76" t="str"/>
      <x:c r="T574" s="76" t="str"/>
    </x:row>
    <x:row r="575" s="23" customFormat="1" ht="36" customHeight="1">
      <x:c r="A575" s="49" t="b">
        <x:v>0</x:v>
      </x:c>
      <x:c r="B575" s="56" t="str">
        <x:v>SWS-069</x:v>
      </x:c>
      <x:c r="C575" s="53" t="str">
        <x:v>Fan chronology — New Republic</x:v>
      </x:c>
      <x:c r="D575" s="53" t="str">
        <x:v>Tales of the Star Wars Galaxy: Luke Skywalker meets Ahsoka Tano and speak to Anakin</x:v>
      </x:c>
      <x:c r="E575" s="53" t="str"/>
      <x:c r="F575" s="53" t="str">
        <x:v>Displayed as “1y ago” on October 17, 2026</x:v>
      </x:c>
      <x:c r="G575" s="53" t="str">
        <x:v>Fan-made / non-canon</x:v>
      </x:c>
      <x:c r="H575" s="53" t="str">
        <x:v>AI fan film</x:v>
      </x:c>
      <x:c r="I575" s="53" t="str">
        <x:v>YouTube — Skywalker Stories</x:v>
      </x:c>
      <x:c r="J575" s="59" t="e">
        <x:f>HYPERLINK("https://www.youtube.com/watch?v=-LulLYID1K0","Open")</x:f>
        <x:v>HYPERLINK is not implemented. linkLocation=https://www.youtube.com/watch?v=-LulLYID1K0, friendlyName=Open</x:v>
      </x:c>
      <x:c r="K575" s="53" t="str">
        <x:v>Skywalker Stories. Around The Mandalorian/The Book of Boba Fett era. Placement confidence: High.</x:v>
      </x:c>
      <x:c r="L575" s="76" t="str"/>
      <x:c r="M575" s="76" t="str">
        <x:v>Tales of the Star Wars Galaxy: Luke Skywalker meets Ahsoka Tano and speak to Anakin</x:v>
      </x:c>
      <x:c r="N575" s="76" t="str"/>
      <x:c r="O575" s="76" t="str"/>
      <x:c r="P575" s="76" t="str"/>
      <x:c r="Q575" s="76" t="str">
        <x:v>Previously verified channel entry</x:v>
      </x:c>
      <x:c r="R575" s="76" t="str"/>
      <x:c r="S575" s="76" t="str"/>
      <x:c r="T575" s="76" t="str"/>
    </x:row>
    <x:row r="576" s="23" customFormat="1" ht="36" customHeight="1">
      <x:c r="A576" s="49" t="b">
        <x:v>0</x:v>
      </x:c>
      <x:c r="B576" s="56" t="str">
        <x:v>SWS-102</x:v>
      </x:c>
      <x:c r="C576" s="53" t="str">
        <x:v>Fan chronology — New Republic</x:v>
      </x:c>
      <x:c r="D576" s="53" t="str">
        <x:v>Tales of the Star Wars Galaxy: Luke Skywalker tells Leia Organa that Anakin Skywalker was redeemed</x:v>
      </x:c>
      <x:c r="E576" s="53" t="str"/>
      <x:c r="F576" s="53" t="str">
        <x:v>Displayed as “2y ago” on October 17, 2026</x:v>
      </x:c>
      <x:c r="G576" s="53" t="str">
        <x:v>Fan-made / non-canon</x:v>
      </x:c>
      <x:c r="H576" s="53" t="str">
        <x:v>AI fan film</x:v>
      </x:c>
      <x:c r="I576" s="53" t="str">
        <x:v>YouTube — Skywalker Stories</x:v>
      </x:c>
      <x:c r="J576" s="59" t="e">
        <x:f>HYPERLINK("https://www.youtube.com/watch?v=i_V4Yf7XRF8","Open")</x:f>
        <x:v>HYPERLINK is not implemented. linkLocation=https://www.youtube.com/watch?v=i_V4Yf7XRF8, friendlyName=Open</x:v>
      </x:c>
      <x:c r="K576" s="53" t="str">
        <x:v>Skywalker Stories. After Return of the Jedi, during Luke/Leia's reckoning with Anakin's redemption. Placement confidence: High.</x:v>
      </x:c>
      <x:c r="L576" s="76" t="str"/>
      <x:c r="M576" s="76" t="str">
        <x:v>Tales of the Star Wars Galaxy: Luke Skywalker tells Leia Organa that Anakin Skywalker was redeemed</x:v>
      </x:c>
      <x:c r="N576" s="76" t="str"/>
      <x:c r="O576" s="76" t="str"/>
      <x:c r="P576" s="76" t="str"/>
      <x:c r="Q576" s="76" t="str">
        <x:v>Previously verified channel entry</x:v>
      </x:c>
      <x:c r="R576" s="76" t="str"/>
      <x:c r="S576" s="76" t="str"/>
      <x:c r="T576" s="76" t="str"/>
    </x:row>
    <x:row r="577" s="23" customFormat="1" ht="36" customHeight="1">
      <x:c r="A577" s="49" t="b">
        <x:v>0</x:v>
      </x:c>
      <x:c r="B577" s="56" t="str">
        <x:v>SWS-093</x:v>
      </x:c>
      <x:c r="C577" s="53" t="str">
        <x:v>Fan chronology — New Republic</x:v>
      </x:c>
      <x:c r="D577" s="53" t="str">
        <x:v>Tales of the Star Wars Galaxy: Luke Skywalker, Leia, and Han Solo discuss Thrawn's return</x:v>
      </x:c>
      <x:c r="E577" s="53" t="str"/>
      <x:c r="F577" s="53" t="str">
        <x:v>Displayed as “2y ago” on October 17, 2026</x:v>
      </x:c>
      <x:c r="G577" s="53" t="str">
        <x:v>Fan-made / non-canon</x:v>
      </x:c>
      <x:c r="H577" s="53" t="str">
        <x:v>AI fan film</x:v>
      </x:c>
      <x:c r="I577" s="53" t="str">
        <x:v>YouTube — Skywalker Stories</x:v>
      </x:c>
      <x:c r="J577" s="59" t="e">
        <x:f>HYPERLINK("https://www.youtube.com/watch?v=GgM5ucUpAy0","Open")</x:f>
        <x:v>HYPERLINK is not implemented. linkLocation=https://www.youtube.com/watch?v=GgM5ucUpAy0, friendlyName=Open</x:v>
      </x:c>
      <x:c r="K577" s="53" t="str">
        <x:v>Skywalker Stories. Around Ahsoka and the emerging threat of Thrawn's return. Placement confidence: High.</x:v>
      </x:c>
      <x:c r="L577" s="76" t="str"/>
      <x:c r="M577" s="76" t="str">
        <x:v>Tales of the Star Wars Galaxy: Luke Skywalker, Leia, and Han Solo discuss Thrawn's return</x:v>
      </x:c>
      <x:c r="N577" s="76" t="str"/>
      <x:c r="O577" s="76" t="str"/>
      <x:c r="P577" s="76" t="str"/>
      <x:c r="Q577" s="76" t="str">
        <x:v>Previously verified channel entry</x:v>
      </x:c>
      <x:c r="R577" s="76" t="str"/>
      <x:c r="S577" s="76" t="str"/>
      <x:c r="T577" s="76" t="str"/>
    </x:row>
    <x:row r="578" s="23" customFormat="1" ht="36" customHeight="1">
      <x:c r="A578" s="49" t="b">
        <x:v>0</x:v>
      </x:c>
      <x:c r="B578" s="56" t="str">
        <x:v>SWS-090</x:v>
      </x:c>
      <x:c r="C578" s="53" t="str">
        <x:v>Fan chronology — New Republic</x:v>
      </x:c>
      <x:c r="D578" s="53" t="str">
        <x:v>Tales of the Star Wars Galaxy: Obi Wan teaches Anakin Skywalker to be a Force Ghost</x:v>
      </x:c>
      <x:c r="E578" s="53" t="str"/>
      <x:c r="F578" s="53" t="str">
        <x:v>Displayed as “1y ago” on October 17, 2026</x:v>
      </x:c>
      <x:c r="G578" s="53" t="str">
        <x:v>Fan-made / non-canon</x:v>
      </x:c>
      <x:c r="H578" s="53" t="str">
        <x:v>AI fan film</x:v>
      </x:c>
      <x:c r="I578" s="53" t="str">
        <x:v>YouTube — Skywalker Stories</x:v>
      </x:c>
      <x:c r="J578" s="59" t="e">
        <x:f>HYPERLINK("https://www.youtube.com/watch?v=y6gPdaDZbTc","Open")</x:f>
        <x:v>HYPERLINK is not implemented. linkLocation=https://www.youtube.com/watch?v=y6gPdaDZbTc, friendlyName=Open</x:v>
      </x:c>
      <x:c r="K578" s="53" t="str">
        <x:v>Skywalker Stories. Immediately after Return of the Jedi, explaining Anakin's Force-ghost return. Placement confidence: Medium.</x:v>
      </x:c>
      <x:c r="L578" s="76" t="str"/>
      <x:c r="M578" s="76" t="str">
        <x:v>Tales of the Star Wars Galaxy: Obi Wan teaches Anakin Skywalker to be a Force Ghost</x:v>
      </x:c>
      <x:c r="N578" s="76" t="str"/>
      <x:c r="O578" s="76" t="str"/>
      <x:c r="P578" s="76" t="str"/>
      <x:c r="Q578" s="76" t="str">
        <x:v>Previously verified channel entry</x:v>
      </x:c>
      <x:c r="R578" s="76" t="str"/>
      <x:c r="S578" s="76" t="str"/>
      <x:c r="T578" s="76" t="str"/>
    </x:row>
    <x:row r="579" s="23" customFormat="1" ht="36" customHeight="1">
      <x:c r="A579" s="49" t="b">
        <x:v>0</x:v>
      </x:c>
      <x:c r="B579" s="56" t="str">
        <x:v>SWS-099</x:v>
      </x:c>
      <x:c r="C579" s="53" t="str">
        <x:v>Fan chronology — New Republic</x:v>
      </x:c>
      <x:c r="D579" s="53" t="str">
        <x:v>Tales of the Star Wars Galaxy: The Mandalorian and Boba Fett learn about Thrawn's return</x:v>
      </x:c>
      <x:c r="E579" s="53" t="str"/>
      <x:c r="F579" s="53" t="str">
        <x:v>Displayed as “2y ago” on October 17, 2026</x:v>
      </x:c>
      <x:c r="G579" s="53" t="str">
        <x:v>Fan-made / non-canon</x:v>
      </x:c>
      <x:c r="H579" s="53" t="str">
        <x:v>AI fan film</x:v>
      </x:c>
      <x:c r="I579" s="53" t="str">
        <x:v>YouTube — Skywalker Stories</x:v>
      </x:c>
      <x:c r="J579" s="59" t="e">
        <x:f>HYPERLINK("https://www.youtube.com/watch?v=ALnFpmRd7tk","Open")</x:f>
        <x:v>HYPERLINK is not implemented. linkLocation=https://www.youtube.com/watch?v=ALnFpmRd7tk, friendlyName=Open</x:v>
      </x:c>
      <x:c r="K579" s="53" t="str">
        <x:v>Skywalker Stories. New Republic era, after Luke meets Din Djarin and Grogu. Placement confidence: Medium.</x:v>
      </x:c>
      <x:c r="L579" s="76" t="str"/>
      <x:c r="M579" s="76" t="str">
        <x:v>Tales of the Star Wars Galaxy: The Mandalorian and Boba Fett learn about Thrawn's return</x:v>
      </x:c>
      <x:c r="N579" s="76" t="str"/>
      <x:c r="O579" s="76" t="str"/>
      <x:c r="P579" s="76" t="str"/>
      <x:c r="Q579" s="76" t="str">
        <x:v>Previously verified channel entry</x:v>
      </x:c>
      <x:c r="R579" s="76" t="str"/>
      <x:c r="S579" s="76" t="str"/>
      <x:c r="T579" s="76" t="str"/>
    </x:row>
    <x:row r="580" s="23" customFormat="1" ht="36" customHeight="1">
      <x:c r="A580" s="49" t="b">
        <x:v>0</x:v>
      </x:c>
      <x:c r="B580" s="56" t="str">
        <x:v>FV-0166</x:v>
      </x:c>
      <x:c r="C580" s="53" t="str">
        <x:v>Fan chronology — New Republic</x:v>
      </x:c>
      <x:c r="D580" s="53" t="str">
        <x:v>AHSOKA VS BAYLAN é THE DUEL EXPLODES! | UNLEASHED</x:v>
      </x:c>
      <x:c r="E580" s="53" t="str"/>
      <x:c r="F580" s="53" t="str">
        <x:v>September 27, 2026</x:v>
      </x:c>
      <x:c r="G580" s="53" t="str">
        <x:v>Fan-made / non-canon</x:v>
      </x:c>
      <x:c r="H580" s="53" t="str">
        <x:v>Fan video</x:v>
      </x:c>
      <x:c r="I580" s="53" t="str">
        <x:v>YouTube — search by title</x:v>
      </x:c>
      <x:c r="J580" s="59" t="e">
        <x:f>HYPERLINK("https://www.youtube.com/results?search_query=AHSOKA%20VS%20BAYLAN%20%C3%A9%20THE%20DUEL%20EXPLODES!%20%7C%20UNLEASHED","Search")</x:f>
        <x:v>HYPERLINK is not implemented. linkLocation=https://www.youtube.com/results?search_query=AHSOKA%20VS%20BAYLAN%20%C3%A9%20THE%20DUEL%20EXPLODES!%20%7C%20UNLEASHED, friendlyName=Search</x:v>
      </x:c>
      <x:c r="K580" s="53" t="str">
        <x:v>Around Ahsoka and Baylan Skoll's New Republic-era story.</x:v>
      </x:c>
      <x:c r="L580" s="76" t="str"/>
      <x:c r="M580" s="76" t="str">
        <x:v>AHSOKA VS BAYLAN é THE DUEL EXPLODES! | UNLEASHED</x:v>
      </x:c>
      <x:c r="N580" s="76"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580" s="76" t="str">
        <x:v>New Republic — Ahsoka era</x:v>
      </x:c>
      <x:c r="P580" s="76" t="str">
        <x:v>IMG_6349.PNG</x:v>
      </x:c>
      <x:c r="Q580" s="76" t="str">
        <x:v>OCR extracted / placement assigned</x:v>
      </x:c>
      <x:c r="R580" s="76" t="str">
        <x:v>High</x:v>
      </x:c>
      <x:c r="S580" s="76" t="str"/>
      <x:c r="T580" s="76" t="str">
        <x:v>Unique</x:v>
      </x:c>
    </x:row>
    <x:row r="581" s="23" customFormat="1" ht="36" customHeight="1">
      <x:c r="A581" s="49" t="b">
        <x:v>0</x:v>
      </x:c>
      <x:c r="B581" s="56" t="str">
        <x:v>FV-0167</x:v>
      </x:c>
      <x:c r="C581" s="53" t="str">
        <x:v>Fan chronology — New Republic</x:v>
      </x:c>
      <x:c r="D581" s="53" t="str">
        <x:v>THE STARHAWK é THE NEW REPUBLIC STRIKES BACK! | Episode 1</x:v>
      </x:c>
      <x:c r="E581" s="53" t="str">
        <x:v>Episode 1</x:v>
      </x:c>
      <x:c r="F581" s="53" t="str">
        <x:v>September 27, 2026</x:v>
      </x:c>
      <x:c r="G581" s="53" t="str">
        <x:v>Fan-made / non-canon</x:v>
      </x:c>
      <x:c r="H581" s="53" t="str">
        <x:v>Fan video</x:v>
      </x:c>
      <x:c r="I581" s="53" t="str">
        <x:v>YouTube — search by title</x:v>
      </x:c>
      <x:c r="J581" s="59" t="e">
        <x:f>HYPERLINK("https://www.youtube.com/results?search_query=THE%20STARHAWK%20%C3%A9%20THE%20NEW%20REPUBLIC%20STRIKES%20BACK!%20%7C%20Episode%201","Search")</x:f>
        <x:v>HYPERLINK is not implemented. linkLocation=https://www.youtube.com/results?search_query=THE%20STARHAWK%20%C3%A9%20THE%20NEW%20REPUBLIC%20STRIKES%20BACK!%20%7C%20Episode%201, friendlyName=Search</x:v>
      </x:c>
      <x:c r="K581" s="53" t="str">
        <x:v>New Republic military era associated with the Starhawk project.</x:v>
      </x:c>
      <x:c r="L581" s="76" t="str">
        <x:v>THE STARHAWK é THE NEW REPUBLIC STRIKES BACK!</x:v>
      </x:c>
      <x:c r="M581" s="76" t="str">
        <x:v>THE STARHAWK é THE NEW REPUBLIC STRIKES BACK! | Episode 1</x:v>
      </x:c>
      <x:c r="N581" s="76"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581" s="76" t="str">
        <x:v>New Republic — immediately after Endor</x:v>
      </x:c>
      <x:c r="P581" s="76" t="str">
        <x:v>IMG_6350.PNG</x:v>
      </x:c>
      <x:c r="Q581" s="76" t="str">
        <x:v>OCR extracted / placement assigned</x:v>
      </x:c>
      <x:c r="R581" s="76" t="str">
        <x:v>High</x:v>
      </x:c>
      <x:c r="S581" s="76" t="str"/>
      <x:c r="T581" s="76" t="str">
        <x:v>Unique</x:v>
      </x:c>
    </x:row>
    <x:row r="582" s="23" customFormat="1" ht="36" customHeight="1">
      <x:c r="A582" s="49" t="b">
        <x:v>0</x:v>
      </x:c>
      <x:c r="B582" s="56" t="str">
        <x:v>FV-0042</x:v>
      </x:c>
      <x:c r="C582" s="53" t="str">
        <x:v>Fan chronology — New Republic</x:v>
      </x:c>
      <x:c r="D582" s="53" t="str">
        <x:v>Grogu &amp; The Mandalorian | Episode 1: Grogu Saw What Mando Didn't</x:v>
      </x:c>
      <x:c r="E582" s="53" t="str">
        <x:v>Episode 1</x:v>
      </x:c>
      <x:c r="F582" s="53" t="str">
        <x:v>October 11, 2026</x:v>
      </x:c>
      <x:c r="G582" s="53" t="str">
        <x:v>Fan-made / non-canon</x:v>
      </x:c>
      <x:c r="H582" s="53" t="str">
        <x:v>Fan video</x:v>
      </x:c>
      <x:c r="I582" s="53" t="str">
        <x:v>YouTube — search by title</x:v>
      </x:c>
      <x:c r="J582" s="59" t="e">
        <x:f>HYPERLINK("https://www.youtube.com/results?search_query=Grogu%20%26%20The%20Mandalorian%20%7C%20Episode%201%3A%20Grogu%20Saw%20What%20Mando%20Didn't","Search")</x:f>
        <x:v>HYPERLINK is not implemented. linkLocation=https://www.youtube.com/results?search_query=Grogu%20%26%20The%20Mandalorian%20%7C%20Episode%201%3A%20Grogu%20Saw%20What%20Mando%20Didn't, friendlyName=Search</x:v>
      </x:c>
      <x:c r="K582" s="53" t="str">
        <x:v>Around The Mandalorian / The Book of Boba Fett.</x:v>
      </x:c>
      <x:c r="L582" s="76" t="str">
        <x:v>Grogu &amp; The Mandalorian</x:v>
      </x:c>
      <x:c r="M582" s="76" t="str">
        <x:v>Grogu &amp; The Mandalorian | Episode 1: Grogu Saw What Mando Didn't</x:v>
      </x:c>
      <x:c r="N582" s="76"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582" s="76" t="str">
        <x:v>New Republic — Mandalorian era</x:v>
      </x:c>
      <x:c r="P582" s="76" t="str">
        <x:v>IMG_6225.PNG</x:v>
      </x:c>
      <x:c r="Q582" s="76" t="str">
        <x:v>OCR extracted / placement assigned</x:v>
      </x:c>
      <x:c r="R582" s="76" t="str">
        <x:v>High</x:v>
      </x:c>
      <x:c r="S582" s="76" t="str"/>
      <x:c r="T582" s="76" t="str">
        <x:v>Unique</x:v>
      </x:c>
    </x:row>
    <x:row r="583" s="23" customFormat="1" ht="36" customHeight="1">
      <x:c r="A583" s="49" t="b">
        <x:v>0</x:v>
      </x:c>
      <x:c r="B583" s="56" t="str">
        <x:v>FV-0041</x:v>
      </x:c>
      <x:c r="C583" s="53" t="str">
        <x:v>Fan chronology — New Republic</x:v>
      </x:c>
      <x:c r="D583" s="53" t="str">
        <x:v>Grogu &amp; The Mandalorian | Episode 2: Kindness Comes Back</x:v>
      </x:c>
      <x:c r="E583" s="53" t="str">
        <x:v>Episode 2</x:v>
      </x:c>
      <x:c r="F583" s="53" t="str">
        <x:v>October 11, 2026</x:v>
      </x:c>
      <x:c r="G583" s="53" t="str">
        <x:v>Fan-made / non-canon</x:v>
      </x:c>
      <x:c r="H583" s="53" t="str">
        <x:v>Fan video</x:v>
      </x:c>
      <x:c r="I583" s="53" t="str">
        <x:v>YouTube — search by title</x:v>
      </x:c>
      <x:c r="J583" s="59" t="e">
        <x:f>HYPERLINK("https://www.youtube.com/results?search_query=Grogu%20%26%20The%20Mandalorian%20%7C%20Episode%202%3A%20Kindness%20Comes%20Back","Search")</x:f>
        <x:v>HYPERLINK is not implemented. linkLocation=https://www.youtube.com/results?search_query=Grogu%20%26%20The%20Mandalorian%20%7C%20Episode%202%3A%20Kindness%20Comes%20Back, friendlyName=Search</x:v>
      </x:c>
      <x:c r="K583" s="53" t="str">
        <x:v>Around The Mandalorian / The Book of Boba Fett.</x:v>
      </x:c>
      <x:c r="L583" s="76" t="str">
        <x:v>Grogu &amp; The Mandalorian</x:v>
      </x:c>
      <x:c r="M583" s="76" t="str">
        <x:v>Grogu &amp; The Mandalorian | Episode 2: Kindness Comes Back</x:v>
      </x:c>
      <x:c r="N583" s="76"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583" s="76" t="str">
        <x:v>New Republic — Mandalorian era</x:v>
      </x:c>
      <x:c r="P583" s="76" t="str">
        <x:v>IMG_6224.PNG</x:v>
      </x:c>
      <x:c r="Q583" s="76" t="str">
        <x:v>OCR extracted / placement assigned</x:v>
      </x:c>
      <x:c r="R583" s="76" t="str">
        <x:v>High</x:v>
      </x:c>
      <x:c r="S583" s="76" t="str"/>
      <x:c r="T583" s="76" t="str">
        <x:v>Unique</x:v>
      </x:c>
    </x:row>
    <x:row r="584" s="23" customFormat="1" ht="36" customHeight="1">
      <x:c r="A584" s="49" t="b">
        <x:v>0</x:v>
      </x:c>
      <x:c r="B584" s="56" t="str">
        <x:v>FV-0031</x:v>
      </x:c>
      <x:c r="C584" s="53" t="str">
        <x:v>Fan chronology — New Republic</x:v>
      </x:c>
      <x:c r="D584" s="53" t="str">
        <x:v>Luke Trains Grogu... Grogu Orders Lunch @ | The Wrong Lesson — Episode 1</x:v>
      </x:c>
      <x:c r="E584" s="53" t="str">
        <x:v>Episode 1</x:v>
      </x:c>
      <x:c r="F584" s="53" t="str">
        <x:v>October 13, 2026</x:v>
      </x:c>
      <x:c r="G584" s="53" t="str">
        <x:v>Fan-made / non-canon</x:v>
      </x:c>
      <x:c r="H584" s="53" t="str">
        <x:v>Fan video</x:v>
      </x:c>
      <x:c r="I584" s="53" t="str">
        <x:v>YouTube — search by title</x:v>
      </x:c>
      <x:c r="J584" s="59" t="e">
        <x:f>HYPERLINK("https://www.youtube.com/results?search_query=Luke%20Trains%20Grogu...%20Grogu%20Orders%20Lunch%20%40%20%7C%20The%20Wrong%20Lesson%20%E2%80%94%20Episode%201","Search")</x:f>
        <x:v>HYPERLINK is not implemented. linkLocation=https://www.youtube.com/results?search_query=Luke%20Trains%20Grogu...%20Grogu%20Orders%20Lunch%20%40%20%7C%20The%20Wrong%20Lesson%20%E2%80%94%20Episode%201, friendlyName=Search</x:v>
      </x:c>
      <x:c r="K584" s="53" t="str">
        <x:v>Around The Mandalorian / The Book of Boba Fett.</x:v>
      </x:c>
      <x:c r="L584" s="76" t="str">
        <x:v>The Wrong Lesson</x:v>
      </x:c>
      <x:c r="M584" s="76" t="str">
        <x:v>Luke Trains Grogu... Grogu Orders Lunch @ | The Wrong Lesson — Episode 1</x:v>
      </x:c>
      <x:c r="N584" s="76"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584" s="76" t="str">
        <x:v>New Republic — Mandalorian era</x:v>
      </x:c>
      <x:c r="P584" s="76" t="str">
        <x:v>IMG_6214.PNG</x:v>
      </x:c>
      <x:c r="Q584" s="76" t="str">
        <x:v>OCR extracted / placement assigned</x:v>
      </x:c>
      <x:c r="R584" s="76" t="str">
        <x:v>High</x:v>
      </x:c>
      <x:c r="S584" s="76" t="str"/>
      <x:c r="T584" s="76" t="str">
        <x:v>Unique</x:v>
      </x:c>
    </x:row>
    <x:row r="585" s="23" customFormat="1" ht="36" customHeight="1">
      <x:c r="A585" s="49" t="b">
        <x:v>0</x:v>
      </x:c>
      <x:c r="B585" s="56" t="str">
        <x:v>FV-0164</x:v>
      </x:c>
      <x:c r="C585" s="53" t="str">
        <x:v>Fan chronology — New Republic</x:v>
      </x:c>
      <x:c r="D585" s="53" t="str">
        <x:v>THE MANDALORIAN VS DARK TROOPER 4 CANYON DROP</x:v>
      </x:c>
      <x:c r="E585" s="53" t="str"/>
      <x:c r="F585" s="53" t="str">
        <x:v>September 27, 2026</x:v>
      </x:c>
      <x:c r="G585" s="53" t="str">
        <x:v>Fan-made / non-canon</x:v>
      </x:c>
      <x:c r="H585" s="53" t="str">
        <x:v>Fan video</x:v>
      </x:c>
      <x:c r="I585" s="53" t="str">
        <x:v>YouTube — search by title</x:v>
      </x:c>
      <x:c r="J585" s="59" t="e">
        <x:f>HYPERLINK("https://www.youtube.com/results?search_query=THE%20MANDALORIAN%20VS%20DARK%20TROOPER%204%20CANYON%20DROP","Search")</x:f>
        <x:v>HYPERLINK is not implemented. linkLocation=https://www.youtube.com/results?search_query=THE%20MANDALORIAN%20VS%20DARK%20TROOPER%204%20CANYON%20DROP, friendlyName=Search</x:v>
      </x:c>
      <x:c r="K585" s="53" t="str">
        <x:v>Around The Mandalorian / The Book of Boba Fett.</x:v>
      </x:c>
      <x:c r="L585" s="76" t="str"/>
      <x:c r="M585" s="76" t="str">
        <x:v>THE MANDALORIAN VS DARK TROOPER 4 CANYON DROP</x:v>
      </x:c>
      <x:c r="N585" s="76"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585" s="76" t="str">
        <x:v>New Republic — Mandalorian era</x:v>
      </x:c>
      <x:c r="P585" s="76" t="str">
        <x:v>IMG_6347.PNG</x:v>
      </x:c>
      <x:c r="Q585" s="76" t="str">
        <x:v>OCR extracted / placement assigned</x:v>
      </x:c>
      <x:c r="R585" s="76" t="str">
        <x:v>High</x:v>
      </x:c>
      <x:c r="S585" s="76" t="str"/>
      <x:c r="T585" s="76" t="str">
        <x:v>Unique</x:v>
      </x:c>
    </x:row>
    <x:row r="586" s="23" customFormat="1" ht="36" customHeight="1">
      <x:c r="A586" s="49" t="b">
        <x:v>0</x:v>
      </x:c>
      <x:c r="B586" s="56" t="str">
        <x:v>FV-0149</x:v>
      </x:c>
      <x:c r="C586" s="53" t="str">
        <x:v>Fan chronology — New Republic</x:v>
      </x:c>
      <x:c r="D586" s="53" t="str">
        <x:v>The Mandalorian: The Last Street | Outgunned. Never Outmatched.</x:v>
      </x:c>
      <x:c r="E586" s="53" t="str"/>
      <x:c r="F586" s="53" t="str">
        <x:v>September 30, 2026</x:v>
      </x:c>
      <x:c r="G586" s="53" t="str">
        <x:v>Fan-made / non-canon</x:v>
      </x:c>
      <x:c r="H586" s="53" t="str">
        <x:v>Fan video</x:v>
      </x:c>
      <x:c r="I586" s="53" t="str">
        <x:v>YouTube — search by title</x:v>
      </x:c>
      <x:c r="J586" s="59" t="e">
        <x:f>HYPERLINK("https://www.youtube.com/results?search_query=The%20Mandalorian%3A%20The%20Last%20Street%20%7C%20Outgunned.%20Never%20Outmatched.","Search")</x:f>
        <x:v>HYPERLINK is not implemented. linkLocation=https://www.youtube.com/results?search_query=The%20Mandalorian%3A%20The%20Last%20Street%20%7C%20Outgunned.%20Never%20Outmatched., friendlyName=Search</x:v>
      </x:c>
      <x:c r="K586" s="53" t="str">
        <x:v>Around The Mandalorian / The Book of Boba Fett.</x:v>
      </x:c>
      <x:c r="L586" s="76" t="str"/>
      <x:c r="M586" s="76" t="str">
        <x:v>The Mandalorian: The Last Street | Outgunned. Never Outmatched.</x:v>
      </x:c>
      <x:c r="N586" s="76"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586" s="76" t="str">
        <x:v>New Republic — Mandalorian era</x:v>
      </x:c>
      <x:c r="P586" s="76" t="str">
        <x:v>IMG_6332.PNG</x:v>
      </x:c>
      <x:c r="Q586" s="76" t="str">
        <x:v>OCR extracted / placement assigned</x:v>
      </x:c>
      <x:c r="R586" s="76" t="str">
        <x:v>High</x:v>
      </x:c>
      <x:c r="S586" s="76" t="str"/>
      <x:c r="T586" s="76" t="str">
        <x:v>Unique</x:v>
      </x:c>
    </x:row>
    <x:row r="587" s="23" customFormat="1" ht="36" customHeight="1">
      <x:c r="A587" s="49" t="b">
        <x:v>0</x:v>
      </x:c>
      <x:c r="B587" s="56" t="str">
        <x:v>SWS-021</x:v>
      </x:c>
      <x:c r="C587" s="53" t="str">
        <x:v>Fan chronology — Legends after Endor</x:v>
      </x:c>
      <x:c r="D587" s="53" t="str">
        <x:v>Star Wars: Luke Skywalker Guides Jacen Solo</x:v>
      </x:c>
      <x:c r="E587" s="53" t="str"/>
      <x:c r="F587" s="53" t="str">
        <x:v>Displayed as “1y ago” on October 17, 2026</x:v>
      </x:c>
      <x:c r="G587" s="53" t="str">
        <x:v>Fan-made / non-canon</x:v>
      </x:c>
      <x:c r="H587" s="53" t="str">
        <x:v>AI fan film</x:v>
      </x:c>
      <x:c r="I587" s="53" t="str">
        <x:v>YouTube — Skywalker Stories</x:v>
      </x:c>
      <x:c r="J587" s="59" t="e">
        <x:f>HYPERLINK("https://www.youtube.com/watch?v=TNF569-WWl0","Open")</x:f>
        <x:v>HYPERLINK is not implemented. linkLocation=https://www.youtube.com/watch?v=TNF569-WWl0, friendlyName=Open</x:v>
      </x:c>
      <x:c r="K587" s="53" t="str">
        <x:v>Skywalker Stories. Legends post-Endor continuity; exact placement depends on the referenced novel era. Placement confidence: Medium.</x:v>
      </x:c>
      <x:c r="L587" s="76" t="str"/>
      <x:c r="M587" s="76" t="str">
        <x:v>Star Wars: Luke Skywalker Guides Jacen Solo</x:v>
      </x:c>
      <x:c r="N587" s="76" t="str"/>
      <x:c r="O587" s="76" t="str"/>
      <x:c r="P587" s="76" t="str"/>
      <x:c r="Q587" s="76" t="str">
        <x:v>Previously verified channel entry</x:v>
      </x:c>
      <x:c r="R587" s="76" t="str"/>
      <x:c r="S587" s="76" t="str"/>
      <x:c r="T587" s="76" t="str"/>
    </x:row>
    <x:row r="588" s="23" customFormat="1" ht="36" customHeight="1">
      <x:c r="A588" s="49" t="b">
        <x:v>0</x:v>
      </x:c>
      <x:c r="B588" s="56" t="str">
        <x:v>SWS-068</x:v>
      </x:c>
      <x:c r="C588" s="53" t="str">
        <x:v>Fan chronology — Legends after Endor</x:v>
      </x:c>
      <x:c r="D588" s="53" t="str">
        <x:v>Tales of the Star Wars Galaxy: Anakin Skywalker &amp; Obi Wan visit Luke Skywalker after Abeloth</x:v>
      </x:c>
      <x:c r="E588" s="53" t="str"/>
      <x:c r="F588" s="53" t="str">
        <x:v>Displayed as “1y ago” on October 17, 2026</x:v>
      </x:c>
      <x:c r="G588" s="53" t="str">
        <x:v>Fan-made / non-canon</x:v>
      </x:c>
      <x:c r="H588" s="53" t="str">
        <x:v>AI fan film</x:v>
      </x:c>
      <x:c r="I588" s="53" t="str">
        <x:v>YouTube — Skywalker Stories</x:v>
      </x:c>
      <x:c r="J588" s="59" t="e">
        <x:f>HYPERLINK("https://www.youtube.com/watch?v=kzld5M80ZOk","Open")</x:f>
        <x:v>HYPERLINK is not implemented. linkLocation=https://www.youtube.com/watch?v=kzld5M80ZOk, friendlyName=Open</x:v>
      </x:c>
      <x:c r="K588" s="53" t="str">
        <x:v>Skywalker Stories. Legends post-Endor continuity; exact placement depends on the referenced novel era. Placement confidence: Medium.</x:v>
      </x:c>
      <x:c r="L588" s="76" t="str"/>
      <x:c r="M588" s="76" t="str">
        <x:v>Tales of the Star Wars Galaxy: Anakin Skywalker &amp; Obi Wan visit Luke Skywalker after Abeloth</x:v>
      </x:c>
      <x:c r="N588" s="76" t="str"/>
      <x:c r="O588" s="76" t="str"/>
      <x:c r="P588" s="76" t="str"/>
      <x:c r="Q588" s="76" t="str">
        <x:v>Previously verified channel entry</x:v>
      </x:c>
      <x:c r="R588" s="76" t="str"/>
      <x:c r="S588" s="76" t="str"/>
      <x:c r="T588" s="76" t="str"/>
    </x:row>
    <x:row r="589" s="23" customFormat="1" ht="36" customHeight="1">
      <x:c r="A589" s="49" t="b">
        <x:v>0</x:v>
      </x:c>
      <x:c r="B589" s="56" t="str">
        <x:v>SWS-103</x:v>
      </x:c>
      <x:c r="C589" s="53" t="str">
        <x:v>Fan chronology — Legends after Endor</x:v>
      </x:c>
      <x:c r="D589" s="53" t="str">
        <x:v>Tales of the Star Wars Galaxy: Luke Skywalker talks with Anakin and Obi Wan about Mara Jade</x:v>
      </x:c>
      <x:c r="E589" s="53" t="str"/>
      <x:c r="F589" s="53" t="str">
        <x:v>Displayed as “2y ago” on October 17, 2026</x:v>
      </x:c>
      <x:c r="G589" s="53" t="str">
        <x:v>Fan-made / non-canon</x:v>
      </x:c>
      <x:c r="H589" s="53" t="str">
        <x:v>AI fan film</x:v>
      </x:c>
      <x:c r="I589" s="53" t="str">
        <x:v>YouTube — Skywalker Stories</x:v>
      </x:c>
      <x:c r="J589" s="59" t="e">
        <x:f>HYPERLINK("https://www.youtube.com/watch?v=6knBj2CUYsY","Open")</x:f>
        <x:v>HYPERLINK is not implemented. linkLocation=https://www.youtube.com/watch?v=6knBj2CUYsY, friendlyName=Open</x:v>
      </x:c>
      <x:c r="K589" s="53" t="str">
        <x:v>Skywalker Stories. Legends post-Endor continuity; exact placement depends on the referenced novel era. Placement confidence: Medium.</x:v>
      </x:c>
      <x:c r="L589" s="76" t="str"/>
      <x:c r="M589" s="76" t="str">
        <x:v>Tales of the Star Wars Galaxy: Luke Skywalker talks with Anakin and Obi Wan about Mara Jade</x:v>
      </x:c>
      <x:c r="N589" s="76" t="str"/>
      <x:c r="O589" s="76" t="str"/>
      <x:c r="P589" s="76" t="str"/>
      <x:c r="Q589" s="76" t="str">
        <x:v>Previously verified channel entry</x:v>
      </x:c>
      <x:c r="R589" s="76" t="str"/>
      <x:c r="S589" s="76" t="str"/>
      <x:c r="T589" s="76" t="str"/>
    </x:row>
    <x:row r="590" s="23" customFormat="1" ht="36" customHeight="1">
      <x:c r="A590" s="49" t="b">
        <x:v>0</x:v>
      </x:c>
      <x:c r="B590" s="56" t="str">
        <x:v>SWS-100</x:v>
      </x:c>
      <x:c r="C590" s="53" t="str">
        <x:v>Fan chronology — Legends after Endor</x:v>
      </x:c>
      <x:c r="D590" s="53" t="str">
        <x:v>Tales of the Star Wars Galaxy: Luke teaches Jaina and Jacen Solo</x:v>
      </x:c>
      <x:c r="E590" s="53" t="str"/>
      <x:c r="F590" s="53" t="str">
        <x:v>Displayed as “2y ago” on October 17, 2026</x:v>
      </x:c>
      <x:c r="G590" s="53" t="str">
        <x:v>Fan-made / non-canon</x:v>
      </x:c>
      <x:c r="H590" s="53" t="str">
        <x:v>AI fan film</x:v>
      </x:c>
      <x:c r="I590" s="53" t="str">
        <x:v>YouTube — Skywalker Stories</x:v>
      </x:c>
      <x:c r="J590" s="59" t="e">
        <x:f>HYPERLINK("https://www.youtube.com/watch?v=Fv4PNUrZqcE","Open")</x:f>
        <x:v>HYPERLINK is not implemented. linkLocation=https://www.youtube.com/watch?v=Fv4PNUrZqcE, friendlyName=Open</x:v>
      </x:c>
      <x:c r="K590" s="53" t="str">
        <x:v>Skywalker Stories. Legends post-Endor continuity; exact placement depends on the referenced novel era. Placement confidence: Medium.</x:v>
      </x:c>
      <x:c r="L590" s="76" t="str"/>
      <x:c r="M590" s="76" t="str">
        <x:v>Tales of the Star Wars Galaxy: Luke teaches Jaina and Jacen Solo</x:v>
      </x:c>
      <x:c r="N590" s="76" t="str"/>
      <x:c r="O590" s="76" t="str"/>
      <x:c r="P590" s="76" t="str"/>
      <x:c r="Q590" s="76" t="str">
        <x:v>Previously verified channel entry</x:v>
      </x:c>
      <x:c r="R590" s="76" t="str"/>
      <x:c r="S590" s="76" t="str"/>
      <x:c r="T590" s="76" t="str"/>
    </x:row>
    <x:row r="591" s="23" customFormat="1" ht="36" customHeight="1">
      <x:c r="A591" s="49" t="b">
        <x:v>0</x:v>
      </x:c>
      <x:c r="B591" s="56" t="str">
        <x:v>SWS-098</x:v>
      </x:c>
      <x:c r="C591" s="53" t="str">
        <x:v>Fan chronology — Legends after Endor</x:v>
      </x:c>
      <x:c r="D591" s="53" t="str">
        <x:v>Tales of the Star Wars Galaxy: Mara Jade confronts Darth Caedus</x:v>
      </x:c>
      <x:c r="E591" s="53" t="str"/>
      <x:c r="F591" s="53" t="str">
        <x:v>Displayed as “2y ago” on October 17, 2026</x:v>
      </x:c>
      <x:c r="G591" s="53" t="str">
        <x:v>Fan-made / non-canon</x:v>
      </x:c>
      <x:c r="H591" s="53" t="str">
        <x:v>AI fan film</x:v>
      </x:c>
      <x:c r="I591" s="53" t="str">
        <x:v>YouTube — Skywalker Stories</x:v>
      </x:c>
      <x:c r="J591" s="59" t="e">
        <x:f>HYPERLINK("https://www.youtube.com/watch?v=dmJcjy_q1wQ","Open")</x:f>
        <x:v>HYPERLINK is not implemented. linkLocation=https://www.youtube.com/watch?v=dmJcjy_q1wQ, friendlyName=Open</x:v>
      </x:c>
      <x:c r="K591" s="53" t="str">
        <x:v>Skywalker Stories. Legends post-Endor continuity; exact placement depends on the referenced novel era. Placement confidence: Medium.</x:v>
      </x:c>
      <x:c r="L591" s="76" t="str"/>
      <x:c r="M591" s="76" t="str">
        <x:v>Tales of the Star Wars Galaxy: Mara Jade confronts Darth Caedus</x:v>
      </x:c>
      <x:c r="N591" s="76" t="str"/>
      <x:c r="O591" s="76" t="str"/>
      <x:c r="P591" s="76" t="str"/>
      <x:c r="Q591" s="76" t="str">
        <x:v>Previously verified channel entry</x:v>
      </x:c>
      <x:c r="R591" s="76" t="str"/>
      <x:c r="S591" s="76" t="str"/>
      <x:c r="T591" s="76" t="str"/>
    </x:row>
    <x:row r="592" s="23" customFormat="1" ht="36" customHeight="1">
      <x:c r="A592" s="49" t="b">
        <x:v>0</x:v>
      </x:c>
      <x:c r="B592" s="56" t="str">
        <x:v>FV-0332</x:v>
      </x:c>
      <x:c r="C592" s="53" t="str">
        <x:v>Fan chronology — Legends after Endor</x:v>
      </x:c>
      <x:c r="D592" s="53" t="str">
        <x:v>The Empire Built a Machine That ATE CITIES | Star Wars Legends</x:v>
      </x:c>
      <x:c r="E592" s="53" t="str"/>
      <x:c r="F592" s="53" t="str">
        <x:v>August 28, 2026</x:v>
      </x:c>
      <x:c r="G592" s="53" t="str">
        <x:v>Fan-made / non-canon</x:v>
      </x:c>
      <x:c r="H592" s="53" t="str">
        <x:v>Fan video</x:v>
      </x:c>
      <x:c r="I592" s="53" t="str">
        <x:v>YouTube — search by title</x:v>
      </x:c>
      <x:c r="J592" s="59" t="e">
        <x:f>HYPERLINK("https://www.youtube.com/results?search_query=The%20Empire%20Built%20a%20Machine%20That%20ATE%20CITIES%20%7C%20Star%20Wars%20Legends","Search")</x:f>
        <x:v>HYPERLINK is not implemented. linkLocation=https://www.youtube.com/results?search_query=The%20Empire%20Built%20a%20Machine%20That%20ATE%20CITIES%20%7C%20Star%20Wars%20Legends, friendlyName=Search</x:v>
      </x:c>
      <x:c r="K592" s="53" t="str">
        <x:v>World Devastators attack during the post-Endor Dark Empire era.</x:v>
      </x:c>
      <x:c r="L592" s="76" t="str"/>
      <x:c r="M592" s="76" t="str">
        <x:v>The Empire Built a Machine That ATE CITIES | Star Wars Legends</x:v>
      </x:c>
      <x:c r="N592" s="76"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592" s="76" t="str">
        <x:v>Legends after Endor — Dark Empire / World Devastators</x:v>
      </x:c>
      <x:c r="P592" s="76" t="str">
        <x:v>IMG_6518.PNG</x:v>
      </x:c>
      <x:c r="Q592" s="76" t="str">
        <x:v>OCR extracted / placement assigned</x:v>
      </x:c>
      <x:c r="R592" s="76" t="str">
        <x:v>High</x:v>
      </x:c>
      <x:c r="S592" s="76" t="str"/>
      <x:c r="T592" s="76" t="str">
        <x:v>Unique</x:v>
      </x:c>
    </x:row>
    <x:row r="593" s="23" customFormat="1" ht="36" customHeight="1">
      <x:c r="A593" s="49" t="b">
        <x:v>0</x:v>
      </x:c>
      <x:c r="B593" s="56" t="str">
        <x:v>FV-0098</x:v>
      </x:c>
      <x:c r="C593" s="53" t="str">
        <x:v>Fan chronology — Legends after Endor</x:v>
      </x:c>
      <x:c r="D593" s="53" t="str">
        <x:v>Luke Skywalker vs. Darth Sidious — Episode 1 | “You Were Afraid of Him, Too.”</x:v>
      </x:c>
      <x:c r="E593" s="53" t="str">
        <x:v>Episode 1</x:v>
      </x:c>
      <x:c r="F593" s="53" t="str">
        <x:v>October 4, 2026</x:v>
      </x:c>
      <x:c r="G593" s="53" t="str">
        <x:v>Fan-made / non-canon</x:v>
      </x:c>
      <x:c r="H593" s="53" t="str">
        <x:v>Fan video</x:v>
      </x:c>
      <x:c r="I593" s="53" t="str">
        <x:v>YouTube — search by title</x:v>
      </x:c>
      <x:c r="J593" s="59" t="e">
        <x:f>HYPERLINK("https://www.youtube.com/results?search_query=Luke%20Skywalker%20vs.%20Darth%20Sidious%20%E2%80%94%20Episode%201%20%7C%20%E2%80%9CYou%20Were%20Afraid%20of%20Him%2C%20Too.%E2%80%9D","Search")</x:f>
        <x:v>HYPERLINK is not implemented. linkLocation=https://www.youtube.com/results?search_query=Luke%20Skywalker%20vs.%20Darth%20Sidious%20%E2%80%94%20Episode%201%20%7C%20%E2%80%9CYou%20Were%20Afraid%20of%20Him%2C%20Too.%E2%80%9D, friendlyName=Search</x:v>
      </x:c>
      <x:c r="K593" s="53" t="str">
        <x:v>Post-Endor Luke/Sidious confrontation; fan interpretation.</x:v>
      </x:c>
      <x:c r="L593" s="76" t="str">
        <x:v>Luke Skywalker vs. Darth Sidious</x:v>
      </x:c>
      <x:c r="M593" s="76" t="str">
        <x:v>Luke Skywalker vs. Darth Sidious — Episode 1 | “You Were Afraid of Him, Too.”</x:v>
      </x:c>
      <x:c r="N593" s="76"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593" s="76" t="str">
        <x:v>Legends after Endor — Dark Empire-style alternate</x:v>
      </x:c>
      <x:c r="P593" s="76" t="str">
        <x:v>IMG_6281.PNG</x:v>
      </x:c>
      <x:c r="Q593" s="76" t="str">
        <x:v>OCR extracted / placement assigned</x:v>
      </x:c>
      <x:c r="R593" s="76" t="str">
        <x:v>Medium</x:v>
      </x:c>
      <x:c r="S593" s="76" t="str"/>
      <x:c r="T593" s="76" t="str">
        <x:v>Unique</x:v>
      </x:c>
    </x:row>
    <x:row r="594" s="23" customFormat="1" ht="36" customHeight="1">
      <x:c r="A594" s="49" t="b">
        <x:v>0</x:v>
      </x:c>
      <x:c r="B594" s="56" t="str">
        <x:v>FV-0165</x:v>
      </x:c>
      <x:c r="C594" s="53" t="str">
        <x:v>Fan chronology — Legends after Endor</x:v>
      </x:c>
      <x:c r="D594" s="53" t="str">
        <x:v>NEW REPUBLIC: KYLE KATARN VS JEREC | UNLEASHED</x:v>
      </x:c>
      <x:c r="E594" s="53" t="str"/>
      <x:c r="F594" s="53" t="str">
        <x:v>September 27, 2026</x:v>
      </x:c>
      <x:c r="G594" s="53" t="str">
        <x:v>Fan-made / non-canon</x:v>
      </x:c>
      <x:c r="H594" s="53" t="str">
        <x:v>Fan video</x:v>
      </x:c>
      <x:c r="I594" s="53" t="str">
        <x:v>YouTube — search by title</x:v>
      </x:c>
      <x:c r="J594" s="59" t="e">
        <x:f>HYPERLINK("https://www.youtube.com/results?search_query=NEW%20REPUBLIC%3A%20KYLE%20KATARN%20VS%20JEREC%20%7C%20UNLEASHED","Search")</x:f>
        <x:v>HYPERLINK is not implemented. linkLocation=https://www.youtube.com/results?search_query=NEW%20REPUBLIC%3A%20KYLE%20KATARN%20VS%20JEREC%20%7C%20UNLEASHED, friendlyName=Search</x:v>
      </x:c>
      <x:c r="K594" s="53" t="str">
        <x:v>Post-Endor Legends continuity.</x:v>
      </x:c>
      <x:c r="L594" s="76" t="str"/>
      <x:c r="M594" s="76" t="str">
        <x:v>NEW REPUBLIC: KYLE KATARN VS JEREC | UNLEASHED</x:v>
      </x:c>
      <x:c r="N594" s="76"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594" s="76" t="str">
        <x:v>Legends after Endor — Kyle Katarn / Jerec</x:v>
      </x:c>
      <x:c r="P594" s="76" t="str">
        <x:v>IMG_6348.PNG</x:v>
      </x:c>
      <x:c r="Q594" s="76" t="str">
        <x:v>OCR extracted / placement assigned</x:v>
      </x:c>
      <x:c r="R594" s="76" t="str">
        <x:v>High</x:v>
      </x:c>
      <x:c r="S594" s="76" t="str"/>
      <x:c r="T594" s="76" t="str">
        <x:v>Unique</x:v>
      </x:c>
    </x:row>
    <x:row r="595" s="23" customFormat="1" ht="36" customHeight="1">
      <x:c r="A595" s="49" t="b">
        <x:v>0</x:v>
      </x:c>
      <x:c r="B595" s="56" t="str">
        <x:v>FV-0450</x:v>
      </x:c>
      <x:c r="C595" s="53" t="str">
        <x:v>Fan chronology — Legends after Endor</x:v>
      </x:c>
      <x:c r="D595" s="53" t="str">
        <x:v>⚔️ Jedi vs Vong Warrior | The Force Wasn’t Enough</x:v>
      </x:c>
      <x:c r="E595" s="53" t="str"/>
      <x:c r="F595" s="53" t="str">
        <x:v>June 12, 2026</x:v>
      </x:c>
      <x:c r="G595" s="53" t="str">
        <x:v>Fan-made / non-canon</x:v>
      </x:c>
      <x:c r="H595" s="53" t="str">
        <x:v>Fan video</x:v>
      </x:c>
      <x:c r="I595" s="53" t="str">
        <x:v>YouTube — search by title</x:v>
      </x:c>
      <x:c r="J595" s="59" t="e">
        <x:f>HYPERLINK("https://www.youtube.com/results?search_query=%E2%9A%94%EF%B8%8F%20Jedi%20vs%20Vong%20Warrior%20%7C%20The%20Force%20Wasn%E2%80%99t%20Enough","Search")</x:f>
        <x:v>HYPERLINK is not implemented. linkLocation=https://www.youtube.com/results?search_query=%E2%9A%94%EF%B8%8F%20Jedi%20vs%20Vong%20Warrior%20%7C%20The%20Force%20Wasn%E2%80%99t%20Enough, friendlyName=Search</x:v>
      </x:c>
      <x:c r="K595" s="53" t="str">
        <x:v>Broadly 25-29 ABY in Legends continuity.</x:v>
      </x:c>
      <x:c r="L595" s="76" t="str"/>
      <x:c r="M595" s="76" t="str">
        <x:v>⚔️ Jedi vs Vong Warrior | The Force Wasn’t Enough</x:v>
      </x:c>
      <x:c r="N595" s="76"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595" s="76" t="str">
        <x:v>Legends after Endor — New Jedi Order / Yuuzhan Vong War</x:v>
      </x:c>
      <x:c r="P595" s="76" t="str">
        <x:v>IMG_6636.PNG</x:v>
      </x:c>
      <x:c r="Q595" s="76" t="str">
        <x:v>OCR extracted / placement assigned</x:v>
      </x:c>
      <x:c r="R595" s="76" t="str">
        <x:v>High</x:v>
      </x:c>
      <x:c r="S595" s="76" t="str"/>
      <x:c r="T595" s="76" t="str">
        <x:v>Unique</x:v>
      </x:c>
    </x:row>
    <x:row r="596" s="23" customFormat="1" ht="36" customHeight="1">
      <x:c r="A596" s="49" t="b">
        <x:v>0</x:v>
      </x:c>
      <x:c r="B596" s="56" t="str">
        <x:v>FV-0202</x:v>
      </x:c>
      <x:c r="C596" s="53" t="str">
        <x:v>Fan chronology — Legends after Endor</x:v>
      </x:c>
      <x:c r="D596" s="53" t="str">
        <x:v>Jedi Trapped in Vong Territory... Then the Snakes Come Z, | Star Wars</x:v>
      </x:c>
      <x:c r="E596" s="53" t="str"/>
      <x:c r="F596" s="53" t="str">
        <x:v>September 19, 2026</x:v>
      </x:c>
      <x:c r="G596" s="53" t="str">
        <x:v>Fan-made / non-canon</x:v>
      </x:c>
      <x:c r="H596" s="53" t="str">
        <x:v>Fan video</x:v>
      </x:c>
      <x:c r="I596" s="53" t="str">
        <x:v>YouTube — search by title</x:v>
      </x:c>
      <x:c r="J596" s="59" t="e">
        <x:f>HYPERLINK("https://www.youtube.com/results?search_query=Jedi%20Trapped%20in%20Vong%20Territory...%20Then%20the%20Snakes%20Come%20Z%2C%20%7C%20Star%20Wars","Search")</x:f>
        <x:v>HYPERLINK is not implemented. linkLocation=https://www.youtube.com/results?search_query=Jedi%20Trapped%20in%20Vong%20Territory...%20Then%20the%20Snakes%20Come%20Z%2C%20%7C%20Star%20Wars, friendlyName=Search</x:v>
      </x:c>
      <x:c r="K596" s="53" t="str">
        <x:v>Broadly 25-29 ABY in Legends continuity.</x:v>
      </x:c>
      <x:c r="L596" s="76" t="str"/>
      <x:c r="M596" s="76" t="str">
        <x:v>Jedi Trapped in Vong Territory... Then the Snakes Come Z, | Star Wars</x:v>
      </x:c>
      <x:c r="N596" s="76"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596" s="76" t="str">
        <x:v>Legends after Endor — New Jedi Order / Yuuzhan Vong War</x:v>
      </x:c>
      <x:c r="P596" s="76" t="str">
        <x:v>IMG_6385.PNG</x:v>
      </x:c>
      <x:c r="Q596" s="76" t="str">
        <x:v>OCR extracted / placement assigned</x:v>
      </x:c>
      <x:c r="R596" s="76" t="str">
        <x:v>High</x:v>
      </x:c>
      <x:c r="S596" s="76" t="str"/>
      <x:c r="T596" s="76" t="str">
        <x:v>Unique</x:v>
      </x:c>
    </x:row>
    <x:row r="597" s="23" customFormat="1" ht="36" customHeight="1">
      <x:c r="A597" s="49" t="b">
        <x:v>0</x:v>
      </x:c>
      <x:c r="B597" s="56" t="str">
        <x:v>FV-0204</x:v>
      </x:c>
      <x:c r="C597" s="53" t="str">
        <x:v>Fan chronology — Legends after Endor</x:v>
      </x:c>
      <x:c r="D597" s="53" t="str">
        <x:v>Jedi vs Yuuzhan Vong — Thud Bugs &amp; Razor Bugs Attack | Amphistaff Biotech War</x:v>
      </x:c>
      <x:c r="E597" s="53" t="str"/>
      <x:c r="F597" s="53" t="str">
        <x:v>September 17, 2026</x:v>
      </x:c>
      <x:c r="G597" s="53" t="str">
        <x:v>Fan-made / non-canon</x:v>
      </x:c>
      <x:c r="H597" s="53" t="str">
        <x:v>Fan video</x:v>
      </x:c>
      <x:c r="I597" s="53" t="str">
        <x:v>YouTube — search by title</x:v>
      </x:c>
      <x:c r="J597" s="59" t="e">
        <x:f>HYPERLINK("https://www.youtube.com/results?search_query=Jedi%20vs%20Yuuzhan%20Vong%20%E2%80%94%20Thud%20Bugs%20%26%20Razor%20Bugs%20Attack%20%7C%20Amphistaff%20Biotech%20War","Search")</x:f>
        <x:v>HYPERLINK is not implemented. linkLocation=https://www.youtube.com/results?search_query=Jedi%20vs%20Yuuzhan%20Vong%20%E2%80%94%20Thud%20Bugs%20%26%20Razor%20Bugs%20Attack%20%7C%20Amphistaff%20Biotech%20War, friendlyName=Search</x:v>
      </x:c>
      <x:c r="K597" s="53" t="str">
        <x:v>Broadly 25-29 ABY in Legends continuity.</x:v>
      </x:c>
      <x:c r="L597" s="76" t="str"/>
      <x:c r="M597" s="76" t="str">
        <x:v>Jedi vs Yuuzhan Vong — Thud Bugs &amp; Razor Bugs Attack | Amphistaff Biotech War</x:v>
      </x:c>
      <x:c r="N597" s="76"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597" s="76" t="str">
        <x:v>Legends after Endor — New Jedi Order / Yuuzhan Vong War</x:v>
      </x:c>
      <x:c r="P597" s="76" t="str">
        <x:v>IMG_6387.PNG</x:v>
      </x:c>
      <x:c r="Q597" s="76" t="str">
        <x:v>OCR extracted / placement assigned</x:v>
      </x:c>
      <x:c r="R597" s="76" t="str">
        <x:v>High</x:v>
      </x:c>
      <x:c r="S597" s="76" t="str"/>
      <x:c r="T597" s="76" t="str">
        <x:v>Unique</x:v>
      </x:c>
    </x:row>
    <x:row r="598" s="23" customFormat="1" ht="36" customHeight="1">
      <x:c r="A598" s="49" t="b">
        <x:v>0</x:v>
      </x:c>
      <x:c r="B598" s="56" t="str">
        <x:v>FV-0354</x:v>
      </x:c>
      <x:c r="C598" s="53" t="str">
        <x:v>Fan chronology — Legends after Endor</x:v>
      </x:c>
      <x:c r="D598" s="53" t="str">
        <x:v>Star Wars Legends: The Creature BRED to Hunt Jedi | The Voxyn</x:v>
      </x:c>
      <x:c r="E598" s="53" t="str"/>
      <x:c r="F598" s="53" t="str">
        <x:v>August 26, 2026</x:v>
      </x:c>
      <x:c r="G598" s="53" t="str">
        <x:v>Fan-made / non-canon</x:v>
      </x:c>
      <x:c r="H598" s="53" t="str">
        <x:v>Fan video</x:v>
      </x:c>
      <x:c r="I598" s="53" t="str">
        <x:v>YouTube — search by title</x:v>
      </x:c>
      <x:c r="J598" s="59" t="e">
        <x:f>HYPERLINK("https://www.youtube.com/results?search_query=Star%20Wars%20Legends%3A%20The%20Creature%20BRED%20to%20Hunt%20Jedi%20%7C%20The%20Voxyn","Search")</x:f>
        <x:v>HYPERLINK is not implemented. linkLocation=https://www.youtube.com/results?search_query=Star%20Wars%20Legends%3A%20The%20Creature%20BRED%20to%20Hunt%20Jedi%20%7C%20The%20Voxyn, friendlyName=Search</x:v>
      </x:c>
      <x:c r="K598" s="53" t="str">
        <x:v>Broadly 25-29 ABY in Legends continuity.</x:v>
      </x:c>
      <x:c r="L598" s="76" t="str"/>
      <x:c r="M598" s="76" t="str">
        <x:v>Star Wars Legends: The Creature BRED to Hunt Jedi | The Voxyn</x:v>
      </x:c>
      <x:c r="N598" s="76"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598" s="76" t="str">
        <x:v>Legends after Endor — New Jedi Order / Yuuzhan Vong War</x:v>
      </x:c>
      <x:c r="P598" s="76" t="str">
        <x:v>IMG_6540.PNG</x:v>
      </x:c>
      <x:c r="Q598" s="76" t="str">
        <x:v>OCR extracted / placement assigned</x:v>
      </x:c>
      <x:c r="R598" s="76" t="str">
        <x:v>High</x:v>
      </x:c>
      <x:c r="S598" s="76" t="str"/>
      <x:c r="T598" s="76" t="str">
        <x:v>Unique</x:v>
      </x:c>
    </x:row>
    <x:row r="599" s="23" customFormat="1" ht="36" customHeight="1">
      <x:c r="A599" s="49" t="b">
        <x:v>0</x:v>
      </x:c>
      <x:c r="B599" s="56" t="str">
        <x:v>FV-0160</x:v>
      </x:c>
      <x:c r="C599" s="53" t="str">
        <x:v>Fan chronology — Legends after Endor</x:v>
      </x:c>
      <x:c r="D599" s="53" t="str">
        <x:v>THE BLUE SHIELD VS. THE YUUZHAN VONG | Fortress Duel</x:v>
      </x:c>
      <x:c r="E599" s="53" t="str"/>
      <x:c r="F599" s="53" t="str">
        <x:v>September 28, 2026</x:v>
      </x:c>
      <x:c r="G599" s="53" t="str">
        <x:v>Fan-made / non-canon</x:v>
      </x:c>
      <x:c r="H599" s="53" t="str">
        <x:v>Fan video</x:v>
      </x:c>
      <x:c r="I599" s="53" t="str">
        <x:v>YouTube — search by title</x:v>
      </x:c>
      <x:c r="J599" s="59" t="e">
        <x:f>HYPERLINK("https://www.youtube.com/results?search_query=THE%20BLUE%20SHIELD%20VS.%20THE%20YUUZHAN%20VONG%20%7C%20Fortress%20Duel","Search")</x:f>
        <x:v>HYPERLINK is not implemented. linkLocation=https://www.youtube.com/results?search_query=THE%20BLUE%20SHIELD%20VS.%20THE%20YUUZHAN%20VONG%20%7C%20Fortress%20Duel, friendlyName=Search</x:v>
      </x:c>
      <x:c r="K599" s="53" t="str">
        <x:v>Broadly 25-29 ABY in Legends continuity.</x:v>
      </x:c>
      <x:c r="L599" s="76" t="str"/>
      <x:c r="M599" s="76" t="str">
        <x:v>THE BLUE SHIELD VS. THE YUUZHAN VONG | Fortress Duel</x:v>
      </x:c>
      <x:c r="N599" s="76"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599" s="76" t="str">
        <x:v>Legends after Endor — New Jedi Order / Yuuzhan Vong War</x:v>
      </x:c>
      <x:c r="P599" s="76" t="str">
        <x:v>IMG_6343.PNG</x:v>
      </x:c>
      <x:c r="Q599" s="76" t="str">
        <x:v>OCR extracted / placement assigned</x:v>
      </x:c>
      <x:c r="R599" s="76" t="str">
        <x:v>High</x:v>
      </x:c>
      <x:c r="S599" s="76" t="str"/>
      <x:c r="T599" s="76" t="str">
        <x:v>Unique</x:v>
      </x:c>
    </x:row>
    <x:row r="600" s="23" customFormat="1" ht="36" customHeight="1">
      <x:c r="A600" s="49" t="b">
        <x:v>0</x:v>
      </x:c>
      <x:c r="B600" s="56" t="str">
        <x:v>FV-0323</x:v>
      </x:c>
      <x:c r="C600" s="53" t="str">
        <x:v>Fan chronology — Legends after Endor</x:v>
      </x:c>
      <x:c r="D600" s="53" t="str">
        <x:v>The Jedi Disarmed the Vong... Then the Weapon CRAWLED BACK @</x:v>
      </x:c>
      <x:c r="E600" s="53" t="str"/>
      <x:c r="F600" s="53" t="str">
        <x:v>August 29, 2026</x:v>
      </x:c>
      <x:c r="G600" s="53" t="str">
        <x:v>Fan-made / non-canon</x:v>
      </x:c>
      <x:c r="H600" s="53" t="str">
        <x:v>Fan video</x:v>
      </x:c>
      <x:c r="I600" s="53" t="str">
        <x:v>YouTube — search by title</x:v>
      </x:c>
      <x:c r="J600" s="59" t="e">
        <x:f>HYPERLINK("https://www.youtube.com/results?search_query=The%20Jedi%20Disarmed%20the%20Vong...%20Then%20the%20Weapon%20CRAWLED%20BACK%20%40","Search")</x:f>
        <x:v>HYPERLINK is not implemented. linkLocation=https://www.youtube.com/results?search_query=The%20Jedi%20Disarmed%20the%20Vong...%20Then%20the%20Weapon%20CRAWLED%20BACK%20%40, friendlyName=Search</x:v>
      </x:c>
      <x:c r="K600" s="53" t="str">
        <x:v>Broadly 25-29 ABY in Legends continuity.</x:v>
      </x:c>
      <x:c r="L600" s="76" t="str"/>
      <x:c r="M600" s="76" t="str">
        <x:v>The Jedi Disarmed the Vong... Then the Weapon CRAWLED BACK @</x:v>
      </x:c>
      <x:c r="N600" s="76"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600" s="76" t="str">
        <x:v>Legends after Endor — New Jedi Order / Yuuzhan Vong War</x:v>
      </x:c>
      <x:c r="P600" s="76" t="str">
        <x:v>IMG_6509.PNG</x:v>
      </x:c>
      <x:c r="Q600" s="76" t="str">
        <x:v>OCR extracted / placement assigned</x:v>
      </x:c>
      <x:c r="R600" s="76" t="str">
        <x:v>High</x:v>
      </x:c>
      <x:c r="S600" s="76" t="str"/>
      <x:c r="T600" s="76" t="str">
        <x:v>Unique</x:v>
      </x:c>
    </x:row>
    <x:row r="601" s="23" customFormat="1" ht="36" customHeight="1">
      <x:c r="A601" s="49" t="b">
        <x:v>0</x:v>
      </x:c>
      <x:c r="B601" s="56" t="str">
        <x:v>FV-0315</x:v>
      </x:c>
      <x:c r="C601" s="53" t="str">
        <x:v>Fan chronology — Legends after Endor</x:v>
      </x:c>
      <x:c r="D601" s="53" t="str">
        <x:v>The Jedi Found a Vong Infiltrator—But He Wasn't Alone</x:v>
      </x:c>
      <x:c r="E601" s="53" t="str"/>
      <x:c r="F601" s="53" t="str">
        <x:v>August 30, 2026</x:v>
      </x:c>
      <x:c r="G601" s="53" t="str">
        <x:v>Fan-made / non-canon</x:v>
      </x:c>
      <x:c r="H601" s="53" t="str">
        <x:v>Fan video</x:v>
      </x:c>
      <x:c r="I601" s="53" t="str">
        <x:v>YouTube — search by title</x:v>
      </x:c>
      <x:c r="J601" s="59" t="e">
        <x:f>HYPERLINK("https://www.youtube.com/results?search_query=The%20Jedi%20Found%20a%20Vong%20Infiltrator%E2%80%94But%20He%20Wasn't%20Alone","Search")</x:f>
        <x:v>HYPERLINK is not implemented. linkLocation=https://www.youtube.com/results?search_query=The%20Jedi%20Found%20a%20Vong%20Infiltrator%E2%80%94But%20He%20Wasn't%20Alone, friendlyName=Search</x:v>
      </x:c>
      <x:c r="K601" s="53" t="str">
        <x:v>Broadly 25-29 ABY in Legends continuity.</x:v>
      </x:c>
      <x:c r="L601" s="76" t="str"/>
      <x:c r="M601" s="76" t="str">
        <x:v>The Jedi Found a Vong Infiltrator—But He Wasn't Alone</x:v>
      </x:c>
      <x:c r="N601" s="76"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601" s="76" t="str">
        <x:v>Legends after Endor — New Jedi Order / Yuuzhan Vong War</x:v>
      </x:c>
      <x:c r="P601" s="76" t="str">
        <x:v>IMG_6501.PNG</x:v>
      </x:c>
      <x:c r="Q601" s="76" t="str">
        <x:v>OCR extracted / placement assigned</x:v>
      </x:c>
      <x:c r="R601" s="76" t="str">
        <x:v>High</x:v>
      </x:c>
      <x:c r="S601" s="76" t="str"/>
      <x:c r="T601" s="76" t="str">
        <x:v>Unique</x:v>
      </x:c>
    </x:row>
    <x:row r="602" s="23" customFormat="1" ht="36" customHeight="1">
      <x:c r="A602" s="49" t="b">
        <x:v>0</x:v>
      </x:c>
      <x:c r="B602" s="56" t="str">
        <x:v>FV-0341</x:v>
      </x:c>
      <x:c r="C602" s="53" t="str">
        <x:v>Fan chronology — Legends after Endor</x:v>
      </x:c>
      <x:c r="D602" s="53" t="str">
        <x:v>The Jedi Realized the Yuuzhan Vong’s Weapon Was ALIVE</x:v>
      </x:c>
      <x:c r="E602" s="53" t="str"/>
      <x:c r="F602" s="53" t="str">
        <x:v>August 27, 2026</x:v>
      </x:c>
      <x:c r="G602" s="53" t="str">
        <x:v>Fan-made / non-canon</x:v>
      </x:c>
      <x:c r="H602" s="53" t="str">
        <x:v>Fan video</x:v>
      </x:c>
      <x:c r="I602" s="53" t="str">
        <x:v>YouTube — search by title</x:v>
      </x:c>
      <x:c r="J602" s="59" t="e">
        <x:f>HYPERLINK("https://www.youtube.com/results?search_query=The%20Jedi%20Realized%20the%20Yuuzhan%20Vong%E2%80%99s%20Weapon%20Was%20ALIVE","Search")</x:f>
        <x:v>HYPERLINK is not implemented. linkLocation=https://www.youtube.com/results?search_query=The%20Jedi%20Realized%20the%20Yuuzhan%20Vong%E2%80%99s%20Weapon%20Was%20ALIVE, friendlyName=Search</x:v>
      </x:c>
      <x:c r="K602" s="53" t="str">
        <x:v>Broadly 25-29 ABY in Legends continuity.</x:v>
      </x:c>
      <x:c r="L602" s="76" t="str"/>
      <x:c r="M602" s="76" t="str">
        <x:v>The Jedi Realized the Yuuzhan Vong’s Weapon Was ALIVE</x:v>
      </x:c>
      <x:c r="N602" s="76"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602" s="76" t="str">
        <x:v>Legends after Endor — New Jedi Order / Yuuzhan Vong War</x:v>
      </x:c>
      <x:c r="P602" s="76" t="str">
        <x:v>IMG_6527.PNG</x:v>
      </x:c>
      <x:c r="Q602" s="76" t="str">
        <x:v>OCR extracted / placement assigned</x:v>
      </x:c>
      <x:c r="R602" s="76" t="str">
        <x:v>High</x:v>
      </x:c>
      <x:c r="S602" s="76" t="str"/>
      <x:c r="T602" s="76" t="str">
        <x:v>Unique</x:v>
      </x:c>
    </x:row>
    <x:row r="603" s="23" customFormat="1" ht="36" customHeight="1">
      <x:c r="A603" s="49" t="b">
        <x:v>0</x:v>
      </x:c>
      <x:c r="B603" s="56" t="str">
        <x:v>FV-0175</x:v>
      </x:c>
      <x:c r="C603" s="53" t="str">
        <x:v>Fan chronology — Legends after Endor</x:v>
      </x:c>
      <x:c r="D603" s="53" t="str">
        <x:v>THE JEDI vs THE YUUZHAN VONG é Something Worse Is Coming | Star Wars #Shorts</x:v>
      </x:c>
      <x:c r="E603" s="53" t="str"/>
      <x:c r="F603" s="53" t="str">
        <x:v>September 26, 2026</x:v>
      </x:c>
      <x:c r="G603" s="53" t="str">
        <x:v>Fan-made / non-canon</x:v>
      </x:c>
      <x:c r="H603" s="53" t="str">
        <x:v>Fan video</x:v>
      </x:c>
      <x:c r="I603" s="53" t="str">
        <x:v>YouTube — search by title</x:v>
      </x:c>
      <x:c r="J603" s="59" t="e">
        <x:f>HYPERLINK("https://www.youtube.com/results?search_query=THE%20JEDI%20vs%20THE%20YUUZHAN%20VONG%20%C3%A9%20Something%20Worse%20Is%20Coming%20%7C%20Star%20Wars%20%23Shorts","Search")</x:f>
        <x:v>HYPERLINK is not implemented. linkLocation=https://www.youtube.com/results?search_query=THE%20JEDI%20vs%20THE%20YUUZHAN%20VONG%20%C3%A9%20Something%20Worse%20Is%20Coming%20%7C%20Star%20Wars%20%23Shorts, friendlyName=Search</x:v>
      </x:c>
      <x:c r="K603" s="53" t="str">
        <x:v>Broadly 25-29 ABY in Legends continuity.</x:v>
      </x:c>
      <x:c r="L603" s="76" t="str"/>
      <x:c r="M603" s="76" t="str">
        <x:v>THE JEDI vs THE YUUZHAN VONG é Something Worse Is Coming | Star Wars #Shorts</x:v>
      </x:c>
      <x:c r="N603" s="76"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603" s="76" t="str">
        <x:v>Legends after Endor — New Jedi Order / Yuuzhan Vong War</x:v>
      </x:c>
      <x:c r="P603" s="76" t="str">
        <x:v>IMG_6358.PNG</x:v>
      </x:c>
      <x:c r="Q603" s="76" t="str">
        <x:v>OCR extracted / placement assigned</x:v>
      </x:c>
      <x:c r="R603" s="76" t="str">
        <x:v>High</x:v>
      </x:c>
      <x:c r="S603" s="76" t="str"/>
      <x:c r="T603" s="76" t="str">
        <x:v>Unique</x:v>
      </x:c>
    </x:row>
    <x:row r="604" s="23" customFormat="1" ht="36" customHeight="1">
      <x:c r="A604" s="49" t="b">
        <x:v>0</x:v>
      </x:c>
      <x:c r="B604" s="56" t="str">
        <x:v>FV-0351</x:v>
      </x:c>
      <x:c r="C604" s="53" t="str">
        <x:v>Fan chronology — Legends after Endor</x:v>
      </x:c>
      <x:c r="D604" s="53" t="str">
        <x:v>THE NEW JEDI ORDER — The Yuuzhan Vong Changed Everything</x:v>
      </x:c>
      <x:c r="E604" s="53" t="str"/>
      <x:c r="F604" s="53" t="str">
        <x:v>August 26, 2026</x:v>
      </x:c>
      <x:c r="G604" s="53" t="str">
        <x:v>Fan-made / non-canon</x:v>
      </x:c>
      <x:c r="H604" s="53" t="str">
        <x:v>Fan video</x:v>
      </x:c>
      <x:c r="I604" s="53" t="str">
        <x:v>YouTube — search by title</x:v>
      </x:c>
      <x:c r="J604" s="59" t="e">
        <x:f>HYPERLINK("https://www.youtube.com/results?search_query=THE%20NEW%20JEDI%20ORDER%20%E2%80%94%20The%20Yuuzhan%20Vong%20Changed%20Everything","Search")</x:f>
        <x:v>HYPERLINK is not implemented. linkLocation=https://www.youtube.com/results?search_query=THE%20NEW%20JEDI%20ORDER%20%E2%80%94%20The%20Yuuzhan%20Vong%20Changed%20Everything, friendlyName=Search</x:v>
      </x:c>
      <x:c r="K604" s="53" t="str">
        <x:v>Broadly 25-29 ABY in Legends continuity.</x:v>
      </x:c>
      <x:c r="L604" s="76" t="str"/>
      <x:c r="M604" s="76" t="str">
        <x:v>THE NEW JEDI ORDER — The Yuuzhan Vong Changed Everything</x:v>
      </x:c>
      <x:c r="N604" s="76"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604" s="76" t="str">
        <x:v>Legends after Endor — New Jedi Order / Yuuzhan Vong War</x:v>
      </x:c>
      <x:c r="P604" s="76" t="str">
        <x:v>IMG_6537.PNG</x:v>
      </x:c>
      <x:c r="Q604" s="76" t="str">
        <x:v>OCR extracted / placement assigned</x:v>
      </x:c>
      <x:c r="R604" s="76" t="str">
        <x:v>High</x:v>
      </x:c>
      <x:c r="S604" s="76" t="str"/>
      <x:c r="T604" s="76" t="str">
        <x:v>Unique</x:v>
      </x:c>
    </x:row>
    <x:row r="605" s="23" customFormat="1" ht="36" customHeight="1">
      <x:c r="A605" s="49" t="b">
        <x:v>0</x:v>
      </x:c>
      <x:c r="B605" s="56" t="str">
        <x:v>FV-0353</x:v>
      </x:c>
      <x:c r="C605" s="53" t="str">
        <x:v>Fan chronology — Legends after Endor</x:v>
      </x:c>
      <x:c r="D605" s="53" t="str">
        <x:v>THE NEW JEDI ORDER ERA — When the Galaxy Faced the Yuuzhan Vong</x:v>
      </x:c>
      <x:c r="E605" s="53" t="str"/>
      <x:c r="F605" s="53" t="str">
        <x:v>August 26, 2026</x:v>
      </x:c>
      <x:c r="G605" s="53" t="str">
        <x:v>Fan-made / non-canon</x:v>
      </x:c>
      <x:c r="H605" s="53" t="str">
        <x:v>Fan video</x:v>
      </x:c>
      <x:c r="I605" s="53" t="str">
        <x:v>YouTube — search by title</x:v>
      </x:c>
      <x:c r="J605" s="59" t="e">
        <x:f>HYPERLINK("https://www.youtube.com/results?search_query=THE%20NEW%20JEDI%20ORDER%20ERA%20%E2%80%94%20When%20the%20Galaxy%20Faced%20the%20Yuuzhan%20Vong","Search")</x:f>
        <x:v>HYPERLINK is not implemented. linkLocation=https://www.youtube.com/results?search_query=THE%20NEW%20JEDI%20ORDER%20ERA%20%E2%80%94%20When%20the%20Galaxy%20Faced%20the%20Yuuzhan%20Vong, friendlyName=Search</x:v>
      </x:c>
      <x:c r="K605" s="53" t="str">
        <x:v>Broadly 25-29 ABY in Legends continuity.</x:v>
      </x:c>
      <x:c r="L605" s="76" t="str"/>
      <x:c r="M605" s="76" t="str">
        <x:v>THE NEW JEDI ORDER ERA — When the Galaxy Faced the Yuuzhan Vong</x:v>
      </x:c>
      <x:c r="N605" s="76"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605" s="76" t="str">
        <x:v>Legends after Endor — New Jedi Order / Yuuzhan Vong War</x:v>
      </x:c>
      <x:c r="P605" s="76" t="str">
        <x:v>IMG_6539.PNG</x:v>
      </x:c>
      <x:c r="Q605" s="76" t="str">
        <x:v>OCR extracted / placement assigned</x:v>
      </x:c>
      <x:c r="R605" s="76" t="str">
        <x:v>High</x:v>
      </x:c>
      <x:c r="S605" s="76" t="str"/>
      <x:c r="T605" s="76" t="str">
        <x:v>Unique</x:v>
      </x:c>
    </x:row>
    <x:row r="606" s="23" customFormat="1" ht="36" customHeight="1">
      <x:c r="A606" s="49" t="b">
        <x:v>0</x:v>
      </x:c>
      <x:c r="B606" s="56" t="str">
        <x:v>FV-0331</x:v>
      </x:c>
      <x:c r="C606" s="53" t="str">
        <x:v>Fan chronology — Legends after Endor</x:v>
      </x:c>
      <x:c r="D606" s="53" t="str">
        <x:v>The Vong</x:v>
      </x:c>
      <x:c r="E606" s="53" t="str"/>
      <x:c r="F606" s="53" t="str">
        <x:v>August 29, 2026</x:v>
      </x:c>
      <x:c r="G606" s="53" t="str">
        <x:v>Fan-made / non-canon</x:v>
      </x:c>
      <x:c r="H606" s="53" t="str">
        <x:v>Fan video</x:v>
      </x:c>
      <x:c r="I606" s="53" t="str">
        <x:v>YouTube — search by title</x:v>
      </x:c>
      <x:c r="J606" s="59" t="e">
        <x:f>HYPERLINK("https://www.youtube.com/results?search_query=The%20Vong","Search")</x:f>
        <x:v>HYPERLINK is not implemented. linkLocation=https://www.youtube.com/results?search_query=The%20Vong, friendlyName=Search</x:v>
      </x:c>
      <x:c r="K606" s="53" t="str">
        <x:v>Broadly 25-29 ABY in Legends continuity.</x:v>
      </x:c>
      <x:c r="L606" s="76" t="str"/>
      <x:c r="M606" s="76" t="str">
        <x:v>The Vong</x:v>
      </x:c>
      <x:c r="N606" s="76"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606" s="76" t="str">
        <x:v>Legends after Endor — New Jedi Order / Yuuzhan Vong War</x:v>
      </x:c>
      <x:c r="P606" s="76" t="str">
        <x:v>IMG_6517.PNG</x:v>
      </x:c>
      <x:c r="Q606" s="76" t="str">
        <x:v>OCR extracted / placement assigned</x:v>
      </x:c>
      <x:c r="R606" s="76" t="str">
        <x:v>High</x:v>
      </x:c>
      <x:c r="S606" s="76" t="str"/>
      <x:c r="T606" s="76" t="str">
        <x:v>Unique</x:v>
      </x:c>
    </x:row>
    <x:row r="607" s="23" customFormat="1" ht="36" customHeight="1">
      <x:c r="A607" s="49" t="b">
        <x:v>0</x:v>
      </x:c>
      <x:c r="B607" s="56" t="str">
        <x:v>FV-0248</x:v>
      </x:c>
      <x:c r="C607" s="53" t="str">
        <x:v>Fan chronology — Legends after Endor</x:v>
      </x:c>
      <x:c r="D607" s="53" t="str">
        <x:v>The Vong Caught a Lightsaber With Living Armor</x:v>
      </x:c>
      <x:c r="E607" s="53" t="str"/>
      <x:c r="F607" s="53" t="str">
        <x:v>September 7, 2026</x:v>
      </x:c>
      <x:c r="G607" s="53" t="str">
        <x:v>Fan-made / non-canon</x:v>
      </x:c>
      <x:c r="H607" s="53" t="str">
        <x:v>Fan video</x:v>
      </x:c>
      <x:c r="I607" s="53" t="str">
        <x:v>YouTube — search by title</x:v>
      </x:c>
      <x:c r="J607" s="59" t="e">
        <x:f>HYPERLINK("https://www.youtube.com/results?search_query=The%20Vong%20Caught%20a%20Lightsaber%20With%20Living%20Armor","Search")</x:f>
        <x:v>HYPERLINK is not implemented. linkLocation=https://www.youtube.com/results?search_query=The%20Vong%20Caught%20a%20Lightsaber%20With%20Living%20Armor, friendlyName=Search</x:v>
      </x:c>
      <x:c r="K607" s="53" t="str">
        <x:v>Broadly 25-29 ABY in Legends continuity.</x:v>
      </x:c>
      <x:c r="L607" s="76" t="str"/>
      <x:c r="M607" s="76" t="str">
        <x:v>The Vong Caught a Lightsaber With Living Armor</x:v>
      </x:c>
      <x:c r="N607" s="76"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607" s="76" t="str">
        <x:v>Legends after Endor — New Jedi Order / Yuuzhan Vong War</x:v>
      </x:c>
      <x:c r="P607" s="76" t="str">
        <x:v>IMG_6431.PNG</x:v>
      </x:c>
      <x:c r="Q607" s="76" t="str">
        <x:v>OCR extracted / placement assigned</x:v>
      </x:c>
      <x:c r="R607" s="76" t="str">
        <x:v>High</x:v>
      </x:c>
      <x:c r="S607" s="76" t="str"/>
      <x:c r="T607" s="76" t="str">
        <x:v>Unique</x:v>
      </x:c>
    </x:row>
    <x:row r="608" s="23" customFormat="1" ht="36" customHeight="1">
      <x:c r="A608" s="49" t="b">
        <x:v>0</x:v>
      </x:c>
      <x:c r="B608" s="56" t="str">
        <x:v>FV-0310</x:v>
      </x:c>
      <x:c r="C608" s="53" t="str">
        <x:v>Fan chronology — Legends after Endor</x:v>
      </x:c>
      <x:c r="D608" s="53" t="str">
        <x:v>The Vong Didn’t Need Generals—They Grew One</x:v>
      </x:c>
      <x:c r="E608" s="53" t="str"/>
      <x:c r="F608" s="53" t="str">
        <x:v>August 31, 2026</x:v>
      </x:c>
      <x:c r="G608" s="53" t="str">
        <x:v>Fan-made / non-canon</x:v>
      </x:c>
      <x:c r="H608" s="53" t="str">
        <x:v>Fan video</x:v>
      </x:c>
      <x:c r="I608" s="53" t="str">
        <x:v>YouTube — search by title</x:v>
      </x:c>
      <x:c r="J608" s="59" t="e">
        <x:f>HYPERLINK("https://www.youtube.com/results?search_query=The%20Vong%20Didn%E2%80%99t%20Need%20Generals%E2%80%94They%20Grew%20One","Search")</x:f>
        <x:v>HYPERLINK is not implemented. linkLocation=https://www.youtube.com/results?search_query=The%20Vong%20Didn%E2%80%99t%20Need%20Generals%E2%80%94They%20Grew%20One, friendlyName=Search</x:v>
      </x:c>
      <x:c r="K608" s="53" t="str">
        <x:v>Broadly 25-29 ABY in Legends continuity.</x:v>
      </x:c>
      <x:c r="L608" s="76" t="str"/>
      <x:c r="M608" s="76" t="str">
        <x:v>The Vong Didn’t Need Generals—They Grew One</x:v>
      </x:c>
      <x:c r="N608" s="76"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608" s="76" t="str">
        <x:v>Legends after Endor — New Jedi Order / Yuuzhan Vong War</x:v>
      </x:c>
      <x:c r="P608" s="76" t="str">
        <x:v>IMG_6496.PNG</x:v>
      </x:c>
      <x:c r="Q608" s="76" t="str">
        <x:v>OCR extracted / placement assigned</x:v>
      </x:c>
      <x:c r="R608" s="76" t="str">
        <x:v>High</x:v>
      </x:c>
      <x:c r="S608" s="76" t="str"/>
      <x:c r="T608" s="76" t="str">
        <x:v>Unique</x:v>
      </x:c>
    </x:row>
    <x:row r="609" s="23" customFormat="1" ht="36" customHeight="1">
      <x:c r="A609" s="49" t="b">
        <x:v>0</x:v>
      </x:c>
      <x:c r="B609" s="56" t="str">
        <x:v>FV-0274</x:v>
      </x:c>
      <x:c r="C609" s="53" t="str">
        <x:v>Fan chronology — Legends after Endor</x:v>
      </x:c>
      <x:c r="D609" s="53" t="str">
        <x:v>The Vong Eye Was Never Made to See</x:v>
      </x:c>
      <x:c r="E609" s="53" t="str"/>
      <x:c r="F609" s="53" t="str">
        <x:v>September 3, 2026</x:v>
      </x:c>
      <x:c r="G609" s="53" t="str">
        <x:v>Fan-made / non-canon</x:v>
      </x:c>
      <x:c r="H609" s="53" t="str">
        <x:v>Fan video</x:v>
      </x:c>
      <x:c r="I609" s="53" t="str">
        <x:v>YouTube — search by title</x:v>
      </x:c>
      <x:c r="J609" s="59" t="e">
        <x:f>HYPERLINK("https://www.youtube.com/results?search_query=The%20Vong%20Eye%20Was%20Never%20Made%20to%20See","Search")</x:f>
        <x:v>HYPERLINK is not implemented. linkLocation=https://www.youtube.com/results?search_query=The%20Vong%20Eye%20Was%20Never%20Made%20to%20See, friendlyName=Search</x:v>
      </x:c>
      <x:c r="K609" s="53" t="str">
        <x:v>Broadly 25-29 ABY in Legends continuity.</x:v>
      </x:c>
      <x:c r="L609" s="76" t="str"/>
      <x:c r="M609" s="76" t="str">
        <x:v>The Vong Eye Was Never Made to See</x:v>
      </x:c>
      <x:c r="N609" s="76"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609" s="76" t="str">
        <x:v>Legends after Endor — New Jedi Order / Yuuzhan Vong War</x:v>
      </x:c>
      <x:c r="P609" s="76" t="str">
        <x:v>IMG_6459.PNG</x:v>
      </x:c>
      <x:c r="Q609" s="76" t="str">
        <x:v>OCR extracted / placement assigned</x:v>
      </x:c>
      <x:c r="R609" s="76" t="str">
        <x:v>High</x:v>
      </x:c>
      <x:c r="S609" s="76" t="str"/>
      <x:c r="T609" s="76" t="str">
        <x:v>Unique</x:v>
      </x:c>
    </x:row>
    <x:row r="610" s="23" customFormat="1" ht="36" customHeight="1">
      <x:c r="A610" s="49" t="b">
        <x:v>0</x:v>
      </x:c>
      <x:c r="B610" s="56" t="str">
        <x:v>FV-0569</x:v>
      </x:c>
      <x:c r="C610" s="53" t="str">
        <x:v>Fan chronology — Legends after Endor</x:v>
      </x:c>
      <x:c r="D610" s="53" t="str">
        <x:v>THE VONG HAVE ARRIVED — The Jedi Couldn’t Sense the Yuuzhan Vong</x:v>
      </x:c>
      <x:c r="E610" s="53" t="str"/>
      <x:c r="F610" s="53" t="str">
        <x:v>August 21, 2026</x:v>
      </x:c>
      <x:c r="G610" s="53" t="str">
        <x:v>Fan-made / non-canon</x:v>
      </x:c>
      <x:c r="H610" s="53" t="str">
        <x:v>Fan video</x:v>
      </x:c>
      <x:c r="I610" s="53" t="str">
        <x:v>YouTube — search by title</x:v>
      </x:c>
      <x:c r="J610" s="59" t="e">
        <x:f>HYPERLINK("https://www.youtube.com/results?search_query=THE%20VONG%20HAVE%20ARRIVED%20%E2%80%94%20The%20Jedi%20Couldn%E2%80%99t%20Sense%20the%20Yuuzhan%20Vong","Search")</x:f>
        <x:v>HYPERLINK is not implemented. linkLocation=https://www.youtube.com/results?search_query=THE%20VONG%20HAVE%20ARRIVED%20%E2%80%94%20The%20Jedi%20Couldn%E2%80%99t%20Sense%20the%20Yuuzhan%20Vong, friendlyName=Search</x:v>
      </x:c>
      <x:c r="K610" s="53" t="str">
        <x:v>Broadly 25-29 ABY in Legends continuity.</x:v>
      </x:c>
      <x:c r="L610" s="76" t="str"/>
      <x:c r="M610" s="76" t="str">
        <x:v>THE VONG HAVE ARRIVED — The Jedi Couldn’t Sense the Yuuzhan Vong</x:v>
      </x:c>
      <x:c r="N610" s="76"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610" s="76" t="str">
        <x:v>Legends after Endor — New Jedi Order / Yuuzhan Vong War</x:v>
      </x:c>
      <x:c r="P610" s="76" t="str">
        <x:v>IMG_6759.PNG</x:v>
      </x:c>
      <x:c r="Q610" s="76" t="str">
        <x:v>OCR extracted / placement assigned</x:v>
      </x:c>
      <x:c r="R610" s="76" t="str">
        <x:v>High</x:v>
      </x:c>
      <x:c r="S610" s="76" t="str"/>
      <x:c r="T610" s="76" t="str">
        <x:v>Unique</x:v>
      </x:c>
    </x:row>
    <x:row r="611" s="23" customFormat="1" ht="36" customHeight="1">
      <x:c r="A611" s="49" t="b">
        <x:v>0</x:v>
      </x:c>
      <x:c r="B611" s="56" t="str">
        <x:v>FV-0393</x:v>
      </x:c>
      <x:c r="C611" s="53" t="str">
        <x:v>Fan chronology — Legends after Endor</x:v>
      </x:c>
      <x:c r="D611" s="53" t="str">
        <x:v>The Vong Have Arrived | A Jedi Faces the Nightmare</x:v>
      </x:c>
      <x:c r="E611" s="53" t="str"/>
      <x:c r="F611" s="53" t="str">
        <x:v>August 23, 2026</x:v>
      </x:c>
      <x:c r="G611" s="53" t="str">
        <x:v>Fan-made / non-canon</x:v>
      </x:c>
      <x:c r="H611" s="53" t="str">
        <x:v>Fan video</x:v>
      </x:c>
      <x:c r="I611" s="53" t="str">
        <x:v>YouTube — search by title</x:v>
      </x:c>
      <x:c r="J611" s="59" t="e">
        <x:f>HYPERLINK("https://www.youtube.com/results?search_query=The%20Vong%20Have%20Arrived%20%7C%20A%20Jedi%20Faces%20the%20Nightmare","Search")</x:f>
        <x:v>HYPERLINK is not implemented. linkLocation=https://www.youtube.com/results?search_query=The%20Vong%20Have%20Arrived%20%7C%20A%20Jedi%20Faces%20the%20Nightmare, friendlyName=Search</x:v>
      </x:c>
      <x:c r="K611" s="53" t="str">
        <x:v>Broadly 25-29 ABY in Legends continuity.</x:v>
      </x:c>
      <x:c r="L611" s="76" t="str"/>
      <x:c r="M611" s="76" t="str">
        <x:v>The Vong Have Arrived | A Jedi Faces the Nightmare</x:v>
      </x:c>
      <x:c r="N611" s="76"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611" s="76" t="str">
        <x:v>Legends after Endor — New Jedi Order / Yuuzhan Vong War</x:v>
      </x:c>
      <x:c r="P611" s="76" t="str">
        <x:v>IMG_6579.PNG, IMG_6771.PNG</x:v>
      </x:c>
      <x:c r="Q611" s="76" t="str">
        <x:v>OCR extracted / placement assigned</x:v>
      </x:c>
      <x:c r="R611" s="76" t="str">
        <x:v>High</x:v>
      </x:c>
      <x:c r="S611" s="76" t="str"/>
      <x:c r="T611" s="76" t="str">
        <x:v>Primary — DUP-002</x:v>
      </x:c>
    </x:row>
    <x:row r="612" s="23" customFormat="1" ht="36" customHeight="1">
      <x:c r="A612" s="49" t="b">
        <x:v>0</x:v>
      </x:c>
      <x:c r="B612" s="56" t="str">
        <x:v>FV-0370</x:v>
      </x:c>
      <x:c r="C612" s="53" t="str">
        <x:v>Fan chronology — Legends after Endor</x:v>
      </x:c>
      <x:c r="D612" s="53" t="str">
        <x:v>The Vong Left One Jedi Alive... On Purpose ⚔️</x:v>
      </x:c>
      <x:c r="E612" s="53" t="str"/>
      <x:c r="F612" s="53" t="str">
        <x:v>August 25, 2026</x:v>
      </x:c>
      <x:c r="G612" s="53" t="str">
        <x:v>Fan-made / non-canon</x:v>
      </x:c>
      <x:c r="H612" s="53" t="str">
        <x:v>Fan video</x:v>
      </x:c>
      <x:c r="I612" s="53" t="str">
        <x:v>YouTube — search by title</x:v>
      </x:c>
      <x:c r="J612" s="59" t="e">
        <x:f>HYPERLINK("https://www.youtube.com/results?search_query=The%20Vong%20Left%20One%20Jedi%20Alive...%20On%20Purpose%20%E2%9A%94%EF%B8%8F","Search")</x:f>
        <x:v>HYPERLINK is not implemented. linkLocation=https://www.youtube.com/results?search_query=The%20Vong%20Left%20One%20Jedi%20Alive...%20On%20Purpose%20%E2%9A%94%EF%B8%8F, friendlyName=Search</x:v>
      </x:c>
      <x:c r="K612" s="53" t="str">
        <x:v>Broadly 25-29 ABY in Legends continuity.</x:v>
      </x:c>
      <x:c r="L612" s="76" t="str"/>
      <x:c r="M612" s="76" t="str">
        <x:v>The Vong Left One Jedi Alive... On Purpose ⚔️</x:v>
      </x:c>
      <x:c r="N612" s="76"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612" s="76" t="str">
        <x:v>Legends after Endor — New Jedi Order / Yuuzhan Vong War</x:v>
      </x:c>
      <x:c r="P612" s="76" t="str">
        <x:v>IMG_6556.PNG</x:v>
      </x:c>
      <x:c r="Q612" s="76" t="str">
        <x:v>OCR extracted / placement assigned</x:v>
      </x:c>
      <x:c r="R612" s="76" t="str">
        <x:v>High</x:v>
      </x:c>
      <x:c r="S612" s="76" t="str"/>
      <x:c r="T612" s="76" t="str">
        <x:v>Unique</x:v>
      </x:c>
    </x:row>
    <x:row r="613" s="23" customFormat="1" ht="36" customHeight="1">
      <x:c r="A613" s="49" t="b">
        <x:v>0</x:v>
      </x:c>
      <x:c r="B613" s="56" t="str">
        <x:v>FV-0299</x:v>
      </x:c>
      <x:c r="C613" s="53" t="str">
        <x:v>Fan chronology — Legends after Endor</x:v>
      </x:c>
      <x:c r="D613" s="53" t="str">
        <x:v>The Vong Unleashed Grutchins — Living Weapons That Eat Starships</x:v>
      </x:c>
      <x:c r="E613" s="53" t="str"/>
      <x:c r="F613" s="53" t="str">
        <x:v>August 31, 2026</x:v>
      </x:c>
      <x:c r="G613" s="53" t="str">
        <x:v>Fan-made / non-canon</x:v>
      </x:c>
      <x:c r="H613" s="53" t="str">
        <x:v>Fan video</x:v>
      </x:c>
      <x:c r="I613" s="53" t="str">
        <x:v>YouTube — search by title</x:v>
      </x:c>
      <x:c r="J613" s="59" t="e">
        <x:f>HYPERLINK("https://www.youtube.com/results?search_query=The%20Vong%20Unleashed%20Grutchins%20%E2%80%94%20Living%20Weapons%20That%20Eat%20Starships","Search")</x:f>
        <x:v>HYPERLINK is not implemented. linkLocation=https://www.youtube.com/results?search_query=The%20Vong%20Unleashed%20Grutchins%20%E2%80%94%20Living%20Weapons%20That%20Eat%20Starships, friendlyName=Search</x:v>
      </x:c>
      <x:c r="K613" s="53" t="str">
        <x:v>Broadly 25-29 ABY in Legends continuity.</x:v>
      </x:c>
      <x:c r="L613" s="76" t="str"/>
      <x:c r="M613" s="76" t="str">
        <x:v>The Vong Unleashed Grutchins — Living Weapons That Eat Starships</x:v>
      </x:c>
      <x:c r="N613" s="76"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613" s="76" t="str">
        <x:v>Legends after Endor — New Jedi Order / Yuuzhan Vong War</x:v>
      </x:c>
      <x:c r="P613" s="76" t="str">
        <x:v>IMG_6485.PNG</x:v>
      </x:c>
      <x:c r="Q613" s="76" t="str">
        <x:v>OCR extracted / placement assigned</x:v>
      </x:c>
      <x:c r="R613" s="76" t="str">
        <x:v>High</x:v>
      </x:c>
      <x:c r="S613" s="76" t="str"/>
      <x:c r="T613" s="76" t="str">
        <x:v>Unique</x:v>
      </x:c>
    </x:row>
    <x:row r="614" s="23" customFormat="1" ht="36" customHeight="1">
      <x:c r="A614" s="49" t="b">
        <x:v>0</x:v>
      </x:c>
      <x:c r="B614" s="56" t="str">
        <x:v>FV-0451</x:v>
      </x:c>
      <x:c r="C614" s="53" t="str">
        <x:v>Fan chronology — Legends after Endor</x:v>
      </x:c>
      <x:c r="D614" s="53" t="str">
        <x:v>The Vong Warrior Defeated the Jedi</x:v>
      </x:c>
      <x:c r="E614" s="53" t="str"/>
      <x:c r="F614" s="53" t="str">
        <x:v>June 12, 2026</x:v>
      </x:c>
      <x:c r="G614" s="53" t="str">
        <x:v>Fan-made / non-canon</x:v>
      </x:c>
      <x:c r="H614" s="53" t="str">
        <x:v>Fan video</x:v>
      </x:c>
      <x:c r="I614" s="53" t="str">
        <x:v>YouTube — search by title</x:v>
      </x:c>
      <x:c r="J614" s="59" t="e">
        <x:f>HYPERLINK("https://www.youtube.com/results?search_query=The%20Vong%20Warrior%20Defeated%20the%20Jedi","Search")</x:f>
        <x:v>HYPERLINK is not implemented. linkLocation=https://www.youtube.com/results?search_query=The%20Vong%20Warrior%20Defeated%20the%20Jedi, friendlyName=Search</x:v>
      </x:c>
      <x:c r="K614" s="53" t="str">
        <x:v>Broadly 25-29 ABY in Legends continuity.</x:v>
      </x:c>
      <x:c r="L614" s="76" t="str"/>
      <x:c r="M614" s="76" t="str">
        <x:v>The Vong Warrior Defeated the Jedi</x:v>
      </x:c>
      <x:c r="N614" s="76"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614" s="76" t="str">
        <x:v>Legends after Endor — New Jedi Order / Yuuzhan Vong War</x:v>
      </x:c>
      <x:c r="P614" s="76" t="str">
        <x:v>IMG_6637.PNG</x:v>
      </x:c>
      <x:c r="Q614" s="76" t="str">
        <x:v>OCR extracted / placement assigned</x:v>
      </x:c>
      <x:c r="R614" s="76" t="str">
        <x:v>High</x:v>
      </x:c>
      <x:c r="S614" s="76" t="str"/>
      <x:c r="T614" s="76" t="str">
        <x:v>Unique</x:v>
      </x:c>
    </x:row>
    <x:row r="615" s="23" customFormat="1" ht="36" customHeight="1">
      <x:c r="A615" s="49" t="b">
        <x:v>0</x:v>
      </x:c>
      <x:c r="B615" s="56" t="str">
        <x:v>FV-0210</x:v>
      </x:c>
      <x:c r="C615" s="53" t="str">
        <x:v>Fan chronology — Legends after Endor</x:v>
      </x:c>
      <x:c r="D615" s="53" t="str">
        <x:v>The Vong: Enemy the Force Couldn’t See | Jedi vs. Yuuzhan Vong</x:v>
      </x:c>
      <x:c r="E615" s="53" t="str"/>
      <x:c r="F615" s="53" t="str">
        <x:v>September 14, 2026</x:v>
      </x:c>
      <x:c r="G615" s="53" t="str">
        <x:v>Fan-made / non-canon</x:v>
      </x:c>
      <x:c r="H615" s="53" t="str">
        <x:v>Fan video</x:v>
      </x:c>
      <x:c r="I615" s="53" t="str">
        <x:v>YouTube — search by title</x:v>
      </x:c>
      <x:c r="J615" s="59" t="e">
        <x:f>HYPERLINK("https://www.youtube.com/results?search_query=The%20Vong%3A%20Enemy%20the%20Force%20Couldn%E2%80%99t%20See%20%7C%20Jedi%20vs.%20Yuuzhan%20Vong","Search")</x:f>
        <x:v>HYPERLINK is not implemented. linkLocation=https://www.youtube.com/results?search_query=The%20Vong%3A%20Enemy%20the%20Force%20Couldn%E2%80%99t%20See%20%7C%20Jedi%20vs.%20Yuuzhan%20Vong, friendlyName=Search</x:v>
      </x:c>
      <x:c r="K615" s="53" t="str">
        <x:v>Broadly 25-29 ABY in Legends continuity.</x:v>
      </x:c>
      <x:c r="L615" s="76" t="str"/>
      <x:c r="M615" s="76" t="str">
        <x:v>The Vong: Enemy the Force Couldn’t See | Jedi vs. Yuuzhan Vong</x:v>
      </x:c>
      <x:c r="N615" s="76"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615" s="76" t="str">
        <x:v>Legends after Endor — New Jedi Order / Yuuzhan Vong War</x:v>
      </x:c>
      <x:c r="P615" s="76" t="str">
        <x:v>IMG_6393.PNG</x:v>
      </x:c>
      <x:c r="Q615" s="76" t="str">
        <x:v>OCR extracted / placement assigned</x:v>
      </x:c>
      <x:c r="R615" s="76" t="str">
        <x:v>High</x:v>
      </x:c>
      <x:c r="S615" s="76" t="str"/>
      <x:c r="T615" s="76" t="str">
        <x:v>Unique</x:v>
      </x:c>
    </x:row>
    <x:row r="616" s="23" customFormat="1" ht="36" customHeight="1">
      <x:c r="A616" s="49" t="b">
        <x:v>0</x:v>
      </x:c>
      <x:c r="B616" s="56" t="str">
        <x:v>FV-0292</x:v>
      </x:c>
      <x:c r="C616" s="53" t="str">
        <x:v>Fan chronology — Legends after Endor</x:v>
      </x:c>
      <x:c r="D616" s="53" t="str">
        <x:v>The Yuuzhan Vong Bring Their Siege Tower to the Jedi * @</x:v>
      </x:c>
      <x:c r="E616" s="53" t="str"/>
      <x:c r="F616" s="53" t="str">
        <x:v>September 1, 2026</x:v>
      </x:c>
      <x:c r="G616" s="53" t="str">
        <x:v>Fan-made / non-canon</x:v>
      </x:c>
      <x:c r="H616" s="53" t="str">
        <x:v>Fan video</x:v>
      </x:c>
      <x:c r="I616" s="53" t="str">
        <x:v>YouTube — search by title</x:v>
      </x:c>
      <x:c r="J616" s="59" t="e">
        <x:f>HYPERLINK("https://www.youtube.com/results?search_query=The%20Yuuzhan%20Vong%20Bring%20Their%20Siege%20Tower%20to%20the%20Jedi%20*%20%40","Search")</x:f>
        <x:v>HYPERLINK is not implemented. linkLocation=https://www.youtube.com/results?search_query=The%20Yuuzhan%20Vong%20Bring%20Their%20Siege%20Tower%20to%20the%20Jedi%20*%20%40, friendlyName=Search</x:v>
      </x:c>
      <x:c r="K616" s="53" t="str">
        <x:v>Broadly 25-29 ABY in Legends continuity.</x:v>
      </x:c>
      <x:c r="L616" s="76" t="str"/>
      <x:c r="M616" s="76" t="str">
        <x:v>The Yuuzhan Vong Bring Their Siege Tower to the Jedi * @</x:v>
      </x:c>
      <x:c r="N616" s="76"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616" s="76" t="str">
        <x:v>Legends after Endor — New Jedi Order / Yuuzhan Vong War</x:v>
      </x:c>
      <x:c r="P616" s="76" t="str">
        <x:v>IMG_6477.PNG</x:v>
      </x:c>
      <x:c r="Q616" s="76" t="str">
        <x:v>OCR extracted / placement assigned</x:v>
      </x:c>
      <x:c r="R616" s="76" t="str">
        <x:v>High</x:v>
      </x:c>
      <x:c r="S616" s="76" t="str"/>
      <x:c r="T616" s="76" t="str">
        <x:v>Unique</x:v>
      </x:c>
    </x:row>
    <x:row r="617" s="23" customFormat="1" ht="36" customHeight="1">
      <x:c r="A617" s="49" t="b">
        <x:v>0</x:v>
      </x:c>
      <x:c r="B617" s="56" t="str">
        <x:v>FV-0234</x:v>
      </x:c>
      <x:c r="C617" s="53" t="str">
        <x:v>Fan chronology — Legends after Endor</x:v>
      </x:c>
      <x:c r="D617" s="53" t="str">
        <x:v>THE YUUZHAN VONG GREW A JEDI HUNTER | The Voxyn</x:v>
      </x:c>
      <x:c r="E617" s="53" t="str"/>
      <x:c r="F617" s="53" t="str">
        <x:v>September 9, 2026</x:v>
      </x:c>
      <x:c r="G617" s="53" t="str">
        <x:v>Fan-made / non-canon</x:v>
      </x:c>
      <x:c r="H617" s="53" t="str">
        <x:v>Fan video</x:v>
      </x:c>
      <x:c r="I617" s="53" t="str">
        <x:v>YouTube — search by title</x:v>
      </x:c>
      <x:c r="J617" s="59" t="e">
        <x:f>HYPERLINK("https://www.youtube.com/results?search_query=THE%20YUUZHAN%20VONG%20GREW%20A%20JEDI%20HUNTER%20%7C%20The%20Voxyn","Search")</x:f>
        <x:v>HYPERLINK is not implemented. linkLocation=https://www.youtube.com/results?search_query=THE%20YUUZHAN%20VONG%20GREW%20A%20JEDI%20HUNTER%20%7C%20The%20Voxyn, friendlyName=Search</x:v>
      </x:c>
      <x:c r="K617" s="53" t="str">
        <x:v>Broadly 25-29 ABY in Legends continuity.</x:v>
      </x:c>
      <x:c r="L617" s="76" t="str"/>
      <x:c r="M617" s="76" t="str">
        <x:v>THE YUUZHAN VONG GREW A JEDI HUNTER | The Voxyn</x:v>
      </x:c>
      <x:c r="N617" s="76"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617" s="76" t="str">
        <x:v>Legends after Endor — New Jedi Order / Yuuzhan Vong War</x:v>
      </x:c>
      <x:c r="P617" s="76" t="str">
        <x:v>IMG_6417.PNG</x:v>
      </x:c>
      <x:c r="Q617" s="76" t="str">
        <x:v>OCR extracted / placement assigned</x:v>
      </x:c>
      <x:c r="R617" s="76" t="str">
        <x:v>High</x:v>
      </x:c>
      <x:c r="S617" s="76" t="str"/>
      <x:c r="T617" s="76" t="str">
        <x:v>Unique</x:v>
      </x:c>
    </x:row>
    <x:row r="618" s="23" customFormat="1" ht="36" customHeight="1">
      <x:c r="A618" s="49" t="b">
        <x:v>0</x:v>
      </x:c>
      <x:c r="B618" s="56" t="str">
        <x:v>FV-0320</x:v>
      </x:c>
      <x:c r="C618" s="53" t="str">
        <x:v>Fan chronology — Legends after Endor</x:v>
      </x:c>
      <x:c r="D618" s="53" t="str">
        <x:v>The Yuuzhan Vong Who Spared a Jedi</x:v>
      </x:c>
      <x:c r="E618" s="53" t="str"/>
      <x:c r="F618" s="53" t="str">
        <x:v>August 30, 2026</x:v>
      </x:c>
      <x:c r="G618" s="53" t="str">
        <x:v>Fan-made / non-canon</x:v>
      </x:c>
      <x:c r="H618" s="53" t="str">
        <x:v>Fan video</x:v>
      </x:c>
      <x:c r="I618" s="53" t="str">
        <x:v>YouTube — search by title</x:v>
      </x:c>
      <x:c r="J618" s="59" t="e">
        <x:f>HYPERLINK("https://www.youtube.com/results?search_query=The%20Yuuzhan%20Vong%20Who%20Spared%20a%20Jedi","Search")</x:f>
        <x:v>HYPERLINK is not implemented. linkLocation=https://www.youtube.com/results?search_query=The%20Yuuzhan%20Vong%20Who%20Spared%20a%20Jedi, friendlyName=Search</x:v>
      </x:c>
      <x:c r="K618" s="53" t="str">
        <x:v>Broadly 25-29 ABY in Legends continuity.</x:v>
      </x:c>
      <x:c r="L618" s="76" t="str"/>
      <x:c r="M618" s="76" t="str">
        <x:v>The Yuuzhan Vong Who Spared a Jedi</x:v>
      </x:c>
      <x:c r="N618" s="76"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618" s="76" t="str">
        <x:v>Legends after Endor — New Jedi Order / Yuuzhan Vong War</x:v>
      </x:c>
      <x:c r="P618" s="76" t="str">
        <x:v>IMG_6506.PNG</x:v>
      </x:c>
      <x:c r="Q618" s="76" t="str">
        <x:v>OCR extracted / placement assigned</x:v>
      </x:c>
      <x:c r="R618" s="76" t="str">
        <x:v>High</x:v>
      </x:c>
      <x:c r="S618" s="76" t="str"/>
      <x:c r="T618" s="76" t="str">
        <x:v>Unique</x:v>
      </x:c>
    </x:row>
    <x:row r="619" s="23" customFormat="1" ht="36" customHeight="1">
      <x:c r="A619" s="49" t="b">
        <x:v>0</x:v>
      </x:c>
      <x:c r="B619" s="56" t="str">
        <x:v>FV-0376</x:v>
      </x:c>
      <x:c r="C619" s="53" t="str">
        <x:v>Fan chronology — Legends after Endor</x:v>
      </x:c>
      <x:c r="D619" s="53" t="str">
        <x:v>VONG: The Enemy the Jedi Couldn’t Sense | Yuuzhan Vong</x:v>
      </x:c>
      <x:c r="E619" s="53" t="str"/>
      <x:c r="F619" s="53" t="str">
        <x:v>August 24, 2026</x:v>
      </x:c>
      <x:c r="G619" s="53" t="str">
        <x:v>Fan-made / non-canon</x:v>
      </x:c>
      <x:c r="H619" s="53" t="str">
        <x:v>Fan video</x:v>
      </x:c>
      <x:c r="I619" s="53" t="str">
        <x:v>YouTube — search by title</x:v>
      </x:c>
      <x:c r="J619" s="59" t="e">
        <x:f>HYPERLINK("https://www.youtube.com/results?search_query=VONG%3A%20The%20Enemy%20the%20Jedi%20Couldn%E2%80%99t%20Sense%20%7C%20Yuuzhan%20Vong","Search")</x:f>
        <x:v>HYPERLINK is not implemented. linkLocation=https://www.youtube.com/results?search_query=VONG%3A%20The%20Enemy%20the%20Jedi%20Couldn%E2%80%99t%20Sense%20%7C%20Yuuzhan%20Vong, friendlyName=Search</x:v>
      </x:c>
      <x:c r="K619" s="53" t="str">
        <x:v>Broadly 25-29 ABY in Legends continuity.</x:v>
      </x:c>
      <x:c r="L619" s="76" t="str"/>
      <x:c r="M619" s="76" t="str">
        <x:v>VONG: The Enemy the Jedi Couldn’t Sense | Yuuzhan Vong</x:v>
      </x:c>
      <x:c r="N619" s="76"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619" s="76" t="str">
        <x:v>Legends after Endor — New Jedi Order / Yuuzhan Vong War</x:v>
      </x:c>
      <x:c r="P619" s="76" t="str">
        <x:v>IMG_6562.PNG</x:v>
      </x:c>
      <x:c r="Q619" s="76" t="str">
        <x:v>OCR extracted / placement assigned</x:v>
      </x:c>
      <x:c r="R619" s="76" t="str">
        <x:v>High</x:v>
      </x:c>
      <x:c r="S619" s="76" t="str"/>
      <x:c r="T619" s="76" t="str">
        <x:v>Unique</x:v>
      </x:c>
    </x:row>
    <x:row r="620" s="23" customFormat="1" ht="36" customHeight="1">
      <x:c r="A620" s="49" t="b">
        <x:v>0</x:v>
      </x:c>
      <x:c r="B620" s="56" t="str">
        <x:v>FV-0224</x:v>
      </x:c>
      <x:c r="C620" s="53" t="str">
        <x:v>Fan chronology — Legends after Endor</x:v>
      </x:c>
      <x:c r="D620" s="53" t="str">
        <x:v>Vong: THE EYE THAT COMMANDS | Yuuzhan Vong</x:v>
      </x:c>
      <x:c r="E620" s="53" t="str"/>
      <x:c r="F620" s="53" t="str">
        <x:v>September 12, 2026</x:v>
      </x:c>
      <x:c r="G620" s="53" t="str">
        <x:v>Fan-made / non-canon</x:v>
      </x:c>
      <x:c r="H620" s="53" t="str">
        <x:v>Fan video</x:v>
      </x:c>
      <x:c r="I620" s="53" t="str">
        <x:v>YouTube — search by title</x:v>
      </x:c>
      <x:c r="J620" s="59" t="e">
        <x:f>HYPERLINK("https://www.youtube.com/results?search_query=Vong%3A%20THE%20EYE%20THAT%20COMMANDS%20%7C%20Yuuzhan%20Vong","Search")</x:f>
        <x:v>HYPERLINK is not implemented. linkLocation=https://www.youtube.com/results?search_query=Vong%3A%20THE%20EYE%20THAT%20COMMANDS%20%7C%20Yuuzhan%20Vong, friendlyName=Search</x:v>
      </x:c>
      <x:c r="K620" s="53" t="str">
        <x:v>Broadly 25-29 ABY in Legends continuity.</x:v>
      </x:c>
      <x:c r="L620" s="76" t="str"/>
      <x:c r="M620" s="76" t="str">
        <x:v>Vong: THE EYE THAT COMMANDS | Yuuzhan Vong</x:v>
      </x:c>
      <x:c r="N620" s="76"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620" s="76" t="str">
        <x:v>Legends after Endor — New Jedi Order / Yuuzhan Vong War</x:v>
      </x:c>
      <x:c r="P620" s="76" t="str">
        <x:v>IMG_6407.PNG</x:v>
      </x:c>
      <x:c r="Q620" s="76" t="str">
        <x:v>OCR extracted / placement assigned</x:v>
      </x:c>
      <x:c r="R620" s="76" t="str">
        <x:v>High</x:v>
      </x:c>
      <x:c r="S620" s="76" t="str"/>
      <x:c r="T620" s="76" t="str">
        <x:v>Unique</x:v>
      </x:c>
    </x:row>
    <x:row r="621" s="23" customFormat="1" ht="36" customHeight="1">
      <x:c r="A621" s="49" t="b">
        <x:v>0</x:v>
      </x:c>
      <x:c r="B621" s="56" t="str">
        <x:v>FV-0282</x:v>
      </x:c>
      <x:c r="C621" s="53" t="str">
        <x:v>Fan chronology — Legends after Endor</x:v>
      </x:c>
      <x:c r="D621" s="53" t="str">
        <x:v>Yuuzhan Vong — The Ship That Breathes</x:v>
      </x:c>
      <x:c r="E621" s="53" t="str"/>
      <x:c r="F621" s="53" t="str">
        <x:v>September 2, 2026</x:v>
      </x:c>
      <x:c r="G621" s="53" t="str">
        <x:v>Fan-made / non-canon</x:v>
      </x:c>
      <x:c r="H621" s="53" t="str">
        <x:v>Fan video</x:v>
      </x:c>
      <x:c r="I621" s="53" t="str">
        <x:v>YouTube — search by title</x:v>
      </x:c>
      <x:c r="J621" s="59" t="e">
        <x:f>HYPERLINK("https://www.youtube.com/results?search_query=Yuuzhan%20Vong%20%E2%80%94%20The%20Ship%20That%20Breathes","Search")</x:f>
        <x:v>HYPERLINK is not implemented. linkLocation=https://www.youtube.com/results?search_query=Yuuzhan%20Vong%20%E2%80%94%20The%20Ship%20That%20Breathes, friendlyName=Search</x:v>
      </x:c>
      <x:c r="K621" s="53" t="str">
        <x:v>Broadly 25-29 ABY in Legends continuity.</x:v>
      </x:c>
      <x:c r="L621" s="76" t="str"/>
      <x:c r="M621" s="76" t="str">
        <x:v>Yuuzhan Vong — The Ship That Breathes</x:v>
      </x:c>
      <x:c r="N621" s="76"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621" s="76" t="str">
        <x:v>Legends after Endor — New Jedi Order / Yuuzhan Vong War</x:v>
      </x:c>
      <x:c r="P621" s="76" t="str">
        <x:v>IMG_6467.PNG</x:v>
      </x:c>
      <x:c r="Q621" s="76" t="str">
        <x:v>OCR extracted / placement assigned</x:v>
      </x:c>
      <x:c r="R621" s="76" t="str">
        <x:v>High</x:v>
      </x:c>
      <x:c r="S621" s="76" t="str"/>
      <x:c r="T621" s="76" t="str">
        <x:v>Unique</x:v>
      </x:c>
    </x:row>
    <x:row r="622" s="23" customFormat="1" ht="36" customHeight="1">
      <x:c r="A622" s="49" t="b">
        <x:v>0</x:v>
      </x:c>
      <x:c r="B622" s="56" t="str">
        <x:v>FV-0051</x:v>
      </x:c>
      <x:c r="C622" s="53" t="str">
        <x:v>Fan chronology — Legends after Endor</x:v>
      </x:c>
      <x:c r="D622" s="53" t="str">
        <x:v>Luke Skywalker &amp; Mara Jade | Episode 2: Something Is Behind That Door | Survivor's Quest Inspired</x:v>
      </x:c>
      <x:c r="E622" s="53" t="str">
        <x:v>Episode 2</x:v>
      </x:c>
      <x:c r="F622" s="53" t="str">
        <x:v>October 10, 2026</x:v>
      </x:c>
      <x:c r="G622" s="53" t="str">
        <x:v>Fan-made / non-canon</x:v>
      </x:c>
      <x:c r="H622" s="53" t="str">
        <x:v>Fan video</x:v>
      </x:c>
      <x:c r="I622" s="53" t="str">
        <x:v>YouTube — search by title</x:v>
      </x:c>
      <x:c r="J622" s="59" t="e">
        <x:f>HYPERLINK("https://www.youtube.com/results?search_query=Luke%20Skywalker%20%26%20Mara%20Jade%20%7C%20Episode%202%3A%20Something%20Is%20Behind%20That%20Door%20%7C%20Survivor's%20Quest%20Inspired","Search")</x:f>
        <x:v>HYPERLINK is not implemented. linkLocation=https://www.youtube.com/results?search_query=Luke%20Skywalker%20%26%20Mara%20Jade%20%7C%20Episode%202%3A%20Something%20Is%20Behind%20That%20Door%20%7C%20Survivor's%20Quest%20Inspired, friendlyName=Search</x:v>
      </x:c>
      <x:c r="K622" s="53" t="str">
        <x:v>Around 22 ABY in Legends continuity.</x:v>
      </x:c>
      <x:c r="L622" s="76" t="str">
        <x:v>Survivor's Quest</x:v>
      </x:c>
      <x:c r="M622" s="76" t="str">
        <x:v>Luke Skywalker &amp; Mara Jade | Episode 2: Something Is Behind That Door | Survivor's Quest Inspired</x:v>
      </x:c>
      <x:c r="N622" s="76"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622" s="76" t="str">
        <x:v>Legends after Endor — Survivor's Quest</x:v>
      </x:c>
      <x:c r="P622" s="76" t="str">
        <x:v>IMG_6234.PNG</x:v>
      </x:c>
      <x:c r="Q622" s="76" t="str">
        <x:v>OCR extracted / placement assigned</x:v>
      </x:c>
      <x:c r="R622" s="76" t="str">
        <x:v>High</x:v>
      </x:c>
      <x:c r="S622" s="76" t="str"/>
      <x:c r="T622" s="76" t="str">
        <x:v>Unique</x:v>
      </x:c>
    </x:row>
    <x:row r="623" s="23" customFormat="1" ht="36" customHeight="1">
      <x:c r="A623" s="49" t="b">
        <x:v>0</x:v>
      </x:c>
      <x:c r="B623" s="56" t="str">
        <x:v>FV-0084</x:v>
      </x:c>
      <x:c r="C623" s="53" t="str">
        <x:v>Fan chronology — Legends after Endor</x:v>
      </x:c>
      <x:c r="D623" s="53" t="str">
        <x:v>Luke Skywalker &amp; Mara Jade | Timothy Zahn’s Survivor's Quest | Episode 1: The Invitation</x:v>
      </x:c>
      <x:c r="E623" s="53" t="str">
        <x:v>Episode 1</x:v>
      </x:c>
      <x:c r="F623" s="53" t="str">
        <x:v>October 5, 2026</x:v>
      </x:c>
      <x:c r="G623" s="53" t="str">
        <x:v>Fan-made / non-canon</x:v>
      </x:c>
      <x:c r="H623" s="53" t="str">
        <x:v>Fan video</x:v>
      </x:c>
      <x:c r="I623" s="53" t="str">
        <x:v>YouTube — search by title</x:v>
      </x:c>
      <x:c r="J623" s="59" t="e">
        <x:f>HYPERLINK("https://www.youtube.com/results?search_query=Luke%20Skywalker%20%26%20Mara%20Jade%20%7C%20Timothy%20Zahn%E2%80%99s%20Survivor's%20Quest%20%7C%20Episode%201%3A%20The%20Invitation","Search")</x:f>
        <x:v>HYPERLINK is not implemented. linkLocation=https://www.youtube.com/results?search_query=Luke%20Skywalker%20%26%20Mara%20Jade%20%7C%20Timothy%20Zahn%E2%80%99s%20Survivor's%20Quest%20%7C%20Episode%201%3A%20The%20Invitation, friendlyName=Search</x:v>
      </x:c>
      <x:c r="K623" s="53" t="str">
        <x:v>Around 22 ABY in Legends continuity.</x:v>
      </x:c>
      <x:c r="L623" s="76" t="str">
        <x:v>Survivor's Quest</x:v>
      </x:c>
      <x:c r="M623" s="76" t="str">
        <x:v>Luke Skywalker &amp; Mara Jade | Timothy Zahn’s Survivor's Quest | Episode 1: The Invitation</x:v>
      </x:c>
      <x:c r="N623" s="76"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623" s="76" t="str">
        <x:v>Legends after Endor — Survivor's Quest</x:v>
      </x:c>
      <x:c r="P623" s="76" t="str">
        <x:v>IMG_6267.PNG</x:v>
      </x:c>
      <x:c r="Q623" s="76" t="str">
        <x:v>OCR extracted / placement assigned</x:v>
      </x:c>
      <x:c r="R623" s="76" t="str">
        <x:v>High</x:v>
      </x:c>
      <x:c r="S623" s="76" t="str"/>
      <x:c r="T623" s="76" t="str">
        <x:v>Unique</x:v>
      </x:c>
    </x:row>
    <x:row r="624" s="23" customFormat="1" ht="36" customHeight="1">
      <x:c r="A624" s="49" t="b">
        <x:v>0</x:v>
      </x:c>
      <x:c r="B624" s="56" t="str">
        <x:v>FV-0052</x:v>
      </x:c>
      <x:c r="C624" s="53" t="str">
        <x:v>Fan chronology — Legends after Endor</x:v>
      </x:c>
      <x:c r="D624" s="53" t="str">
        <x:v>Mara Jade Strikes. Thrawn Makes His Move. | Thrawn Trilogy Episode 4</x:v>
      </x:c>
      <x:c r="E624" s="53" t="str">
        <x:v>Episode 4</x:v>
      </x:c>
      <x:c r="F624" s="53" t="str">
        <x:v>October 11, 2026</x:v>
      </x:c>
      <x:c r="G624" s="53" t="str">
        <x:v>Fan-made / non-canon</x:v>
      </x:c>
      <x:c r="H624" s="53" t="str">
        <x:v>Fan video</x:v>
      </x:c>
      <x:c r="I624" s="53" t="str">
        <x:v>YouTube — search by title</x:v>
      </x:c>
      <x:c r="J624" s="59" t="e">
        <x:f>HYPERLINK("https://www.youtube.com/results?search_query=Mara%20Jade%20Strikes.%20Thrawn%20Makes%20His%20Move.%20%7C%20Thrawn%20Trilogy%20Episode%204","Search")</x:f>
        <x:v>HYPERLINK is not implemented. linkLocation=https://www.youtube.com/results?search_query=Mara%20Jade%20Strikes.%20Thrawn%20Makes%20His%20Move.%20%7C%20Thrawn%20Trilogy%20Episode%204, friendlyName=Search</x:v>
      </x:c>
      <x:c r="K624" s="53" t="str">
        <x:v>Around 9 ABY in Legends continuity.</x:v>
      </x:c>
      <x:c r="L624" s="76" t="str">
        <x:v>Thrawn Trilogy</x:v>
      </x:c>
      <x:c r="M624" s="76" t="str">
        <x:v>Mara Jade Strikes. Thrawn Makes His Move. | Thrawn Trilogy Episode 4</x:v>
      </x:c>
      <x:c r="N624" s="76" t="str">
        <x:v>No description text is visible in the screenshot.</x:v>
      </x:c>
      <x:c r="O624" s="76" t="str">
        <x:v>Legends after Endor — Thrawn Trilogy</x:v>
      </x:c>
      <x:c r="P624" s="76" t="str">
        <x:v>IMG_6235.PNG</x:v>
      </x:c>
      <x:c r="Q624" s="76" t="str">
        <x:v>OCR extracted / placement assigned</x:v>
      </x:c>
      <x:c r="R624" s="76" t="str">
        <x:v>High</x:v>
      </x:c>
      <x:c r="S624" s="76" t="str"/>
      <x:c r="T624" s="76" t="str">
        <x:v>Unique</x:v>
      </x:c>
    </x:row>
    <x:row r="625" s="23" customFormat="1" ht="36" customHeight="1">
      <x:c r="A625" s="49" t="b">
        <x:v>0</x:v>
      </x:c>
      <x:c r="B625" s="56" t="str">
        <x:v>FV-0085</x:v>
      </x:c>
      <x:c r="C625" s="53" t="str">
        <x:v>Fan chronology — Legends after Endor</x:v>
      </x:c>
      <x:c r="D625" s="53" t="str">
        <x:v>Timothy Zahn’s Thrawn Trilogy | Thrawn &amp; Mara Jade — Episode 3: The Second Ship</x:v>
      </x:c>
      <x:c r="E625" s="53" t="str">
        <x:v>Episode 3</x:v>
      </x:c>
      <x:c r="F625" s="53" t="str">
        <x:v>October 5, 2026</x:v>
      </x:c>
      <x:c r="G625" s="53" t="str">
        <x:v>Fan-made / non-canon</x:v>
      </x:c>
      <x:c r="H625" s="53" t="str">
        <x:v>Fan video</x:v>
      </x:c>
      <x:c r="I625" s="53" t="str">
        <x:v>YouTube — search by title</x:v>
      </x:c>
      <x:c r="J625" s="59" t="e">
        <x:f>HYPERLINK("https://www.youtube.com/results?search_query=Timothy%20Zahn%E2%80%99s%20Thrawn%20Trilogy%20%7C%20Thrawn%20%26%20Mara%20Jade%20%E2%80%94%20Episode%203%3A%20The%20Second%20Ship","Search")</x:f>
        <x:v>HYPERLINK is not implemented. linkLocation=https://www.youtube.com/results?search_query=Timothy%20Zahn%E2%80%99s%20Thrawn%20Trilogy%20%7C%20Thrawn%20%26%20Mara%20Jade%20%E2%80%94%20Episode%203%3A%20The%20Second%20Ship, friendlyName=Search</x:v>
      </x:c>
      <x:c r="K625" s="53" t="str">
        <x:v>Around 9 ABY in Legends continuity.</x:v>
      </x:c>
      <x:c r="L625" s="76" t="str">
        <x:v>Thrawn Trilogy</x:v>
      </x:c>
      <x:c r="M625" s="76" t="str">
        <x:v>Timothy Zahn’s Thrawn Trilogy | Thrawn &amp; Mara Jade — Episode 3: The Second Ship</x:v>
      </x:c>
      <x:c r="N625" s="76"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625" s="76" t="str">
        <x:v>Legends after Endor — Thrawn Trilogy</x:v>
      </x:c>
      <x:c r="P625" s="76" t="str">
        <x:v>IMG_6268.PNG</x:v>
      </x:c>
      <x:c r="Q625" s="76" t="str">
        <x:v>OCR extracted / placement assigned</x:v>
      </x:c>
      <x:c r="R625" s="76" t="str">
        <x:v>High</x:v>
      </x:c>
      <x:c r="S625" s="76" t="str"/>
      <x:c r="T625" s="76" t="str">
        <x:v>Unique</x:v>
      </x:c>
    </x:row>
    <x:row r="626" s="23" customFormat="1" ht="36" customHeight="1">
      <x:c r="A626" s="49" t="b">
        <x:v>0</x:v>
      </x:c>
      <x:c r="B626" s="56" t="str">
        <x:v>FV-0090</x:v>
      </x:c>
      <x:c r="C626" s="53" t="str">
        <x:v>Fan chronology — Legends after Endor</x:v>
      </x:c>
      <x:c r="D626" s="53" t="str">
        <x:v>Timothy Zahn’s Thrawn Trilogy: Heir to the Empire | Episode 1 — The False Invitation</x:v>
      </x:c>
      <x:c r="E626" s="53" t="str">
        <x:v>Episode 1</x:v>
      </x:c>
      <x:c r="F626" s="53" t="str">
        <x:v>October 4, 2026</x:v>
      </x:c>
      <x:c r="G626" s="53" t="str">
        <x:v>Fan-made / non-canon</x:v>
      </x:c>
      <x:c r="H626" s="53" t="str">
        <x:v>Fan video</x:v>
      </x:c>
      <x:c r="I626" s="53" t="str">
        <x:v>YouTube — search by title</x:v>
      </x:c>
      <x:c r="J626" s="59" t="e">
        <x:f>HYPERLINK("https://www.youtube.com/results?search_query=Timothy%20Zahn%E2%80%99s%20Thrawn%20Trilogy%3A%20Heir%20to%20the%20Empire%20%7C%20Episode%201%20%E2%80%94%20The%20False%20Invitation","Search")</x:f>
        <x:v>HYPERLINK is not implemented. linkLocation=https://www.youtube.com/results?search_query=Timothy%20Zahn%E2%80%99s%20Thrawn%20Trilogy%3A%20Heir%20to%20the%20Empire%20%7C%20Episode%201%20%E2%80%94%20The%20False%20Invitation, friendlyName=Search</x:v>
      </x:c>
      <x:c r="K626" s="53" t="str">
        <x:v>Around 9 ABY in Legends continuity.</x:v>
      </x:c>
      <x:c r="L626" s="76" t="str">
        <x:v>Thrawn Trilogy</x:v>
      </x:c>
      <x:c r="M626" s="76" t="str">
        <x:v>Timothy Zahn’s Thrawn Trilogy: Heir to the Empire | Episode 1 — The False Invitation</x:v>
      </x:c>
      <x:c r="N626" s="76"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626" s="76" t="str">
        <x:v>Legends after Endor — Thrawn Trilogy</x:v>
      </x:c>
      <x:c r="P626" s="76" t="str">
        <x:v>IMG_6273.PNG</x:v>
      </x:c>
      <x:c r="Q626" s="76" t="str">
        <x:v>OCR extracted / placement assigned</x:v>
      </x:c>
      <x:c r="R626" s="76" t="str">
        <x:v>High</x:v>
      </x:c>
      <x:c r="S626" s="76" t="str"/>
      <x:c r="T626" s="76" t="str">
        <x:v>Unique</x:v>
      </x:c>
    </x:row>
    <x:row r="627" s="23" customFormat="1" ht="36" customHeight="1">
      <x:c r="A627" s="49" t="b">
        <x:v>0</x:v>
      </x:c>
      <x:c r="B627" s="56" t="str">
        <x:v>FV-0088</x:v>
      </x:c>
      <x:c r="C627" s="53" t="str">
        <x:v>Fan chronology — Legends after Endor</x:v>
      </x:c>
      <x:c r="D627" s="53" t="str">
        <x:v>Timothy Zahn’s Thrawn Trilogy: Heir to the Empire | Episode 2 — The Open Hatch</x:v>
      </x:c>
      <x:c r="E627" s="53" t="str">
        <x:v>Episode 2</x:v>
      </x:c>
      <x:c r="F627" s="53" t="str">
        <x:v>October 4, 2026</x:v>
      </x:c>
      <x:c r="G627" s="53" t="str">
        <x:v>Fan-made / non-canon</x:v>
      </x:c>
      <x:c r="H627" s="53" t="str">
        <x:v>Fan video</x:v>
      </x:c>
      <x:c r="I627" s="53" t="str">
        <x:v>YouTube — search by title</x:v>
      </x:c>
      <x:c r="J627" s="59" t="e">
        <x:f>HYPERLINK("https://www.youtube.com/results?search_query=Timothy%20Zahn%E2%80%99s%20Thrawn%20Trilogy%3A%20Heir%20to%20the%20Empire%20%7C%20Episode%202%20%E2%80%94%20The%20Open%20Hatch","Search")</x:f>
        <x:v>HYPERLINK is not implemented. linkLocation=https://www.youtube.com/results?search_query=Timothy%20Zahn%E2%80%99s%20Thrawn%20Trilogy%3A%20Heir%20to%20the%20Empire%20%7C%20Episode%202%20%E2%80%94%20The%20Open%20Hatch, friendlyName=Search</x:v>
      </x:c>
      <x:c r="K627" s="53" t="str">
        <x:v>Around 9 ABY in Legends continuity.</x:v>
      </x:c>
      <x:c r="L627" s="76" t="str">
        <x:v>Thrawn Trilogy</x:v>
      </x:c>
      <x:c r="M627" s="76" t="str">
        <x:v>Timothy Zahn’s Thrawn Trilogy: Heir to the Empire | Episode 2 — The Open Hatch</x:v>
      </x:c>
      <x:c r="N627" s="76"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627" s="76" t="str">
        <x:v>Legends after Endor — Thrawn Trilogy</x:v>
      </x:c>
      <x:c r="P627" s="76" t="str">
        <x:v>IMG_6271.PNG</x:v>
      </x:c>
      <x:c r="Q627" s="76" t="str">
        <x:v>OCR extracted / placement assigned</x:v>
      </x:c>
      <x:c r="R627" s="76" t="str">
        <x:v>High</x:v>
      </x:c>
      <x:c r="S627" s="76" t="str"/>
      <x:c r="T627" s="76" t="str">
        <x:v>Unique</x:v>
      </x:c>
    </x:row>
    <x:row r="628" s="23" customFormat="1" ht="36" customHeight="1">
      <x:c r="A628" s="49" t="b">
        <x:v>0</x:v>
      </x:c>
      <x:c r="B628" s="56" t="str">
        <x:v>SWS-040</x:v>
      </x:c>
      <x:c r="C628" s="53" t="str">
        <x:v>Fan chronology — Sequel era</x:v>
      </x:c>
      <x:c r="D628" s="53" t="str">
        <x:v>Star Wars: Luke Skywalker’s Guided On Ahch-To By Anakin Skywalker &amp; Obi Wan</x:v>
      </x:c>
      <x:c r="E628" s="53" t="str"/>
      <x:c r="F628" s="53" t="str">
        <x:v>Displayed as “1y ago” on October 17, 2026</x:v>
      </x:c>
      <x:c r="G628" s="53" t="str">
        <x:v>Fan-made / non-canon</x:v>
      </x:c>
      <x:c r="H628" s="53" t="str">
        <x:v>AI fan film</x:v>
      </x:c>
      <x:c r="I628" s="53" t="str">
        <x:v>YouTube — Skywalker Stories</x:v>
      </x:c>
      <x:c r="J628" s="59" t="e">
        <x:f>HYPERLINK("https://www.youtube.com/watch?v=g9D0_tvFy3I","Open")</x:f>
        <x:v>HYPERLINK is not implemented. linkLocation=https://www.youtube.com/watch?v=g9D0_tvFy3I, friendlyName=Open</x:v>
      </x:c>
      <x:c r="K628" s="53" t="str">
        <x:v>Skywalker Stories. Around or after Episode VIII: The Last Jedi on Ahch-To. Placement confidence: Medium.</x:v>
      </x:c>
      <x:c r="L628" s="76" t="str"/>
      <x:c r="M628" s="76" t="str">
        <x:v>Star Wars: Luke Skywalker’s Guided On Ahch-To By Anakin Skywalker &amp; Obi Wan</x:v>
      </x:c>
      <x:c r="N628" s="76" t="str"/>
      <x:c r="O628" s="76" t="str"/>
      <x:c r="P628" s="76" t="str"/>
      <x:c r="Q628" s="76" t="str">
        <x:v>Previously verified channel entry</x:v>
      </x:c>
      <x:c r="R628" s="76" t="str"/>
      <x:c r="S628" s="76" t="str"/>
      <x:c r="T628" s="76" t="str"/>
    </x:row>
    <x:row r="629" s="23" customFormat="1" ht="36" customHeight="1">
      <x:c r="A629" s="49" t="b">
        <x:v>0</x:v>
      </x:c>
      <x:c r="B629" s="56" t="str">
        <x:v>SWS-095</x:v>
      </x:c>
      <x:c r="C629" s="53" t="str">
        <x:v>Fan chronology — Sequel era</x:v>
      </x:c>
      <x:c r="D629" s="53" t="str">
        <x:v>Tales of the Star Wars Galaxy: Anakin Guides Kylo Ren to the light</x:v>
      </x:c>
      <x:c r="E629" s="53" t="str"/>
      <x:c r="F629" s="53" t="str">
        <x:v>Displayed as “2y ago” on October 17, 2026</x:v>
      </x:c>
      <x:c r="G629" s="53" t="str">
        <x:v>Fan-made / non-canon</x:v>
      </x:c>
      <x:c r="H629" s="53" t="str">
        <x:v>AI fan film</x:v>
      </x:c>
      <x:c r="I629" s="53" t="str">
        <x:v>YouTube — Skywalker Stories</x:v>
      </x:c>
      <x:c r="J629" s="59" t="e">
        <x:f>HYPERLINK("https://www.youtube.com/watch?v=uU7otT-VKyw","Open")</x:f>
        <x:v>HYPERLINK is not implemented. linkLocation=https://www.youtube.com/watch?v=uU7otT-VKyw, friendlyName=Open</x:v>
      </x:c>
      <x:c r="K629" s="53" t="str">
        <x:v>Skywalker Stories. During the sequel era; alternate intervention in Kylo Ren's path. Placement confidence: Medium.</x:v>
      </x:c>
      <x:c r="L629" s="76" t="str"/>
      <x:c r="M629" s="76" t="str">
        <x:v>Tales of the Star Wars Galaxy: Anakin Guides Kylo Ren to the light</x:v>
      </x:c>
      <x:c r="N629" s="76" t="str"/>
      <x:c r="O629" s="76" t="str"/>
      <x:c r="P629" s="76" t="str"/>
      <x:c r="Q629" s="76" t="str">
        <x:v>Previously verified channel entry</x:v>
      </x:c>
      <x:c r="R629" s="76" t="str"/>
      <x:c r="S629" s="76" t="str"/>
      <x:c r="T629" s="76" t="str"/>
    </x:row>
    <x:row r="630" s="23" customFormat="1" ht="36" customHeight="1">
      <x:c r="A630" s="49" t="b">
        <x:v>0</x:v>
      </x:c>
      <x:c r="B630" s="56" t="str">
        <x:v>FV-0494</x:v>
      </x:c>
      <x:c r="C630" s="53" t="str">
        <x:v>Fan chronology — Sequel era</x:v>
      </x:c>
      <x:c r="D630" s="53" t="str">
        <x:v>Jedi Faces Kylo Ren</x:v>
      </x:c>
      <x:c r="E630" s="53" t="str"/>
      <x:c r="F630" s="53" t="str">
        <x:v>June 15, 2026</x:v>
      </x:c>
      <x:c r="G630" s="53" t="str">
        <x:v>Fan-made / non-canon</x:v>
      </x:c>
      <x:c r="H630" s="53" t="str">
        <x:v>Fan video</x:v>
      </x:c>
      <x:c r="I630" s="53" t="str">
        <x:v>YouTube — search by title</x:v>
      </x:c>
      <x:c r="J630" s="59" t="e">
        <x:f>HYPERLINK("https://www.youtube.com/results?search_query=Jedi%20Faces%20Kylo%20Ren","Search")</x:f>
        <x:v>HYPERLINK is not implemented. linkLocation=https://www.youtube.com/results?search_query=Jedi%20Faces%20Kylo%20Ren, friendlyName=Search</x:v>
      </x:c>
      <x:c r="K630" s="53" t="str">
        <x:v>Named sequel-era character.</x:v>
      </x:c>
      <x:c r="L630" s="76" t="str"/>
      <x:c r="M630" s="76" t="str">
        <x:v>Jedi Faces Kylo Ren</x:v>
      </x:c>
      <x:c r="N630" s="76"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630" s="76" t="str">
        <x:v>Sequel era</x:v>
      </x:c>
      <x:c r="P630" s="76" t="str">
        <x:v>IMG_6683.PNG</x:v>
      </x:c>
      <x:c r="Q630" s="76" t="str">
        <x:v>OCR extracted / placement assigned</x:v>
      </x:c>
      <x:c r="R630" s="76" t="str">
        <x:v>High</x:v>
      </x:c>
      <x:c r="S630" s="76" t="str"/>
      <x:c r="T630" s="76" t="str">
        <x:v>Unique</x:v>
      </x:c>
    </x:row>
    <x:row r="631" s="23" customFormat="1" ht="36" customHeight="1">
      <x:c r="A631" s="49" t="b">
        <x:v>0</x:v>
      </x:c>
      <x:c r="B631" s="56" t="str">
        <x:v>FV-0188</x:v>
      </x:c>
      <x:c r="C631" s="53" t="str">
        <x:v>Fan chronology — Sequel era</x:v>
      </x:c>
      <x:c r="D631" s="53" t="str">
        <x:v>KYLO REN: THE LAST GATE | A Dark Side Showdown</x:v>
      </x:c>
      <x:c r="E631" s="53" t="str"/>
      <x:c r="F631" s="53" t="str">
        <x:v>September 23, 2026</x:v>
      </x:c>
      <x:c r="G631" s="53" t="str">
        <x:v>Fan-made / non-canon</x:v>
      </x:c>
      <x:c r="H631" s="53" t="str">
        <x:v>Fan video</x:v>
      </x:c>
      <x:c r="I631" s="53" t="str">
        <x:v>YouTube — search by title</x:v>
      </x:c>
      <x:c r="J631" s="59" t="e">
        <x:f>HYPERLINK("https://www.youtube.com/results?search_query=KYLO%20REN%3A%20THE%20LAST%20GATE%20%7C%20A%20Dark%20Side%20Showdown","Search")</x:f>
        <x:v>HYPERLINK is not implemented. linkLocation=https://www.youtube.com/results?search_query=KYLO%20REN%3A%20THE%20LAST%20GATE%20%7C%20A%20Dark%20Side%20Showdown, friendlyName=Search</x:v>
      </x:c>
      <x:c r="K631" s="53" t="str">
        <x:v>Named sequel-era character.</x:v>
      </x:c>
      <x:c r="L631" s="76" t="str"/>
      <x:c r="M631" s="76" t="str">
        <x:v>KYLO REN: THE LAST GATE | A Dark Side Showdown</x:v>
      </x:c>
      <x:c r="N631" s="76"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631" s="76" t="str">
        <x:v>Sequel era</x:v>
      </x:c>
      <x:c r="P631" s="76" t="str">
        <x:v>IMG_6371.PNG</x:v>
      </x:c>
      <x:c r="Q631" s="76" t="str">
        <x:v>OCR extracted / placement assigned</x:v>
      </x:c>
      <x:c r="R631" s="76" t="str">
        <x:v>High</x:v>
      </x:c>
      <x:c r="S631" s="76" t="str"/>
      <x:c r="T631" s="76" t="str">
        <x:v>Unique</x:v>
      </x:c>
    </x:row>
    <x:row r="632" s="23" customFormat="1" ht="36" customHeight="1">
      <x:c r="A632" s="49" t="b">
        <x:v>0</x:v>
      </x:c>
      <x:c r="B632" s="56" t="str">
        <x:v>FV-0174</x:v>
      </x:c>
      <x:c r="C632" s="53" t="str">
        <x:v>Fan chronology — Sequel era</x:v>
      </x:c>
      <x:c r="D632" s="53" t="str">
        <x:v>REY: THE ANCIENT KYBER STAFF é | Star Wars #Shorts</x:v>
      </x:c>
      <x:c r="E632" s="53" t="str"/>
      <x:c r="F632" s="53" t="str">
        <x:v>September 26, 2026</x:v>
      </x:c>
      <x:c r="G632" s="53" t="str">
        <x:v>Fan-made / non-canon</x:v>
      </x:c>
      <x:c r="H632" s="53" t="str">
        <x:v>Fan video</x:v>
      </x:c>
      <x:c r="I632" s="53" t="str">
        <x:v>YouTube — search by title</x:v>
      </x:c>
      <x:c r="J632" s="59" t="e">
        <x:f>HYPERLINK("https://www.youtube.com/results?search_query=REY%3A%20THE%20ANCIENT%20KYBER%20STAFF%20%C3%A9%20%7C%20Star%20Wars%20%23Shorts","Search")</x:f>
        <x:v>HYPERLINK is not implemented. linkLocation=https://www.youtube.com/results?search_query=REY%3A%20THE%20ANCIENT%20KYBER%20STAFF%20%C3%A9%20%7C%20Star%20Wars%20%23Shorts, friendlyName=Search</x:v>
      </x:c>
      <x:c r="K632" s="53" t="str">
        <x:v>Named sequel-era character.</x:v>
      </x:c>
      <x:c r="L632" s="76" t="str"/>
      <x:c r="M632" s="76" t="str">
        <x:v>REY: THE ANCIENT KYBER STAFF é | Star Wars #Shorts</x:v>
      </x:c>
      <x:c r="N632" s="76"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632" s="76" t="str">
        <x:v>Sequel era</x:v>
      </x:c>
      <x:c r="P632" s="76" t="str">
        <x:v>IMG_6357.PNG</x:v>
      </x:c>
      <x:c r="Q632" s="76" t="str">
        <x:v>OCR extracted / placement assigned</x:v>
      </x:c>
      <x:c r="R632" s="76" t="str">
        <x:v>High</x:v>
      </x:c>
      <x:c r="S632" s="76" t="str"/>
      <x:c r="T632" s="76" t="str">
        <x:v>Unique</x:v>
      </x:c>
    </x:row>
    <x:row r="633" s="23" customFormat="1" ht="36" customHeight="1">
      <x:c r="A633" s="49" t="b">
        <x:v>0</x:v>
      </x:c>
      <x:c r="B633" s="56" t="str">
        <x:v>FV-0181</x:v>
      </x:c>
      <x:c r="C633" s="53" t="str">
        <x:v>Fan chronology — Sequel era</x:v>
      </x:c>
      <x:c r="D633" s="53" t="str">
        <x:v>REY: THE KYBER SHIELD A New Jedi Weapon | Star Wars</x:v>
      </x:c>
      <x:c r="E633" s="53" t="str"/>
      <x:c r="F633" s="53" t="str">
        <x:v>September 25, 2026</x:v>
      </x:c>
      <x:c r="G633" s="53" t="str">
        <x:v>Fan-made / non-canon</x:v>
      </x:c>
      <x:c r="H633" s="53" t="str">
        <x:v>Fan video</x:v>
      </x:c>
      <x:c r="I633" s="53" t="str">
        <x:v>YouTube — search by title</x:v>
      </x:c>
      <x:c r="J633" s="59" t="e">
        <x:f>HYPERLINK("https://www.youtube.com/results?search_query=REY%3A%20THE%20KYBER%20SHIELD%20A%20New%20Jedi%20Weapon%20%7C%20Star%20Wars","Search")</x:f>
        <x:v>HYPERLINK is not implemented. linkLocation=https://www.youtube.com/results?search_query=REY%3A%20THE%20KYBER%20SHIELD%20A%20New%20Jedi%20Weapon%20%7C%20Star%20Wars, friendlyName=Search</x:v>
      </x:c>
      <x:c r="K633" s="53" t="str">
        <x:v>Named sequel-era character.</x:v>
      </x:c>
      <x:c r="L633" s="76" t="str"/>
      <x:c r="M633" s="76" t="str">
        <x:v>REY: THE KYBER SHIELD A New Jedi Weapon | Star Wars</x:v>
      </x:c>
      <x:c r="N633" s="76"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633" s="76" t="str">
        <x:v>Sequel era</x:v>
      </x:c>
      <x:c r="P633" s="76" t="str">
        <x:v>IMG_6364.PNG</x:v>
      </x:c>
      <x:c r="Q633" s="76" t="str">
        <x:v>OCR extracted / placement assigned</x:v>
      </x:c>
      <x:c r="R633" s="76" t="str">
        <x:v>High</x:v>
      </x:c>
      <x:c r="S633" s="76" t="str"/>
      <x:c r="T633" s="76" t="str">
        <x:v>Unique</x:v>
      </x:c>
    </x:row>
    <x:row r="634" s="23" customFormat="1" ht="36" customHeight="1">
      <x:c r="A634" s="49" t="b">
        <x:v>0</x:v>
      </x:c>
      <x:c r="B634" s="56" t="str">
        <x:v>B1</x:v>
      </x:c>
      <x:c r="C634" s="53" t="str">
        <x:v>Bonus: Legends</x:v>
      </x:c>
      <x:c r="D634" s="53" t="str">
        <x:v>Dark Empire audio drama</x:v>
      </x:c>
      <x:c r="E634" s="53" t="str"/>
      <x:c r="F634" s="53" t="str">
        <x:v>1994</x:v>
      </x:c>
      <x:c r="G634" s="53" t="str">
        <x:v>Legends</x:v>
      </x:c>
      <x:c r="H634" s="53" t="str">
        <x:v>Audio drama</x:v>
      </x:c>
      <x:c r="I634" s="53" t="str">
        <x:v>Library / used CD</x:v>
      </x:c>
      <x:c r="J634" s="59" t="e">
        <x:f>HYPERLINK("https://digital.darkhorse.com/series/109/star-wars-dark-empire","Open")</x:f>
        <x:v>HYPERLINK is not implemented. linkLocation=https://digital.darkhorse.com/series/109/star-wars-dark-empire, friendlyName=Open</x:v>
      </x:c>
      <x:c r="K634" s="53" t="str">
        <x:v>Out of print</x:v>
      </x:c>
      <x:c r="L634" s="76" t="str"/>
      <x:c r="M634" s="76" t="str"/>
      <x:c r="N634" s="76" t="str"/>
      <x:c r="O634" s="76" t="str"/>
      <x:c r="P634" s="76" t="str"/>
      <x:c r="Q634" s="76" t="str"/>
      <x:c r="R634" s="76" t="str"/>
      <x:c r="S634" s="76" t="str"/>
      <x:c r="T634" s="76" t="str"/>
    </x:row>
    <x:row r="635" s="23" customFormat="1" ht="36" customHeight="1">
      <x:c r="A635" s="49" t="b">
        <x:v>0</x:v>
      </x:c>
      <x:c r="B635" s="56" t="str">
        <x:v>B2</x:v>
      </x:c>
      <x:c r="C635" s="53" t="str">
        <x:v>Bonus: Visions</x:v>
      </x:c>
      <x:c r="D635" s="53" t="str">
        <x:v>Star Wars: Visions Volume 1</x:v>
      </x:c>
      <x:c r="E635" s="53" t="str"/>
      <x:c r="F635" s="53" t="str">
        <x:v>September 22, 2021</x:v>
      </x:c>
      <x:c r="G635" s="53" t="str">
        <x:v>Alternate universe</x:v>
      </x:c>
      <x:c r="H635" s="53" t="str">
        <x:v>Anthology</x:v>
      </x:c>
      <x:c r="I635" s="53" t="str">
        <x:v>Disney+</x:v>
      </x:c>
      <x:c r="J635" s="59" t="str"/>
      <x:c r="K635" s="53" t="str"/>
      <x:c r="L635" s="76" t="str"/>
      <x:c r="M635" s="76" t="str"/>
      <x:c r="N635" s="76" t="str"/>
      <x:c r="O635" s="76" t="str"/>
      <x:c r="P635" s="76" t="str"/>
      <x:c r="Q635" s="76" t="str"/>
      <x:c r="R635" s="76" t="str"/>
      <x:c r="S635" s="76" t="str"/>
      <x:c r="T635" s="76" t="str"/>
    </x:row>
    <x:row r="636" s="23" customFormat="1" ht="36" customHeight="1">
      <x:c r="A636" s="49" t="b">
        <x:v>0</x:v>
      </x:c>
      <x:c r="B636" s="56" t="str">
        <x:v>B3</x:v>
      </x:c>
      <x:c r="C636" s="53" t="str">
        <x:v>Bonus: The Ninth Jedi</x:v>
      </x:c>
      <x:c r="D636" s="53" t="str">
        <x:v>The Ninth Jedi</x:v>
      </x:c>
      <x:c r="E636" s="53" t="str"/>
      <x:c r="F636" s="53" t="str">
        <x:v>September 22, 2021</x:v>
      </x:c>
      <x:c r="G636" s="53" t="str">
        <x:v>Alternate universe</x:v>
      </x:c>
      <x:c r="H636" s="53" t="str">
        <x:v>Visions short</x:v>
      </x:c>
      <x:c r="I636" s="53" t="str">
        <x:v>Disney+</x:v>
      </x:c>
      <x:c r="J636" s="59" t="str"/>
      <x:c r="K636" s="53" t="str">
        <x:v>Watch first in the Ninth Jedi storyline</x:v>
      </x:c>
      <x:c r="L636" s="76" t="str"/>
      <x:c r="M636" s="76" t="str"/>
      <x:c r="N636" s="76" t="str"/>
      <x:c r="O636" s="76" t="str"/>
      <x:c r="P636" s="76" t="str"/>
      <x:c r="Q636" s="76" t="str"/>
      <x:c r="R636" s="76" t="str"/>
      <x:c r="S636" s="76" t="str"/>
      <x:c r="T636" s="76" t="str"/>
    </x:row>
    <x:row r="637" s="23" customFormat="1" ht="36" customHeight="1">
      <x:c r="A637" s="49" t="b">
        <x:v>0</x:v>
      </x:c>
      <x:c r="B637" s="56" t="str">
        <x:v>B4</x:v>
      </x:c>
      <x:c r="C637" s="53" t="str">
        <x:v>Bonus: Visions</x:v>
      </x:c>
      <x:c r="D637" s="53" t="str">
        <x:v>Star Wars: Visions Volume 2</x:v>
      </x:c>
      <x:c r="E637" s="53" t="str"/>
      <x:c r="F637" s="53" t="str">
        <x:v>May 4, 2023</x:v>
      </x:c>
      <x:c r="G637" s="53" t="str">
        <x:v>Alternate universe</x:v>
      </x:c>
      <x:c r="H637" s="53" t="str">
        <x:v>Anthology</x:v>
      </x:c>
      <x:c r="I637" s="53" t="str">
        <x:v>Disney+</x:v>
      </x:c>
      <x:c r="J637" s="59" t="str"/>
      <x:c r="K637" s="53" t="str"/>
      <x:c r="L637" s="76" t="str"/>
      <x:c r="M637" s="76" t="str"/>
      <x:c r="N637" s="76" t="str"/>
      <x:c r="O637" s="76" t="str"/>
      <x:c r="P637" s="76" t="str"/>
      <x:c r="Q637" s="76" t="str"/>
      <x:c r="R637" s="76" t="str"/>
      <x:c r="S637" s="76" t="str"/>
      <x:c r="T637" s="76" t="str"/>
    </x:row>
    <x:row r="638" s="23" customFormat="1" ht="36" customHeight="1">
      <x:c r="A638" s="49" t="b">
        <x:v>0</x:v>
      </x:c>
      <x:c r="B638" s="56" t="str">
        <x:v>B5</x:v>
      </x:c>
      <x:c r="C638" s="53" t="str">
        <x:v>Bonus: Visions</x:v>
      </x:c>
      <x:c r="D638" s="53" t="str">
        <x:v>Star Wars: Visions Volume 3</x:v>
      </x:c>
      <x:c r="E638" s="53" t="str"/>
      <x:c r="F638" s="53" t="str">
        <x:v>October 29, 2025</x:v>
      </x:c>
      <x:c r="G638" s="53" t="str">
        <x:v>Alternate universe</x:v>
      </x:c>
      <x:c r="H638" s="53" t="str">
        <x:v>Anthology</x:v>
      </x:c>
      <x:c r="I638" s="53" t="str">
        <x:v>Disney+</x:v>
      </x:c>
      <x:c r="J638" s="59" t="str"/>
      <x:c r="K638" s="53" t="str"/>
      <x:c r="L638" s="76" t="str"/>
      <x:c r="M638" s="76" t="str"/>
      <x:c r="N638" s="76" t="str"/>
      <x:c r="O638" s="76" t="str"/>
      <x:c r="P638" s="76" t="str"/>
      <x:c r="Q638" s="76" t="str"/>
      <x:c r="R638" s="76" t="str"/>
      <x:c r="S638" s="76" t="str"/>
      <x:c r="T638" s="76" t="str"/>
    </x:row>
    <x:row r="639" s="23" customFormat="1" ht="36" customHeight="1">
      <x:c r="A639" s="49" t="b">
        <x:v>0</x:v>
      </x:c>
      <x:c r="B639" s="56" t="str">
        <x:v>B6</x:v>
      </x:c>
      <x:c r="C639" s="53" t="str">
        <x:v>Bonus: The Ninth Jedi</x:v>
      </x:c>
      <x:c r="D639" s="53" t="str">
        <x:v>The Ninth Jedi: Child of Hope</x:v>
      </x:c>
      <x:c r="E639" s="53" t="str"/>
      <x:c r="F639" s="53" t="str">
        <x:v>October 29, 2025</x:v>
      </x:c>
      <x:c r="G639" s="53" t="str">
        <x:v>Alternate universe</x:v>
      </x:c>
      <x:c r="H639" s="53" t="str">
        <x:v>Visions short</x:v>
      </x:c>
      <x:c r="I639" s="53" t="str">
        <x:v>Disney+</x:v>
      </x:c>
      <x:c r="J639" s="59" t="str"/>
      <x:c r="K639" s="53" t="str">
        <x:v>Watch second in the Ninth Jedi storyline</x:v>
      </x:c>
      <x:c r="L639" s="76" t="str"/>
      <x:c r="M639" s="76" t="str"/>
      <x:c r="N639" s="76" t="str"/>
      <x:c r="O639" s="76" t="str"/>
      <x:c r="P639" s="76" t="str"/>
      <x:c r="Q639" s="76" t="str"/>
      <x:c r="R639" s="76" t="str"/>
      <x:c r="S639" s="76" t="str"/>
      <x:c r="T639" s="76" t="str"/>
    </x:row>
    <x:row r="640" s="23" customFormat="1" ht="36" customHeight="1">
      <x:c r="A640" s="49" t="b">
        <x:v>0</x:v>
      </x:c>
      <x:c r="B640" s="56" t="str">
        <x:v>B7</x:v>
      </x:c>
      <x:c r="C640" s="53" t="str">
        <x:v>Bonus: The Ninth Jedi</x:v>
      </x:c>
      <x:c r="D640" s="53" t="str">
        <x:v>Star Wars: Visions Presents – The Ninth Jedi</x:v>
      </x:c>
      <x:c r="E640" s="53" t="str"/>
      <x:c r="F640" s="53" t="str">
        <x:v>August 5, 2026</x:v>
      </x:c>
      <x:c r="G640" s="53" t="str">
        <x:v>Alternate universe</x:v>
      </x:c>
      <x:c r="H640" s="53" t="str">
        <x:v>8-episode series</x:v>
      </x:c>
      <x:c r="I640" s="53" t="str">
        <x:v>Disney+ / Hulu</x:v>
      </x:c>
      <x:c r="J640" s="59" t="str"/>
      <x:c r="K640" s="53" t="str">
        <x:v>Watch third in the Ninth Jedi storyline</x:v>
      </x:c>
      <x:c r="L640" s="76" t="str"/>
      <x:c r="M640" s="76" t="str"/>
      <x:c r="N640" s="76" t="str"/>
      <x:c r="O640" s="76" t="str"/>
      <x:c r="P640" s="76" t="str"/>
      <x:c r="Q640" s="76" t="str"/>
      <x:c r="R640" s="76" t="str"/>
      <x:c r="S640" s="76" t="str"/>
      <x:c r="T640" s="76" t="str"/>
    </x:row>
    <x:row r="641" s="23" customFormat="1" ht="36" customHeight="1">
      <x:c r="A641" s="49" t="b">
        <x:v>0</x:v>
      </x:c>
      <x:c r="B641" s="56" t="str">
        <x:v>B8</x:v>
      </x:c>
      <x:c r="C641" s="53" t="str">
        <x:v>Bonus: LEGO</x:v>
      </x:c>
      <x:c r="D641" s="53" t="str">
        <x:v>The Freemaker Adventures</x:v>
      </x:c>
      <x:c r="E641" s="53" t="str"/>
      <x:c r="F641" s="53" t="str">
        <x:v>June 20, 2016–August 16, 2017</x:v>
      </x:c>
      <x:c r="G641" s="53" t="str">
        <x:v>LEGO</x:v>
      </x:c>
      <x:c r="H641" s="53" t="str">
        <x:v>Series</x:v>
      </x:c>
      <x:c r="I641" s="53" t="str">
        <x:v>Disney+</x:v>
      </x:c>
      <x:c r="J641" s="59" t="str"/>
      <x:c r="K641" s="53" t="str"/>
      <x:c r="L641" s="76" t="str"/>
      <x:c r="M641" s="76" t="str"/>
      <x:c r="N641" s="76" t="str"/>
      <x:c r="O641" s="76" t="str"/>
      <x:c r="P641" s="76" t="str"/>
      <x:c r="Q641" s="76" t="str"/>
      <x:c r="R641" s="76" t="str"/>
      <x:c r="S641" s="76" t="str"/>
      <x:c r="T641" s="76" t="str"/>
    </x:row>
    <x:row r="642" s="23" customFormat="1" ht="36" customHeight="1">
      <x:c r="A642" s="49" t="b">
        <x:v>0</x:v>
      </x:c>
      <x:c r="B642" s="56" t="str">
        <x:v>B9</x:v>
      </x:c>
      <x:c r="C642" s="53" t="str">
        <x:v>Bonus: LEGO</x:v>
      </x:c>
      <x:c r="D642" s="53" t="str">
        <x:v>LEGO Star Wars: All-Stars</x:v>
      </x:c>
      <x:c r="E642" s="53" t="str"/>
      <x:c r="F642" s="53" t="str">
        <x:v>October 29–December 8, 2018</x:v>
      </x:c>
      <x:c r="G642" s="53" t="str">
        <x:v>LEGO</x:v>
      </x:c>
      <x:c r="H642" s="53" t="str">
        <x:v>Series / shorts</x:v>
      </x:c>
      <x:c r="I642" s="53" t="str">
        <x:v>Disney+</x:v>
      </x:c>
      <x:c r="J642" s="59" t="str"/>
      <x:c r="K642" s="53" t="str"/>
      <x:c r="L642" s="76" t="str"/>
      <x:c r="M642" s="76" t="str"/>
      <x:c r="N642" s="76" t="str"/>
      <x:c r="O642" s="76" t="str"/>
      <x:c r="P642" s="76" t="str"/>
      <x:c r="Q642" s="76" t="str"/>
      <x:c r="R642" s="76" t="str"/>
      <x:c r="S642" s="76" t="str"/>
      <x:c r="T642" s="76" t="str"/>
    </x:row>
    <x:row r="643" s="23" customFormat="1" ht="36" customHeight="1">
      <x:c r="A643" s="49" t="b">
        <x:v>0</x:v>
      </x:c>
      <x:c r="B643" s="56" t="str">
        <x:v>B10</x:v>
      </x:c>
      <x:c r="C643" s="53" t="str">
        <x:v>Bonus: LEGO</x:v>
      </x:c>
      <x:c r="D643" s="53" t="str">
        <x:v>LEGO Star Wars: Droid Tales</x:v>
      </x:c>
      <x:c r="E643" s="53" t="str"/>
      <x:c r="F643" s="53" t="str">
        <x:v>July 6–November 2, 2015</x:v>
      </x:c>
      <x:c r="G643" s="53" t="str">
        <x:v>LEGO</x:v>
      </x:c>
      <x:c r="H643" s="53" t="str">
        <x:v>Series</x:v>
      </x:c>
      <x:c r="I643" s="53" t="str">
        <x:v>Disney+</x:v>
      </x:c>
      <x:c r="J643" s="59" t="str"/>
      <x:c r="K643" s="53" t="str"/>
      <x:c r="L643" s="76" t="str"/>
      <x:c r="M643" s="76" t="str"/>
      <x:c r="N643" s="76" t="str"/>
      <x:c r="O643" s="76" t="str"/>
      <x:c r="P643" s="76" t="str"/>
      <x:c r="Q643" s="76" t="str"/>
      <x:c r="R643" s="76" t="str"/>
      <x:c r="S643" s="76" t="str"/>
      <x:c r="T643" s="76" t="str"/>
    </x:row>
    <x:row r="644" s="23" customFormat="1" ht="36" customHeight="1">
      <x:c r="A644" s="49" t="b">
        <x:v>0</x:v>
      </x:c>
      <x:c r="B644" s="56" t="str">
        <x:v>B11</x:v>
      </x:c>
      <x:c r="C644" s="53" t="str">
        <x:v>Bonus: LEGO</x:v>
      </x:c>
      <x:c r="D644" s="53" t="str">
        <x:v>The LEGO Star Wars Holiday Special</x:v>
      </x:c>
      <x:c r="E644" s="53" t="str"/>
      <x:c r="F644" s="53" t="str">
        <x:v>November 17, 2020</x:v>
      </x:c>
      <x:c r="G644" s="53" t="str">
        <x:v>LEGO</x:v>
      </x:c>
      <x:c r="H644" s="53" t="str">
        <x:v>Special</x:v>
      </x:c>
      <x:c r="I644" s="53" t="str">
        <x:v>Disney+</x:v>
      </x:c>
      <x:c r="J644" s="59" t="str"/>
      <x:c r="K644" s="53" t="str"/>
      <x:c r="L644" s="76" t="str"/>
      <x:c r="M644" s="76" t="str"/>
      <x:c r="N644" s="76" t="str"/>
      <x:c r="O644" s="76" t="str"/>
      <x:c r="P644" s="76" t="str"/>
      <x:c r="Q644" s="76" t="str"/>
      <x:c r="R644" s="76" t="str"/>
      <x:c r="S644" s="76" t="str"/>
      <x:c r="T644" s="76" t="str"/>
    </x:row>
    <x:row r="645" s="23" customFormat="1" ht="36" customHeight="1">
      <x:c r="A645" s="49" t="b">
        <x:v>0</x:v>
      </x:c>
      <x:c r="B645" s="56" t="str">
        <x:v>B12</x:v>
      </x:c>
      <x:c r="C645" s="53" t="str">
        <x:v>Bonus: LEGO</x:v>
      </x:c>
      <x:c r="D645" s="53" t="str">
        <x:v>LEGO Star Wars: Terrifying Tales</x:v>
      </x:c>
      <x:c r="E645" s="53" t="str"/>
      <x:c r="F645" s="53" t="str">
        <x:v>October 1, 2021</x:v>
      </x:c>
      <x:c r="G645" s="53" t="str">
        <x:v>LEGO</x:v>
      </x:c>
      <x:c r="H645" s="53" t="str">
        <x:v>Special</x:v>
      </x:c>
      <x:c r="I645" s="53" t="str">
        <x:v>Disney+</x:v>
      </x:c>
      <x:c r="J645" s="59" t="str"/>
      <x:c r="K645" s="53" t="str"/>
      <x:c r="L645" s="76" t="str"/>
      <x:c r="M645" s="76" t="str"/>
      <x:c r="N645" s="76" t="str"/>
      <x:c r="O645" s="76" t="str"/>
      <x:c r="P645" s="76" t="str"/>
      <x:c r="Q645" s="76" t="str"/>
      <x:c r="R645" s="76" t="str"/>
      <x:c r="S645" s="76" t="str"/>
      <x:c r="T645" s="76" t="str"/>
    </x:row>
    <x:row r="646" s="23" customFormat="1" ht="36" customHeight="1">
      <x:c r="A646" s="49" t="b">
        <x:v>0</x:v>
      </x:c>
      <x:c r="B646" s="56" t="str">
        <x:v>B13</x:v>
      </x:c>
      <x:c r="C646" s="53" t="str">
        <x:v>Bonus: LEGO</x:v>
      </x:c>
      <x:c r="D646" s="53" t="str">
        <x:v>LEGO Star Wars Summer Vacation</x:v>
      </x:c>
      <x:c r="E646" s="53" t="str"/>
      <x:c r="F646" s="53" t="str">
        <x:v>August 5, 2022</x:v>
      </x:c>
      <x:c r="G646" s="53" t="str">
        <x:v>LEGO</x:v>
      </x:c>
      <x:c r="H646" s="53" t="str">
        <x:v>Special</x:v>
      </x:c>
      <x:c r="I646" s="53" t="str">
        <x:v>Disney+</x:v>
      </x:c>
      <x:c r="J646" s="59" t="str"/>
      <x:c r="K646" s="53" t="str"/>
      <x:c r="L646" s="76" t="str"/>
      <x:c r="M646" s="76" t="str"/>
      <x:c r="N646" s="76" t="str"/>
      <x:c r="O646" s="76" t="str"/>
      <x:c r="P646" s="76" t="str"/>
      <x:c r="Q646" s="76" t="str"/>
      <x:c r="R646" s="76" t="str"/>
      <x:c r="S646" s="76" t="str"/>
      <x:c r="T646" s="76" t="str"/>
    </x:row>
    <x:row r="647" s="23" customFormat="1" ht="36" customHeight="1">
      <x:c r="A647" s="49" t="b">
        <x:v>0</x:v>
      </x:c>
      <x:c r="B647" s="56" t="str">
        <x:v>B14</x:v>
      </x:c>
      <x:c r="C647" s="53" t="str">
        <x:v>Bonus: LEGO</x:v>
      </x:c>
      <x:c r="D647" s="53" t="str">
        <x:v>LEGO Star Wars: Rebuild the Galaxy</x:v>
      </x:c>
      <x:c r="E647" s="53" t="str"/>
      <x:c r="F647" s="53" t="str">
        <x:v>September 13, 2024</x:v>
      </x:c>
      <x:c r="G647" s="53" t="str">
        <x:v>LEGO</x:v>
      </x:c>
      <x:c r="H647" s="53" t="str">
        <x:v>Special</x:v>
      </x:c>
      <x:c r="I647" s="53" t="str">
        <x:v>Disney+</x:v>
      </x:c>
      <x:c r="J647" s="59" t="str"/>
      <x:c r="K647" s="53" t="str"/>
      <x:c r="L647" s="76" t="str"/>
      <x:c r="M647" s="76" t="str"/>
      <x:c r="N647" s="76" t="str"/>
      <x:c r="O647" s="76" t="str"/>
      <x:c r="P647" s="76" t="str"/>
      <x:c r="Q647" s="76" t="str"/>
      <x:c r="R647" s="76" t="str"/>
      <x:c r="S647" s="76" t="str"/>
      <x:c r="T647" s="76" t="str"/>
    </x:row>
    <x:row r="648" s="23" customFormat="1" ht="36" customHeight="1">
      <x:c r="A648" s="49" t="b">
        <x:v>0</x:v>
      </x:c>
      <x:c r="B648" s="56" t="str">
        <x:v>B15</x:v>
      </x:c>
      <x:c r="C648" s="53" t="str">
        <x:v>Bonus: LEGO</x:v>
      </x:c>
      <x:c r="D648" s="53" t="str">
        <x:v>Rebuild the Galaxy: Pieces of the Past</x:v>
      </x:c>
      <x:c r="E648" s="53" t="str"/>
      <x:c r="F648" s="53" t="str">
        <x:v>September 19, 2025</x:v>
      </x:c>
      <x:c r="G648" s="53" t="str">
        <x:v>LEGO</x:v>
      </x:c>
      <x:c r="H648" s="53" t="str">
        <x:v>Special</x:v>
      </x:c>
      <x:c r="I648" s="53" t="str">
        <x:v>Disney+</x:v>
      </x:c>
      <x:c r="J648" s="59" t="str"/>
      <x:c r="K648" s="53" t="str"/>
      <x:c r="L648" s="76" t="str"/>
      <x:c r="M648" s="76" t="str"/>
      <x:c r="N648" s="76" t="str"/>
      <x:c r="O648" s="76" t="str"/>
      <x:c r="P648" s="76" t="str"/>
      <x:c r="Q648" s="76" t="str"/>
      <x:c r="R648" s="76" t="str"/>
      <x:c r="S648" s="76" t="str"/>
      <x:c r="T648" s="76" t="str"/>
    </x:row>
    <x:row r="649" s="23" customFormat="1" ht="36" customHeight="1">
      <x:c r="A649" s="49" t="b">
        <x:v>0</x:v>
      </x:c>
      <x:c r="B649" s="56" t="str">
        <x:v>B16</x:v>
      </x:c>
      <x:c r="C649" s="53" t="str">
        <x:v>Bonus: Retellings</x:v>
      </x:c>
      <x:c r="D649" s="53" t="str">
        <x:v>Galaxy of Adventures</x:v>
      </x:c>
      <x:c r="E649" s="53" t="str"/>
      <x:c r="F649" s="53" t="str">
        <x:v>November 30, 2018–October 2, 2020</x:v>
      </x:c>
      <x:c r="G649" s="53" t="str">
        <x:v>Retelling</x:v>
      </x:c>
      <x:c r="H649" s="53" t="str">
        <x:v>Shorts</x:v>
      </x:c>
      <x:c r="I649" s="53" t="str">
        <x:v>YouTube</x:v>
      </x:c>
      <x:c r="J649" s="59" t="e">
        <x:f>HYPERLINK("https://www.youtube.com/results?search_query=Star+Wars+Galaxy+of+Adventures+official","Open")</x:f>
        <x:v>HYPERLINK is not implemented. linkLocation=https://www.youtube.com/results?search_query=Star+Wars+Galaxy+of+Adventures+official, friendlyName=Open</x:v>
      </x:c>
      <x:c r="K649" s="53" t="str">
        <x:v>Animated retellings rather than new continuity</x:v>
      </x:c>
      <x:c r="L649" s="76" t="str"/>
      <x:c r="M649" s="76" t="str"/>
      <x:c r="N649" s="76" t="str"/>
      <x:c r="O649" s="76" t="str"/>
      <x:c r="P649" s="76" t="str"/>
      <x:c r="Q649" s="76" t="str"/>
      <x:c r="R649" s="76" t="str"/>
      <x:c r="S649" s="76" t="str"/>
      <x:c r="T649" s="76" t="str"/>
    </x:row>
    <x:row r="650" s="23" customFormat="1" ht="36" customHeight="1">
      <x:c r="A650" s="49" t="b">
        <x:v>0</x:v>
      </x:c>
      <x:c r="B650" s="56" t="str">
        <x:v>B17</x:v>
      </x:c>
      <x:c r="C650" s="53" t="str">
        <x:v>Bonus: Kids</x:v>
      </x:c>
      <x:c r="D650" s="53" t="str">
        <x:v>Galaxy of Creatures</x:v>
      </x:c>
      <x:c r="E650" s="53" t="str"/>
      <x:c r="F650" s="53" t="str">
        <x:v>Began October 14, 2021</x:v>
      </x:c>
      <x:c r="G650" s="53" t="str">
        <x:v>Kids</x:v>
      </x:c>
      <x:c r="H650" s="53" t="str">
        <x:v>Shorts</x:v>
      </x:c>
      <x:c r="I650" s="53" t="str">
        <x:v>YouTube</x:v>
      </x:c>
      <x:c r="J650" s="59" t="e">
        <x:f>HYPERLINK("https://www.youtube.com/results?search_query=Star+Wars+Galaxy+of+Creatures+official","Open")</x:f>
        <x:v>HYPERLINK is not implemented. linkLocation=https://www.youtube.com/results?search_query=Star+Wars+Galaxy+of+Creatures+official, friendlyName=Open</x:v>
      </x:c>
      <x:c r="K650" s="53" t="str"/>
      <x:c r="L650" s="76" t="str"/>
      <x:c r="M650" s="76" t="str"/>
      <x:c r="N650" s="76" t="str"/>
      <x:c r="O650" s="76" t="str"/>
      <x:c r="P650" s="76" t="str"/>
      <x:c r="Q650" s="76" t="str"/>
      <x:c r="R650" s="76" t="str"/>
      <x:c r="S650" s="76" t="str"/>
      <x:c r="T650" s="76" t="str"/>
    </x:row>
    <x:row r="651" s="23" customFormat="1" ht="36" customHeight="1">
      <x:c r="A651" s="49" t="b">
        <x:v>0</x:v>
      </x:c>
      <x:c r="B651" s="56" t="str">
        <x:v>B18</x:v>
      </x:c>
      <x:c r="C651" s="53" t="str">
        <x:v>Bonus: Kids</x:v>
      </x:c>
      <x:c r="D651" s="53" t="str">
        <x:v>Galactic Pals</x:v>
      </x:c>
      <x:c r="E651" s="53" t="str"/>
      <x:c r="F651" s="53" t="str">
        <x:v>Began April 12, 2022</x:v>
      </x:c>
      <x:c r="G651" s="53" t="str">
        <x:v>Kids</x:v>
      </x:c>
      <x:c r="H651" s="53" t="str">
        <x:v>Shorts</x:v>
      </x:c>
      <x:c r="I651" s="53" t="str">
        <x:v>YouTube</x:v>
      </x:c>
      <x:c r="J651" s="59" t="e">
        <x:f>HYPERLINK("https://www.youtube.com/results?search_query=Star+Wars+Galactic+Pals+official","Open")</x:f>
        <x:v>HYPERLINK is not implemented. linkLocation=https://www.youtube.com/results?search_query=Star+Wars+Galactic+Pals+official, friendlyName=Open</x:v>
      </x:c>
      <x:c r="K651" s="53" t="str"/>
      <x:c r="L651" s="76" t="str"/>
      <x:c r="M651" s="76" t="str"/>
      <x:c r="N651" s="76" t="str"/>
      <x:c r="O651" s="76" t="str"/>
      <x:c r="P651" s="76" t="str"/>
      <x:c r="Q651" s="76" t="str"/>
      <x:c r="R651" s="76" t="str"/>
      <x:c r="S651" s="76" t="str"/>
      <x:c r="T651" s="76" t="str"/>
    </x:row>
    <x:row r="652" s="23" customFormat="1" ht="36" customHeight="1">
      <x:c r="A652" s="49" t="b">
        <x:v>0</x:v>
      </x:c>
      <x:c r="B652" s="56" t="str">
        <x:v>B19</x:v>
      </x:c>
      <x:c r="C652" s="53" t="str">
        <x:v>Bonus: Fan film</x:v>
      </x:c>
      <x:c r="D652" s="53" t="str">
        <x:v>Dark Resurrection Volume 0</x:v>
      </x:c>
      <x:c r="E652" s="53" t="str"/>
      <x:c r="F652" s="53" t="str">
        <x:v>September 8, 2011</x:v>
      </x:c>
      <x:c r="G652" s="53" t="str">
        <x:v>Fan / non-canon</x:v>
      </x:c>
      <x:c r="H652" s="53" t="str">
        <x:v>Fan film</x:v>
      </x:c>
      <x:c r="I652" s="53" t="str">
        <x:v>YouTube</x:v>
      </x:c>
      <x:c r="J652" s="59" t="e">
        <x:f>HYPERLINK("https://www.youtube.com/watch?v=lQzOQI1Rdn0","Open")</x:f>
        <x:v>HYPERLINK is not implemented. linkLocation=https://www.youtube.com/watch?v=lQzOQI1Rdn0, friendlyName=Open</x:v>
      </x:c>
      <x:c r="K652" s="53" t="str">
        <x:v>Watch before Volume 1</x:v>
      </x:c>
      <x:c r="L652" s="76" t="str"/>
      <x:c r="M652" s="76" t="str"/>
      <x:c r="N652" s="76" t="str"/>
      <x:c r="O652" s="76" t="str"/>
      <x:c r="P652" s="76" t="str"/>
      <x:c r="Q652" s="76" t="str"/>
      <x:c r="R652" s="76" t="str"/>
      <x:c r="S652" s="76" t="str"/>
      <x:c r="T652" s="76" t="str"/>
    </x:row>
    <x:row r="653" s="23" customFormat="1" ht="36" customHeight="1">
      <x:c r="A653" s="49" t="b">
        <x:v>0</x:v>
      </x:c>
      <x:c r="B653" s="56" t="str">
        <x:v>B20</x:v>
      </x:c>
      <x:c r="C653" s="53" t="str">
        <x:v>Bonus: Fan film</x:v>
      </x:c>
      <x:c r="D653" s="53" t="str">
        <x:v>Dark Resurrection Volume 1</x:v>
      </x:c>
      <x:c r="E653" s="53" t="str"/>
      <x:c r="F653" s="53" t="str">
        <x:v>June 7, 2007</x:v>
      </x:c>
      <x:c r="G653" s="53" t="str">
        <x:v>Fan / non-canon</x:v>
      </x:c>
      <x:c r="H653" s="53" t="str">
        <x:v>Fan film</x:v>
      </x:c>
      <x:c r="I653" s="53" t="str">
        <x:v>YouTube</x:v>
      </x:c>
      <x:c r="J653" s="59" t="e">
        <x:f>HYPERLINK("https://www.youtube.com/watch?v=3DZzpKMGmUs","Open")</x:f>
        <x:v>HYPERLINK is not implemented. linkLocation=https://www.youtube.com/watch?v=3DZzpKMGmUs, friendlyName=Open</x:v>
      </x:c>
      <x:c r="K653" s="53" t="str">
        <x:v>Story sequel to Volume 0 despite earlier release</x:v>
      </x:c>
      <x:c r="L653" s="76" t="str"/>
      <x:c r="M653" s="76" t="str"/>
      <x:c r="N653" s="76" t="str"/>
      <x:c r="O653" s="76" t="str"/>
      <x:c r="P653" s="76" t="str"/>
      <x:c r="Q653" s="76" t="str"/>
      <x:c r="R653" s="76" t="str"/>
      <x:c r="S653" s="76" t="str"/>
      <x:c r="T653" s="76" t="str"/>
    </x:row>
    <x:row r="654" s="23" customFormat="1" ht="36" customHeight="1">
      <x:c r="A654" s="49" t="b">
        <x:v>0</x:v>
      </x:c>
      <x:c r="B654" s="56" t="str">
        <x:v>B21</x:v>
      </x:c>
      <x:c r="C654" s="53" t="str">
        <x:v>Bonus: Parody</x:v>
      </x:c>
      <x:c r="D654" s="53" t="str">
        <x:v>Robot Chicken: Star Wars</x:v>
      </x:c>
      <x:c r="E654" s="53" t="str"/>
      <x:c r="F654" s="53" t="str">
        <x:v>June 17, 2007</x:v>
      </x:c>
      <x:c r="G654" s="53" t="str">
        <x:v>Parody</x:v>
      </x:c>
      <x:c r="H654" s="53" t="str">
        <x:v>Special</x:v>
      </x:c>
      <x:c r="I654" s="53" t="str">
        <x:v>Hulu</x:v>
      </x:c>
      <x:c r="J654" s="59" t="e">
        <x:f>HYPERLINK("https://www.hulu.com/series/robot-chicken-star-wars-f91fc72a-5abb-4b95-9d78-dcc0d5fc764a","Open")</x:f>
        <x:v>HYPERLINK is not implemented. linkLocation=https://www.hulu.com/series/robot-chicken-star-wars-f91fc72a-5abb-4b95-9d78-dcc0d5fc764a, friendlyName=Open</x:v>
      </x:c>
      <x:c r="K654" s="53" t="str"/>
      <x:c r="L654" s="76" t="str"/>
      <x:c r="M654" s="76" t="str"/>
      <x:c r="N654" s="76" t="str"/>
      <x:c r="O654" s="76" t="str"/>
      <x:c r="P654" s="76" t="str"/>
      <x:c r="Q654" s="76" t="str"/>
      <x:c r="R654" s="76" t="str"/>
      <x:c r="S654" s="76" t="str"/>
      <x:c r="T654" s="76" t="str"/>
    </x:row>
    <x:row r="655" s="23" customFormat="1" ht="36" customHeight="1">
      <x:c r="A655" s="49" t="b">
        <x:v>0</x:v>
      </x:c>
      <x:c r="B655" s="56" t="str">
        <x:v>B22</x:v>
      </x:c>
      <x:c r="C655" s="53" t="str">
        <x:v>Bonus: Parody</x:v>
      </x:c>
      <x:c r="D655" s="53" t="str">
        <x:v>Robot Chicken: Star Wars Episode II</x:v>
      </x:c>
      <x:c r="E655" s="53" t="str"/>
      <x:c r="F655" s="53" t="str">
        <x:v>November 16, 2008</x:v>
      </x:c>
      <x:c r="G655" s="53" t="str">
        <x:v>Parody</x:v>
      </x:c>
      <x:c r="H655" s="53" t="str">
        <x:v>Special</x:v>
      </x:c>
      <x:c r="I655" s="53" t="str">
        <x:v>Hulu</x:v>
      </x:c>
      <x:c r="J655" s="59" t="e">
        <x:f>HYPERLINK("https://www.hulu.com/series/robot-chicken-star-wars-f91fc72a-5abb-4b95-9d78-dcc0d5fc764a","Open")</x:f>
        <x:v>HYPERLINK is not implemented. linkLocation=https://www.hulu.com/series/robot-chicken-star-wars-f91fc72a-5abb-4b95-9d78-dcc0d5fc764a, friendlyName=Open</x:v>
      </x:c>
      <x:c r="K655" s="53" t="str"/>
      <x:c r="L655" s="76" t="str"/>
      <x:c r="M655" s="76" t="str"/>
      <x:c r="N655" s="76" t="str"/>
      <x:c r="O655" s="76" t="str"/>
      <x:c r="P655" s="76" t="str"/>
      <x:c r="Q655" s="76" t="str"/>
      <x:c r="R655" s="76" t="str"/>
      <x:c r="S655" s="76" t="str"/>
      <x:c r="T655" s="76" t="str"/>
    </x:row>
    <x:row r="656" s="23" customFormat="1" ht="36" customHeight="1">
      <x:c r="A656" s="49" t="b">
        <x:v>0</x:v>
      </x:c>
      <x:c r="B656" s="56" t="str">
        <x:v>B23</x:v>
      </x:c>
      <x:c r="C656" s="53" t="str">
        <x:v>Bonus: Parody</x:v>
      </x:c>
      <x:c r="D656" s="53" t="str">
        <x:v>Robot Chicken: Star Wars Episode III</x:v>
      </x:c>
      <x:c r="E656" s="53" t="str"/>
      <x:c r="F656" s="53" t="str">
        <x:v>December 19, 2010</x:v>
      </x:c>
      <x:c r="G656" s="53" t="str">
        <x:v>Parody</x:v>
      </x:c>
      <x:c r="H656" s="53" t="str">
        <x:v>Special</x:v>
      </x:c>
      <x:c r="I656" s="53" t="str">
        <x:v>Hulu</x:v>
      </x:c>
      <x:c r="J656" s="59" t="e">
        <x:f>HYPERLINK("https://www.hulu.com/series/robot-chicken-star-wars-f91fc72a-5abb-4b95-9d78-dcc0d5fc764a","Open")</x:f>
        <x:v>HYPERLINK is not implemented. linkLocation=https://www.hulu.com/series/robot-chicken-star-wars-f91fc72a-5abb-4b95-9d78-dcc0d5fc764a, friendlyName=Open</x:v>
      </x:c>
      <x:c r="K656" s="53" t="str"/>
      <x:c r="L656" s="76" t="str"/>
      <x:c r="M656" s="76" t="str"/>
      <x:c r="N656" s="76" t="str"/>
      <x:c r="O656" s="76" t="str"/>
      <x:c r="P656" s="76" t="str"/>
      <x:c r="Q656" s="76" t="str"/>
      <x:c r="R656" s="76" t="str"/>
      <x:c r="S656" s="76" t="str"/>
      <x:c r="T656" s="76" t="str"/>
    </x:row>
    <x:row r="657" s="23" customFormat="1" ht="36" customHeight="1">
      <x:c r="A657" s="49" t="b">
        <x:v>0</x:v>
      </x:c>
      <x:c r="B657" s="56" t="str">
        <x:v>B24</x:v>
      </x:c>
      <x:c r="C657" s="53" t="str">
        <x:v>Bonus: Parody</x:v>
      </x:c>
      <x:c r="D657" s="53" t="str">
        <x:v>Family Guy: Blue Harvest</x:v>
      </x:c>
      <x:c r="E657" s="53" t="str"/>
      <x:c r="F657" s="53" t="str">
        <x:v>September 23, 2007</x:v>
      </x:c>
      <x:c r="G657" s="53" t="str">
        <x:v>Parody</x:v>
      </x:c>
      <x:c r="H657" s="53" t="str">
        <x:v>Episode</x:v>
      </x:c>
      <x:c r="I657" s="53" t="str">
        <x:v>Hulu</x:v>
      </x:c>
      <x:c r="J657" s="59" t="e">
        <x:f>HYPERLINK("https://www.hulu.com/guides/family-guy-star-wars-episodes","Open")</x:f>
        <x:v>HYPERLINK is not implemented. linkLocation=https://www.hulu.com/guides/family-guy-star-wars-episodes, friendlyName=Open</x:v>
      </x:c>
      <x:c r="K657" s="53" t="str"/>
      <x:c r="L657" s="76" t="str"/>
      <x:c r="M657" s="76" t="str"/>
      <x:c r="N657" s="76" t="str"/>
      <x:c r="O657" s="76" t="str"/>
      <x:c r="P657" s="76" t="str"/>
      <x:c r="Q657" s="76" t="str"/>
      <x:c r="R657" s="76" t="str"/>
      <x:c r="S657" s="76" t="str"/>
      <x:c r="T657" s="76" t="str"/>
    </x:row>
    <x:row r="658" s="23" customFormat="1" ht="36" customHeight="1">
      <x:c r="A658" s="49" t="b">
        <x:v>0</x:v>
      </x:c>
      <x:c r="B658" s="56" t="str">
        <x:v>B25</x:v>
      </x:c>
      <x:c r="C658" s="53" t="str">
        <x:v>Bonus: Parody</x:v>
      </x:c>
      <x:c r="D658" s="53" t="str">
        <x:v>Something, Something, Something, Dark Side</x:v>
      </x:c>
      <x:c r="E658" s="53" t="str"/>
      <x:c r="F658" s="53" t="str">
        <x:v>December 22, 2009</x:v>
      </x:c>
      <x:c r="G658" s="53" t="str">
        <x:v>Parody</x:v>
      </x:c>
      <x:c r="H658" s="53" t="str">
        <x:v>Special</x:v>
      </x:c>
      <x:c r="I658" s="53" t="str">
        <x:v>Hulu</x:v>
      </x:c>
      <x:c r="J658" s="59" t="e">
        <x:f>HYPERLINK("https://www.hulu.com/guides/family-guy-star-wars-episodes","Open")</x:f>
        <x:v>HYPERLINK is not implemented. linkLocation=https://www.hulu.com/guides/family-guy-star-wars-episodes, friendlyName=Open</x:v>
      </x:c>
      <x:c r="K658" s="53" t="str"/>
      <x:c r="L658" s="76" t="str"/>
      <x:c r="M658" s="76" t="str"/>
      <x:c r="N658" s="76" t="str"/>
      <x:c r="O658" s="76" t="str"/>
      <x:c r="P658" s="76" t="str"/>
      <x:c r="Q658" s="76" t="str"/>
      <x:c r="R658" s="76" t="str"/>
      <x:c r="S658" s="76" t="str"/>
      <x:c r="T658" s="76" t="str"/>
    </x:row>
    <x:row r="659" s="23" customFormat="1" ht="36" customHeight="1">
      <x:c r="A659" s="49" t="b">
        <x:v>0</x:v>
      </x:c>
      <x:c r="B659" s="56" t="str">
        <x:v>B26</x:v>
      </x:c>
      <x:c r="C659" s="53" t="str">
        <x:v>Bonus: Parody</x:v>
      </x:c>
      <x:c r="D659" s="53" t="str">
        <x:v>It's a Trap!</x:v>
      </x:c>
      <x:c r="E659" s="53" t="str"/>
      <x:c r="F659" s="53" t="str">
        <x:v>December 21, 2010</x:v>
      </x:c>
      <x:c r="G659" s="53" t="str">
        <x:v>Parody</x:v>
      </x:c>
      <x:c r="H659" s="53" t="str">
        <x:v>Special</x:v>
      </x:c>
      <x:c r="I659" s="53" t="str">
        <x:v>Hulu</x:v>
      </x:c>
      <x:c r="J659" s="59" t="e">
        <x:f>HYPERLINK("https://www.hulu.com/guides/family-guy-star-wars-episodes","Open")</x:f>
        <x:v>HYPERLINK is not implemented. linkLocation=https://www.hulu.com/guides/family-guy-star-wars-episodes, friendlyName=Open</x:v>
      </x:c>
      <x:c r="K659" s="53" t="str"/>
      <x:c r="L659" s="76" t="str"/>
      <x:c r="M659" s="76" t="str"/>
      <x:c r="N659" s="76" t="str"/>
      <x:c r="O659" s="76" t="str"/>
      <x:c r="P659" s="76" t="str"/>
      <x:c r="Q659" s="76" t="str"/>
      <x:c r="R659" s="76" t="str"/>
      <x:c r="S659" s="76" t="str"/>
      <x:c r="T659" s="76" t="str"/>
    </x:row>
    <x:row r="660" s="23" customFormat="1" ht="36" customHeight="1">
      <x:c r="A660" s="49" t="b">
        <x:v>0</x:v>
      </x:c>
      <x:c r="B660" s="56" t="str">
        <x:v>B27</x:v>
      </x:c>
      <x:c r="C660" s="53" t="str">
        <x:v>Bonus: Duel of the Fates</x:v>
      </x:c>
      <x:c r="D660" s="53" t="str">
        <x:v>Colin Trevorrow's abandoned Episode IX screenplay</x:v>
      </x:c>
      <x:c r="E660" s="53" t="str"/>
      <x:c r="F660" s="53" t="str">
        <x:v>Draft December 2016; leaked 2020</x:v>
      </x:c>
      <x:c r="G660" s="53" t="str">
        <x:v>Unused concept</x:v>
      </x:c>
      <x:c r="H660" s="53" t="str">
        <x:v>Screenplay</x:v>
      </x:c>
      <x:c r="I660" s="53" t="str">
        <x:v>Online</x:v>
      </x:c>
      <x:c r="J660" s="59" t="str"/>
      <x:c r="K660" s="53" t="str">
        <x:v>Background before watching recreations</x:v>
      </x:c>
      <x:c r="L660" s="76" t="str"/>
      <x:c r="M660" s="76" t="str"/>
      <x:c r="N660" s="76" t="str"/>
      <x:c r="O660" s="76" t="str"/>
      <x:c r="P660" s="76" t="str"/>
      <x:c r="Q660" s="76" t="str"/>
      <x:c r="R660" s="76" t="str"/>
      <x:c r="S660" s="76" t="str"/>
      <x:c r="T660" s="76" t="str"/>
    </x:row>
    <x:row r="661" s="23" customFormat="1" ht="36" customHeight="1">
      <x:c r="A661" s="49" t="b">
        <x:v>0</x:v>
      </x:c>
      <x:c r="B661" s="56" t="str">
        <x:v>B28</x:v>
      </x:c>
      <x:c r="C661" s="53" t="str">
        <x:v>Bonus: Duel of the Fates</x:v>
      </x:c>
      <x:c r="D661" s="53" t="str">
        <x:v>Mr Sunday Movies animated summary</x:v>
      </x:c>
      <x:c r="E661" s="53" t="str"/>
      <x:c r="F661" s="53" t="str">
        <x:v>2020</x:v>
      </x:c>
      <x:c r="G661" s="53" t="str">
        <x:v>Fan / non-canon</x:v>
      </x:c>
      <x:c r="H661" s="53" t="str">
        <x:v>Animated summary</x:v>
      </x:c>
      <x:c r="I661" s="53" t="str">
        <x:v>YouTube</x:v>
      </x:c>
      <x:c r="J661" s="59" t="e">
        <x:f>HYPERLINK("https://www.youtube.com/watch?v=9WEU1b2t1zM","Open")</x:f>
        <x:v>HYPERLINK is not implemented. linkLocation=https://www.youtube.com/watch?v=9WEU1b2t1zM, friendlyName=Open</x:v>
      </x:c>
      <x:c r="K661" s="53" t="str"/>
      <x:c r="L661" s="76" t="str"/>
      <x:c r="M661" s="76" t="str"/>
      <x:c r="N661" s="76" t="str"/>
      <x:c r="O661" s="76" t="str"/>
      <x:c r="P661" s="76" t="str"/>
      <x:c r="Q661" s="76" t="str"/>
      <x:c r="R661" s="76" t="str"/>
      <x:c r="S661" s="76" t="str"/>
      <x:c r="T661" s="76" t="str"/>
    </x:row>
    <x:row r="662" s="23" customFormat="1" ht="36" customHeight="1">
      <x:c r="A662" s="49" t="b">
        <x:v>0</x:v>
      </x:c>
      <x:c r="B662" s="56" t="str">
        <x:v>B29</x:v>
      </x:c>
      <x:c r="C662" s="53" t="str">
        <x:v>Bonus: Duel of the Fates</x:v>
      </x:c>
      <x:c r="D662" s="53" t="str">
        <x:v>Full fan motion-comic adaptation</x:v>
      </x:c>
      <x:c r="E662" s="53" t="str"/>
      <x:c r="F662" s="53" t="str">
        <x:v>December 31, 2022</x:v>
      </x:c>
      <x:c r="G662" s="53" t="str">
        <x:v>Fan / non-canon</x:v>
      </x:c>
      <x:c r="H662" s="53" t="str">
        <x:v>Motion comic</x:v>
      </x:c>
      <x:c r="I662" s="53" t="str">
        <x:v>YouTube</x:v>
      </x:c>
      <x:c r="J662" s="59" t="e">
        <x:f>HYPERLINK("https://www.youtube.com/watch?v=E02BkoY_K0I","Open")</x:f>
        <x:v>HYPERLINK is not implemented. linkLocation=https://www.youtube.com/watch?v=E02BkoY_K0I, friendlyName=Open</x:v>
      </x:c>
      <x:c r="K662" s="53" t="str"/>
      <x:c r="L662" s="76" t="str"/>
      <x:c r="M662" s="76" t="str"/>
      <x:c r="N662" s="76" t="str"/>
      <x:c r="O662" s="76" t="str"/>
      <x:c r="P662" s="76" t="str"/>
      <x:c r="Q662" s="76" t="str"/>
      <x:c r="R662" s="76" t="str"/>
      <x:c r="S662" s="76" t="str"/>
      <x:c r="T662" s="76" t="str"/>
    </x:row>
    <x:row r="663" s="23" customFormat="1" ht="36" customHeight="1">
      <x:c r="A663" s="49" t="b">
        <x:v>0</x:v>
      </x:c>
      <x:c r="B663" s="56" t="str">
        <x:v>FV-0148</x:v>
      </x:c>
      <x:c r="C663" s="53" t="str">
        <x:v>Review &amp; decide — alternate outcomes</x:v>
      </x:c>
      <x:c r="D663" s="53" t="str">
        <x:v>Qui-Gon Jinn vs. Emperor Sidious | The Temple Breaks</x:v>
      </x:c>
      <x:c r="E663" s="53" t="str"/>
      <x:c r="F663" s="53" t="str">
        <x:v>September 30, 2026</x:v>
      </x:c>
      <x:c r="G663" s="53" t="str">
        <x:v>Fan-made / non-canon</x:v>
      </x:c>
      <x:c r="H663" s="53" t="str">
        <x:v>Fan video</x:v>
      </x:c>
      <x:c r="I663" s="53" t="str">
        <x:v>YouTube — search by title</x:v>
      </x:c>
      <x:c r="J663" s="59" t="e">
        <x:f>HYPERLINK("https://www.youtube.com/results?search_query=Qui-Gon%20Jinn%20vs.%20Emperor%20Sidious%20%7C%20The%20Temple%20Breaks","Search")</x:f>
        <x:v>HYPERLINK is not implemented. linkLocation=https://www.youtube.com/results?search_query=Qui-Gon%20Jinn%20vs.%20Emperor%20Sidious%20%7C%20The%20Temple%20Breaks, friendlyName=Search</x:v>
      </x:c>
      <x:c r="K663" s="53" t="str">
        <x:v>Counterfactual Qui-Gon/Sidious confrontation.</x:v>
      </x:c>
      <x:c r="L663" s="76" t="str"/>
      <x:c r="M663" s="76" t="str">
        <x:v>Qui-Gon Jinn vs. Emperor Sidious | The Temple Breaks</x:v>
      </x:c>
      <x:c r="N663" s="76" t="str">
        <x:v>A Jedi’s resolve meets a Sith Emperor's fury. Qui-
Gon Jinn faces Darth Sidious in a clash of green and
red lightsabers, devastating Force attacks, and
lightning that tears through an ancient temple.
An imagined Star Wars matchup.
#QuiGonJinn #DarthSidious #StarWars
#LightsaberDuel HUNLEASHED
Support the next adventure:
PayPal: [Your PayPal link]
Cash App: [Your Cash App handle]
UNLEASHED™</x:v>
      </x:c>
      <x:c r="O663" s="76" t="str">
        <x:v>Below timeline — alternate duel</x:v>
      </x:c>
      <x:c r="P663" s="76" t="str">
        <x:v>IMG_6331.PNG</x:v>
      </x:c>
      <x:c r="Q663" s="76" t="str">
        <x:v>Needs review</x:v>
      </x:c>
      <x:c r="R663" s="76" t="str">
        <x:v>High</x:v>
      </x:c>
      <x:c r="S663" s="76" t="str">
        <x:v>Counterfactual Qui-Gon/Sidious confrontation.</x:v>
      </x:c>
      <x:c r="T663" s="76" t="str">
        <x:v>Unique</x:v>
      </x:c>
    </x:row>
    <x:row r="664" s="23" customFormat="1" ht="36" customHeight="1">
      <x:c r="A664" s="49" t="b">
        <x:v>0</x:v>
      </x:c>
      <x:c r="B664" s="56" t="str">
        <x:v>FV-0039</x:v>
      </x:c>
      <x:c r="C664" s="53" t="str">
        <x:v>Review &amp; decide — What If / alternate outcome</x:v>
      </x:c>
      <x:c r="D664" s="53" t="str">
        <x:v>Grogu’s First Lightsaber Lesson @&amp; | What If He Chose Yoda's Saber?</x:v>
      </x:c>
      <x:c r="E664" s="53" t="str"/>
      <x:c r="F664" s="53" t="str">
        <x:v>October 11, 2026</x:v>
      </x:c>
      <x:c r="G664" s="53" t="str">
        <x:v>Fan-made / non-canon</x:v>
      </x:c>
      <x:c r="H664" s="53" t="str">
        <x:v>Fan video</x:v>
      </x:c>
      <x:c r="I664" s="53" t="str">
        <x:v>YouTube — search by title</x:v>
      </x:c>
      <x:c r="J664" s="59" t="e">
        <x:f>HYPERLINK("https://www.youtube.com/results?search_query=Grogu%E2%80%99s%20First%20Lightsaber%20Lesson%20%40%26%20%7C%20What%20If%20He%20Chose%20Yoda's%20Saber%3F","Search")</x:f>
        <x:v>HYPERLINK is not implemented. linkLocation=https://www.youtube.com/results?search_query=Grogu%E2%80%99s%20First%20Lightsaber%20Lesson%20%40%26%20%7C%20What%20If%20He%20Chose%20Yoda's%20Saber%3F, friendlyName=Search</x:v>
      </x:c>
      <x:c r="K664" s="53" t="str">
        <x:v>Alternate outcome at the event named in the title; keep outside the principal timeline.</x:v>
      </x:c>
      <x:c r="L664" s="76" t="str"/>
      <x:c r="M664" s="76" t="str">
        <x:v>Grogu’s First Lightsaber Lesson @&amp; | What If He Chose Yoda's Saber?</x:v>
      </x:c>
      <x:c r="N664" s="76" t="str">
        <x:v>The target's too high? Grogu has a solution. A little
Force pull, one green lightsaber swing—and a proud
look toward the Mandalorian. @
An alternate Star Wars fan story imagining what
could happen if Grogu chose Yoda's lightsaber.
#Grogu #TheMandalorian #StarWars #Yoda
#Lightsaber #Shorts
UNLEASHED™
Cash App: $brednew
PayPal: https://paypal.me/blainehenry688
How this was made</x:v>
      </x:c>
      <x:c r="O664" s="76" t="str">
        <x:v>Below timeline — explicit What If</x:v>
      </x:c>
      <x:c r="P664" s="76" t="str">
        <x:v>IMG_6222.PNG</x:v>
      </x:c>
      <x:c r="Q664" s="76" t="str">
        <x:v>Needs review</x:v>
      </x:c>
      <x:c r="R664" s="76" t="str">
        <x:v>High</x:v>
      </x:c>
      <x:c r="S664" s="76" t="str">
        <x:v>Alternate outcome at the event named in the title; keep outside the principal timeline.</x:v>
      </x:c>
      <x:c r="T664" s="76" t="str">
        <x:v>Unique</x:v>
      </x:c>
    </x:row>
    <x:row r="665" s="23" customFormat="1" ht="36" customHeight="1">
      <x:c r="A665" s="49" t="b">
        <x:v>0</x:v>
      </x:c>
      <x:c r="B665" s="56" t="str">
        <x:v>FV-0049</x:v>
      </x:c>
      <x:c r="C665" s="53" t="str">
        <x:v>Review &amp; decide — What If / alternate outcome</x:v>
      </x:c>
      <x:c r="D665" s="53" t="str">
        <x:v>What If Mace Windu Survived Order 66? | Episode 1: The Last Fall | Star Wars Anime</x:v>
      </x:c>
      <x:c r="E665" s="53" t="str">
        <x:v>Episode 1</x:v>
      </x:c>
      <x:c r="F665" s="53" t="str">
        <x:v>October 10, 2026</x:v>
      </x:c>
      <x:c r="G665" s="53" t="str">
        <x:v>Fan-made / non-canon</x:v>
      </x:c>
      <x:c r="H665" s="53" t="str">
        <x:v>Fan video</x:v>
      </x:c>
      <x:c r="I665" s="53" t="str">
        <x:v>YouTube — search by title</x:v>
      </x:c>
      <x:c r="J665" s="59" t="e">
        <x:f>HYPERLINK("https://www.youtube.com/results?search_query=What%20If%20Mace%20Windu%20Survived%20Order%2066%3F%20%7C%20Episode%201%3A%20The%20Last%20Fall%20%7C%20Star%20Wars%20Anime","Search")</x:f>
        <x:v>HYPERLINK is not implemented. linkLocation=https://www.youtube.com/results?search_query=What%20If%20Mace%20Windu%20Survived%20Order%2066%3F%20%7C%20Episode%201%3A%20The%20Last%20Fall%20%7C%20Star%20Wars%20Anime, friendlyName=Search</x:v>
      </x:c>
      <x:c r="K665" s="53" t="str">
        <x:v>Alternate outcome after Order 66; keep outside the principal timeline.</x:v>
      </x:c>
      <x:c r="L665" s="76" t="str">
        <x:v>What If Mace Windu Survived Order 66?</x:v>
      </x:c>
      <x:c r="M665" s="76" t="str">
        <x:v>What If Mace Windu Survived Order 66? | Episode 1: The Last Fall | Star Wars Anime</x:v>
      </x:c>
      <x:c r="N665" s="76"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665" s="76" t="str">
        <x:v>Below timeline — explicit What If</x:v>
      </x:c>
      <x:c r="P665" s="76" t="str">
        <x:v>IMG_6232.PNG</x:v>
      </x:c>
      <x:c r="Q665" s="76" t="str">
        <x:v>Needs review</x:v>
      </x:c>
      <x:c r="R665" s="76" t="str">
        <x:v>High</x:v>
      </x:c>
      <x:c r="S665" s="76" t="str">
        <x:v>Alternate outcome after Order 66; keep outside the principal timeline.</x:v>
      </x:c>
      <x:c r="T665" s="76" t="str">
        <x:v>Unique</x:v>
      </x:c>
    </x:row>
    <x:row r="666" s="23" customFormat="1" ht="36" customHeight="1">
      <x:c r="A666" s="49" t="b">
        <x:v>0</x:v>
      </x:c>
      <x:c r="B666" s="56" t="str">
        <x:v>FV-0048</x:v>
      </x:c>
      <x:c r="C666" s="53" t="str">
        <x:v>Review &amp; decide — What If / alternate outcome</x:v>
      </x:c>
      <x:c r="D666" s="53" t="str">
        <x:v>What IF Mace Windu Survived Order 66? | Episode 2: Below the Searchlight</x:v>
      </x:c>
      <x:c r="E666" s="53" t="str">
        <x:v>Episode 2</x:v>
      </x:c>
      <x:c r="F666" s="53" t="str">
        <x:v>October 10, 2026</x:v>
      </x:c>
      <x:c r="G666" s="53" t="str">
        <x:v>Fan-made / non-canon</x:v>
      </x:c>
      <x:c r="H666" s="53" t="str">
        <x:v>Fan video</x:v>
      </x:c>
      <x:c r="I666" s="53" t="str">
        <x:v>YouTube — search by title</x:v>
      </x:c>
      <x:c r="J666" s="59" t="e">
        <x:f>HYPERLINK("https://www.youtube.com/results?search_query=What%20IF%20Mace%20Windu%20Survived%20Order%2066%3F%20%7C%20Episode%202%3A%20Below%20the%20Searchlight","Search")</x:f>
        <x:v>HYPERLINK is not implemented. linkLocation=https://www.youtube.com/results?search_query=What%20IF%20Mace%20Windu%20Survived%20Order%2066%3F%20%7C%20Episode%202%3A%20Below%20the%20Searchlight, friendlyName=Search</x:v>
      </x:c>
      <x:c r="K666" s="53" t="str">
        <x:v>Alternate outcome after Order 66; keep outside the principal timeline.</x:v>
      </x:c>
      <x:c r="L666" s="76" t="str">
        <x:v>What IF Mace Windu Survived Order 66?</x:v>
      </x:c>
      <x:c r="M666" s="76" t="str">
        <x:v>What IF Mace Windu Survived Order 66? | Episode 2: Below the Searchlight</x:v>
      </x:c>
      <x:c r="N666" s="76"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666" s="76" t="str">
        <x:v>Below timeline — explicit What If</x:v>
      </x:c>
      <x:c r="P666" s="76" t="str">
        <x:v>IMG_6231.PNG</x:v>
      </x:c>
      <x:c r="Q666" s="76" t="str">
        <x:v>Needs review</x:v>
      </x:c>
      <x:c r="R666" s="76" t="str">
        <x:v>High</x:v>
      </x:c>
      <x:c r="S666" s="76" t="str">
        <x:v>Alternate outcome after Order 66; keep outside the principal timeline.</x:v>
      </x:c>
      <x:c r="T666" s="76" t="str">
        <x:v>Unique</x:v>
      </x:c>
    </x:row>
    <x:row r="667" s="23" customFormat="1" ht="36" customHeight="1">
      <x:c r="A667" s="49" t="b">
        <x:v>0</x:v>
      </x:c>
      <x:c r="B667" s="56" t="str">
        <x:v>FV-0047</x:v>
      </x:c>
      <x:c r="C667" s="53" t="str">
        <x:v>Review &amp; decide — What If / alternate outcome</x:v>
      </x:c>
      <x:c r="D667" s="53" t="str">
        <x:v>What If Mace Windu Survived Order 66? | Episode 3: Let Them Think I’m Dead</x:v>
      </x:c>
      <x:c r="E667" s="53" t="str">
        <x:v>Episode 3</x:v>
      </x:c>
      <x:c r="F667" s="53" t="str">
        <x:v>October 10, 2026</x:v>
      </x:c>
      <x:c r="G667" s="53" t="str">
        <x:v>Fan-made / non-canon</x:v>
      </x:c>
      <x:c r="H667" s="53" t="str">
        <x:v>Fan video</x:v>
      </x:c>
      <x:c r="I667" s="53" t="str">
        <x:v>YouTube — search by title</x:v>
      </x:c>
      <x:c r="J667" s="59" t="e">
        <x:f>HYPERLINK("https://www.youtube.com/results?search_query=What%20If%20Mace%20Windu%20Survived%20Order%2066%3F%20%7C%20Episode%203%3A%20Let%20Them%20Think%20I%E2%80%99m%20Dead","Search")</x:f>
        <x:v>HYPERLINK is not implemented. linkLocation=https://www.youtube.com/results?search_query=What%20If%20Mace%20Windu%20Survived%20Order%2066%3F%20%7C%20Episode%203%3A%20Let%20Them%20Think%20I%E2%80%99m%20Dead, friendlyName=Search</x:v>
      </x:c>
      <x:c r="K667" s="53" t="str">
        <x:v>Alternate outcome after Order 66; keep outside the principal timeline.</x:v>
      </x:c>
      <x:c r="L667" s="76" t="str">
        <x:v>What If Mace Windu Survived Order 66?</x:v>
      </x:c>
      <x:c r="M667" s="76" t="str">
        <x:v>What If Mace Windu Survived Order 66? | Episode 3: Let Them Think I’m Dead</x:v>
      </x:c>
      <x:c r="N667" s="76"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667" s="76" t="str">
        <x:v>Below timeline — explicit What If</x:v>
      </x:c>
      <x:c r="P667" s="76" t="str">
        <x:v>IMG_6230.PNG</x:v>
      </x:c>
      <x:c r="Q667" s="76" t="str">
        <x:v>Needs review</x:v>
      </x:c>
      <x:c r="R667" s="76" t="str">
        <x:v>High</x:v>
      </x:c>
      <x:c r="S667" s="76" t="str">
        <x:v>Alternate outcome after Order 66; keep outside the principal timeline.</x:v>
      </x:c>
      <x:c r="T667" s="76" t="str">
        <x:v>Unique</x:v>
      </x:c>
    </x:row>
    <x:row r="668" s="23" customFormat="1" ht="36" customHeight="1">
      <x:c r="A668" s="49" t="b">
        <x:v>0</x:v>
      </x:c>
      <x:c r="B668" s="56" t="str">
        <x:v>SWS-047</x:v>
      </x:c>
      <x:c r="C668" s="53" t="str">
        <x:v>Review &amp; decide — cross-era alternate</x:v>
      </x:c>
      <x:c r="D668" s="53" t="str">
        <x:v>Star Wars - Emperor Palpatine visits Valkorian at the Eternal Throne</x:v>
      </x:c>
      <x:c r="E668" s="53" t="str"/>
      <x:c r="F668" s="53" t="str">
        <x:v>Displayed as “1y ago” on October 17, 2026</x:v>
      </x:c>
      <x:c r="G668" s="53" t="str">
        <x:v>Fan-made / non-canon</x:v>
      </x:c>
      <x:c r="H668" s="53" t="str">
        <x:v>AI fan film</x:v>
      </x:c>
      <x:c r="I668" s="53" t="str">
        <x:v>YouTube — Skywalker Stories</x:v>
      </x:c>
      <x:c r="J668" s="59" t="e">
        <x:f>HYPERLINK("https://www.youtube.com/watch?v=oCYpjmOaCVs","Open")</x:f>
        <x:v>HYPERLINK is not implemented. linkLocation=https://www.youtube.com/watch?v=oCYpjmOaCVs, friendlyName=Open</x:v>
      </x:c>
      <x:c r="K668" s="53" t="str">
        <x:v>Skywalker Stories. Cross-era, supernatural, or explicit alternate-timeline story; no single chronological slot. Placement confidence: High.</x:v>
      </x:c>
      <x:c r="L668" s="76" t="str"/>
      <x:c r="M668" s="76" t="str">
        <x:v>Star Wars - Emperor Palpatine visits Valkorian at the Eternal Throne</x:v>
      </x:c>
      <x:c r="N668" s="76" t="str"/>
      <x:c r="O668" s="76" t="str"/>
      <x:c r="P668" s="76" t="str"/>
      <x:c r="Q668" s="76" t="str">
        <x:v>Previously verified channel entry</x:v>
      </x:c>
      <x:c r="R668" s="76" t="str"/>
      <x:c r="S668" s="76" t="str"/>
      <x:c r="T668" s="76" t="str"/>
    </x:row>
    <x:row r="669" s="23" customFormat="1" ht="36" customHeight="1">
      <x:c r="A669" s="49" t="b">
        <x:v>0</x:v>
      </x:c>
      <x:c r="B669" s="56" t="str">
        <x:v>SWS-050</x:v>
      </x:c>
      <x:c r="C669" s="53" t="str">
        <x:v>Review &amp; decide — cross-era alternate</x:v>
      </x:c>
      <x:c r="D669" s="53" t="str">
        <x:v>Star Wars - Luke Skywalker encounters Darth Malgus on Korriban</x:v>
      </x:c>
      <x:c r="E669" s="53" t="str"/>
      <x:c r="F669" s="53" t="str">
        <x:v>Displayed as “1y ago” on October 17, 2026</x:v>
      </x:c>
      <x:c r="G669" s="53" t="str">
        <x:v>Fan-made / non-canon</x:v>
      </x:c>
      <x:c r="H669" s="53" t="str">
        <x:v>AI fan film</x:v>
      </x:c>
      <x:c r="I669" s="53" t="str">
        <x:v>YouTube — Skywalker Stories</x:v>
      </x:c>
      <x:c r="J669" s="59" t="e">
        <x:f>HYPERLINK("https://www.youtube.com/watch?v=av7G29HHMio","Open")</x:f>
        <x:v>HYPERLINK is not implemented. linkLocation=https://www.youtube.com/watch?v=av7G29HHMio, friendlyName=Open</x:v>
      </x:c>
      <x:c r="K669" s="53" t="str">
        <x:v>Skywalker Stories. Cross-era, supernatural, or explicit alternate-timeline story; no single chronological slot. Placement confidence: High.</x:v>
      </x:c>
      <x:c r="L669" s="76" t="str"/>
      <x:c r="M669" s="76" t="str">
        <x:v>Star Wars - Luke Skywalker encounters Darth Malgus on Korriban</x:v>
      </x:c>
      <x:c r="N669" s="76" t="str"/>
      <x:c r="O669" s="76" t="str"/>
      <x:c r="P669" s="76" t="str"/>
      <x:c r="Q669" s="76" t="str">
        <x:v>Previously verified channel entry</x:v>
      </x:c>
      <x:c r="R669" s="76" t="str"/>
      <x:c r="S669" s="76" t="str"/>
      <x:c r="T669" s="76" t="str"/>
    </x:row>
    <x:row r="670" s="23" customFormat="1" ht="36" customHeight="1">
      <x:c r="A670" s="49" t="b">
        <x:v>0</x:v>
      </x:c>
      <x:c r="B670" s="56" t="str">
        <x:v>SWS-052</x:v>
      </x:c>
      <x:c r="C670" s="53" t="str">
        <x:v>Review &amp; decide — cross-era alternate</x:v>
      </x:c>
      <x:c r="D670" s="53" t="str">
        <x:v>Star Wars - Revan tells Darth Vader about his prophecy</x:v>
      </x:c>
      <x:c r="E670" s="53" t="str"/>
      <x:c r="F670" s="53" t="str">
        <x:v>Displayed as “1y ago” on October 17, 2026</x:v>
      </x:c>
      <x:c r="G670" s="53" t="str">
        <x:v>Fan-made / non-canon</x:v>
      </x:c>
      <x:c r="H670" s="53" t="str">
        <x:v>AI fan film</x:v>
      </x:c>
      <x:c r="I670" s="53" t="str">
        <x:v>YouTube — Skywalker Stories</x:v>
      </x:c>
      <x:c r="J670" s="59" t="e">
        <x:f>HYPERLINK("https://www.youtube.com/watch?v=w2I_A3UM344","Open")</x:f>
        <x:v>HYPERLINK is not implemented. linkLocation=https://www.youtube.com/watch?v=w2I_A3UM344, friendlyName=Open</x:v>
      </x:c>
      <x:c r="K670" s="53" t="str">
        <x:v>Skywalker Stories. Cross-era, supernatural, or explicit alternate-timeline story; no single chronological slot. Placement confidence: High.</x:v>
      </x:c>
      <x:c r="L670" s="76" t="str"/>
      <x:c r="M670" s="76" t="str">
        <x:v>Star Wars - Revan tells Darth Vader about his prophecy</x:v>
      </x:c>
      <x:c r="N670" s="76" t="str"/>
      <x:c r="O670" s="76" t="str"/>
      <x:c r="P670" s="76" t="str"/>
      <x:c r="Q670" s="76" t="str">
        <x:v>Previously verified channel entry</x:v>
      </x:c>
      <x:c r="R670" s="76" t="str"/>
      <x:c r="S670" s="76" t="str"/>
      <x:c r="T670" s="76" t="str"/>
    </x:row>
    <x:row r="671" s="23" customFormat="1" ht="36" customHeight="1">
      <x:c r="A671" s="49" t="b">
        <x:v>0</x:v>
      </x:c>
      <x:c r="B671" s="56" t="str">
        <x:v>SWS-017</x:v>
      </x:c>
      <x:c r="C671" s="53" t="str">
        <x:v>Review &amp; decide — cross-era alternate</x:v>
      </x:c>
      <x:c r="D671" s="53" t="str">
        <x:v>Star Wars: Darth Vader Haunted By Darth Malgus</x:v>
      </x:c>
      <x:c r="E671" s="53" t="str"/>
      <x:c r="F671" s="53" t="str">
        <x:v>Displayed as “10mo ago” on October 17, 2026</x:v>
      </x:c>
      <x:c r="G671" s="53" t="str">
        <x:v>Fan-made / non-canon</x:v>
      </x:c>
      <x:c r="H671" s="53" t="str">
        <x:v>AI fan film</x:v>
      </x:c>
      <x:c r="I671" s="53" t="str">
        <x:v>YouTube — Skywalker Stories</x:v>
      </x:c>
      <x:c r="J671" s="59" t="e">
        <x:f>HYPERLINK("https://www.youtube.com/watch?v=g3t3ILBQ9TE","Open")</x:f>
        <x:v>HYPERLINK is not implemented. linkLocation=https://www.youtube.com/watch?v=g3t3ILBQ9TE, friendlyName=Open</x:v>
      </x:c>
      <x:c r="K671" s="53" t="str">
        <x:v>Skywalker Stories. Cross-era, supernatural, or explicit alternate-timeline story; no single chronological slot. Placement confidence: High.</x:v>
      </x:c>
      <x:c r="L671" s="76" t="str"/>
      <x:c r="M671" s="76" t="str">
        <x:v>Star Wars: Darth Vader Haunted By Darth Malgus</x:v>
      </x:c>
      <x:c r="N671" s="76" t="str"/>
      <x:c r="O671" s="76" t="str"/>
      <x:c r="P671" s="76" t="str"/>
      <x:c r="Q671" s="76" t="str">
        <x:v>Previously verified channel entry</x:v>
      </x:c>
      <x:c r="R671" s="76" t="str"/>
      <x:c r="S671" s="76" t="str"/>
      <x:c r="T671" s="76" t="str"/>
    </x:row>
    <x:row r="672" s="23" customFormat="1" ht="36" customHeight="1">
      <x:c r="A672" s="49" t="b">
        <x:v>0</x:v>
      </x:c>
      <x:c r="B672" s="56" t="str">
        <x:v>SWS-025</x:v>
      </x:c>
      <x:c r="C672" s="53" t="str">
        <x:v>Review &amp; decide — cross-era alternate</x:v>
      </x:c>
      <x:c r="D672" s="53" t="str">
        <x:v>Star Wars: Luke Skywalker Encounters Darth Bane on Korriban</x:v>
      </x:c>
      <x:c r="E672" s="53" t="str"/>
      <x:c r="F672" s="53" t="str">
        <x:v>Displayed as “1y ago” on October 17, 2026</x:v>
      </x:c>
      <x:c r="G672" s="53" t="str">
        <x:v>Fan-made / non-canon</x:v>
      </x:c>
      <x:c r="H672" s="53" t="str">
        <x:v>AI fan film</x:v>
      </x:c>
      <x:c r="I672" s="53" t="str">
        <x:v>YouTube — Skywalker Stories</x:v>
      </x:c>
      <x:c r="J672" s="59" t="e">
        <x:f>HYPERLINK("https://www.youtube.com/watch?v=0CIi-_LgeeE","Open")</x:f>
        <x:v>HYPERLINK is not implemented. linkLocation=https://www.youtube.com/watch?v=0CIi-_LgeeE, friendlyName=Open</x:v>
      </x:c>
      <x:c r="K672" s="53" t="str">
        <x:v>Skywalker Stories. Cross-era, supernatural, or explicit alternate-timeline story; no single chronological slot. Placement confidence: High.</x:v>
      </x:c>
      <x:c r="L672" s="76" t="str"/>
      <x:c r="M672" s="76" t="str">
        <x:v>Star Wars: Luke Skywalker Encounters Darth Bane on Korriban</x:v>
      </x:c>
      <x:c r="N672" s="76" t="str"/>
      <x:c r="O672" s="76" t="str"/>
      <x:c r="P672" s="76" t="str"/>
      <x:c r="Q672" s="76" t="str">
        <x:v>Previously verified channel entry</x:v>
      </x:c>
      <x:c r="R672" s="76" t="str"/>
      <x:c r="S672" s="76" t="str"/>
      <x:c r="T672" s="76" t="str"/>
    </x:row>
    <x:row r="673" s="23" customFormat="1" ht="36" customHeight="1">
      <x:c r="A673" s="49" t="b">
        <x:v>0</x:v>
      </x:c>
      <x:c r="B673" s="56" t="str">
        <x:v>SWS-105</x:v>
      </x:c>
      <x:c r="C673" s="53" t="str">
        <x:v>Review &amp; decide — cross-era alternate</x:v>
      </x:c>
      <x:c r="D673" s="53" t="str">
        <x:v>Tales of the Sith: Vader Trains Grogu | Trailer</x:v>
      </x:c>
      <x:c r="E673" s="53" t="str"/>
      <x:c r="F673" s="53" t="str">
        <x:v>Displayed as “2y ago” on October 17, 2026</x:v>
      </x:c>
      <x:c r="G673" s="53" t="str">
        <x:v>Fan-made / non-canon</x:v>
      </x:c>
      <x:c r="H673" s="53" t="str">
        <x:v>AI fan film</x:v>
      </x:c>
      <x:c r="I673" s="53" t="str">
        <x:v>YouTube — Skywalker Stories</x:v>
      </x:c>
      <x:c r="J673" s="59" t="e">
        <x:f>HYPERLINK("https://www.youtube.com/watch?v=T2SZXiq-pkk","Open")</x:f>
        <x:v>HYPERLINK is not implemented. linkLocation=https://www.youtube.com/watch?v=T2SZXiq-pkk, friendlyName=Open</x:v>
      </x:c>
      <x:c r="K673" s="53" t="str">
        <x:v>Skywalker Stories. Cross-era, supernatural, or explicit alternate-timeline story; no single chronological slot. Placement confidence: High.</x:v>
      </x:c>
      <x:c r="L673" s="76" t="str"/>
      <x:c r="M673" s="76" t="str">
        <x:v>Tales of the Sith: Vader Trains Grogu | Trailer</x:v>
      </x:c>
      <x:c r="N673" s="76" t="str"/>
      <x:c r="O673" s="76" t="str"/>
      <x:c r="P673" s="76" t="str"/>
      <x:c r="Q673" s="76" t="str">
        <x:v>Previously verified channel entry</x:v>
      </x:c>
      <x:c r="R673" s="76" t="str"/>
      <x:c r="S673" s="76" t="str"/>
      <x:c r="T673" s="76" t="str"/>
    </x:row>
    <x:row r="674" s="23" customFormat="1" ht="36" customHeight="1">
      <x:c r="A674" s="49" t="b">
        <x:v>0</x:v>
      </x:c>
      <x:c r="B674" s="56" t="str">
        <x:v>SWS-092</x:v>
      </x:c>
      <x:c r="C674" s="53" t="str">
        <x:v>Review &amp; decide — cross-era alternate</x:v>
      </x:c>
      <x:c r="D674" s="53" t="str">
        <x:v>Tales of the Star Wars Galaxy: Anakin Skywalker haunted by Malgus, Plageuis, Dooku, and Maul</x:v>
      </x:c>
      <x:c r="E674" s="53" t="str"/>
      <x:c r="F674" s="53" t="str">
        <x:v>Displayed as “2y ago” on October 17, 2026</x:v>
      </x:c>
      <x:c r="G674" s="53" t="str">
        <x:v>Fan-made / non-canon</x:v>
      </x:c>
      <x:c r="H674" s="53" t="str">
        <x:v>AI fan film</x:v>
      </x:c>
      <x:c r="I674" s="53" t="str">
        <x:v>YouTube — Skywalker Stories</x:v>
      </x:c>
      <x:c r="J674" s="59" t="e">
        <x:f>HYPERLINK("https://www.youtube.com/watch?v=xengx0IeZMs","Open")</x:f>
        <x:v>HYPERLINK is not implemented. linkLocation=https://www.youtube.com/watch?v=xengx0IeZMs, friendlyName=Open</x:v>
      </x:c>
      <x:c r="K674" s="53" t="str">
        <x:v>Skywalker Stories. Cross-era, supernatural, or explicit alternate-timeline story; no single chronological slot. Placement confidence: High.</x:v>
      </x:c>
      <x:c r="L674" s="76" t="str"/>
      <x:c r="M674" s="76" t="str">
        <x:v>Tales of the Star Wars Galaxy: Anakin Skywalker haunted by Malgus, Plageuis, Dooku, and Maul</x:v>
      </x:c>
      <x:c r="N674" s="76" t="str"/>
      <x:c r="O674" s="76" t="str"/>
      <x:c r="P674" s="76" t="str"/>
      <x:c r="Q674" s="76" t="str">
        <x:v>Previously verified channel entry</x:v>
      </x:c>
      <x:c r="R674" s="76" t="str"/>
      <x:c r="S674" s="76" t="str"/>
      <x:c r="T674" s="76" t="str"/>
    </x:row>
    <x:row r="675" s="23" customFormat="1" ht="36" customHeight="1">
      <x:c r="A675" s="49" t="b">
        <x:v>0</x:v>
      </x:c>
      <x:c r="B675" s="56" t="str">
        <x:v>SWS-070</x:v>
      </x:c>
      <x:c r="C675" s="53" t="str">
        <x:v>Review &amp; decide — cross-era alternate</x:v>
      </x:c>
      <x:c r="D675" s="53" t="str">
        <x:v>Tales of the Star Wars Galaxy: Baylan Skoll speaks to Revan on Peridia</x:v>
      </x:c>
      <x:c r="E675" s="53" t="str"/>
      <x:c r="F675" s="53" t="str">
        <x:v>Displayed as “1y ago” on October 17, 2026</x:v>
      </x:c>
      <x:c r="G675" s="53" t="str">
        <x:v>Fan-made / non-canon</x:v>
      </x:c>
      <x:c r="H675" s="53" t="str">
        <x:v>AI fan film</x:v>
      </x:c>
      <x:c r="I675" s="53" t="str">
        <x:v>YouTube — Skywalker Stories</x:v>
      </x:c>
      <x:c r="J675" s="59" t="e">
        <x:f>HYPERLINK("https://www.youtube.com/watch?v=k8JgI6cSyQk","Open")</x:f>
        <x:v>HYPERLINK is not implemented. linkLocation=https://www.youtube.com/watch?v=k8JgI6cSyQk, friendlyName=Open</x:v>
      </x:c>
      <x:c r="K675" s="53" t="str">
        <x:v>Skywalker Stories. Ahsoka-era Baylan encounters ancient Revan on Peridia; supernatural cross-era story. Placement confidence: Medium.</x:v>
      </x:c>
      <x:c r="L675" s="76" t="str"/>
      <x:c r="M675" s="76" t="str">
        <x:v>Tales of the Star Wars Galaxy: Baylan Skoll speaks to Revan on Peridia</x:v>
      </x:c>
      <x:c r="N675" s="76" t="str"/>
      <x:c r="O675" s="76" t="str"/>
      <x:c r="P675" s="76" t="str"/>
      <x:c r="Q675" s="76" t="str">
        <x:v>Previously verified channel entry</x:v>
      </x:c>
      <x:c r="R675" s="76" t="str"/>
      <x:c r="S675" s="76" t="str"/>
      <x:c r="T675" s="76" t="str"/>
    </x:row>
    <x:row r="676" s="23" customFormat="1" ht="36" customHeight="1">
      <x:c r="A676" s="49" t="b">
        <x:v>0</x:v>
      </x:c>
      <x:c r="B676" s="56" t="str">
        <x:v>SWS-082</x:v>
      </x:c>
      <x:c r="C676" s="53" t="str">
        <x:v>Review &amp; decide — cross-era alternate</x:v>
      </x:c>
      <x:c r="D676" s="53" t="str">
        <x:v>Tales of the Star Wars Galaxy: Darth Sidious speaks with Emperor Vitiate at the Eternal Throne</x:v>
      </x:c>
      <x:c r="E676" s="53" t="str"/>
      <x:c r="F676" s="53" t="str">
        <x:v>Displayed as “1y ago” on October 17, 2026</x:v>
      </x:c>
      <x:c r="G676" s="53" t="str">
        <x:v>Fan-made / non-canon</x:v>
      </x:c>
      <x:c r="H676" s="53" t="str">
        <x:v>AI fan film</x:v>
      </x:c>
      <x:c r="I676" s="53" t="str">
        <x:v>YouTube — Skywalker Stories</x:v>
      </x:c>
      <x:c r="J676" s="59" t="e">
        <x:f>HYPERLINK("https://www.youtube.com/watch?v=S9VcgL-iz3A","Open")</x:f>
        <x:v>HYPERLINK is not implemented. linkLocation=https://www.youtube.com/watch?v=S9VcgL-iz3A, friendlyName=Open</x:v>
      </x:c>
      <x:c r="K676" s="53" t="str">
        <x:v>Skywalker Stories. Cross-era, supernatural, or explicit alternate-timeline story; no single chronological slot. Placement confidence: High.</x:v>
      </x:c>
      <x:c r="L676" s="76" t="str"/>
      <x:c r="M676" s="76" t="str">
        <x:v>Tales of the Star Wars Galaxy: Darth Sidious speaks with Emperor Vitiate at the Eternal Throne</x:v>
      </x:c>
      <x:c r="N676" s="76" t="str"/>
      <x:c r="O676" s="76" t="str"/>
      <x:c r="P676" s="76" t="str"/>
      <x:c r="Q676" s="76" t="str">
        <x:v>Previously verified channel entry</x:v>
      </x:c>
      <x:c r="R676" s="76" t="str"/>
      <x:c r="S676" s="76" t="str"/>
      <x:c r="T676" s="76" t="str"/>
    </x:row>
    <x:row r="677" s="23" customFormat="1" ht="36" customHeight="1">
      <x:c r="A677" s="49" t="b">
        <x:v>0</x:v>
      </x:c>
      <x:c r="B677" s="56" t="str">
        <x:v>SWS-088</x:v>
      </x:c>
      <x:c r="C677" s="53" t="str">
        <x:v>Review &amp; decide — cross-era alternate</x:v>
      </x:c>
      <x:c r="D677" s="53" t="str">
        <x:v>Tales of the Star Wars Galaxy: Darth Sidious talks to Darth Bane about the Rule of Two</x:v>
      </x:c>
      <x:c r="E677" s="53" t="str"/>
      <x:c r="F677" s="53" t="str">
        <x:v>Displayed as “1y ago” on October 17, 2026</x:v>
      </x:c>
      <x:c r="G677" s="53" t="str">
        <x:v>Fan-made / non-canon</x:v>
      </x:c>
      <x:c r="H677" s="53" t="str">
        <x:v>AI fan film</x:v>
      </x:c>
      <x:c r="I677" s="53" t="str">
        <x:v>YouTube — Skywalker Stories</x:v>
      </x:c>
      <x:c r="J677" s="59" t="e">
        <x:f>HYPERLINK("https://www.youtube.com/watch?v=cGpc6ri4jhs","Open")</x:f>
        <x:v>HYPERLINK is not implemented. linkLocation=https://www.youtube.com/watch?v=cGpc6ri4jhs, friendlyName=Open</x:v>
      </x:c>
      <x:c r="K677" s="53" t="str">
        <x:v>Skywalker Stories. Cross-era, supernatural, or explicit alternate-timeline story; no single chronological slot. Placement confidence: High.</x:v>
      </x:c>
      <x:c r="L677" s="76" t="str"/>
      <x:c r="M677" s="76" t="str">
        <x:v>Tales of the Star Wars Galaxy: Darth Sidious talks to Darth Bane about the Rule of Two</x:v>
      </x:c>
      <x:c r="N677" s="76" t="str"/>
      <x:c r="O677" s="76" t="str"/>
      <x:c r="P677" s="76" t="str"/>
      <x:c r="Q677" s="76" t="str">
        <x:v>Previously verified channel entry</x:v>
      </x:c>
      <x:c r="R677" s="76" t="str"/>
      <x:c r="S677" s="76" t="str"/>
      <x:c r="T677" s="76" t="str"/>
    </x:row>
    <x:row r="678" s="23" customFormat="1" ht="36" customHeight="1">
      <x:c r="A678" s="49" t="b">
        <x:v>0</x:v>
      </x:c>
      <x:c r="B678" s="56" t="str">
        <x:v>SWS-071</x:v>
      </x:c>
      <x:c r="C678" s="53" t="str">
        <x:v>Review &amp; decide — cross-era alternate</x:v>
      </x:c>
      <x:c r="D678" s="53" t="str">
        <x:v>Tales of the Star Wars Galaxy: Darth Vader and Palpatine talk about Kreia &amp; Revan</x:v>
      </x:c>
      <x:c r="E678" s="53" t="str"/>
      <x:c r="F678" s="53" t="str">
        <x:v>Displayed as “1y ago” on October 17, 2026</x:v>
      </x:c>
      <x:c r="G678" s="53" t="str">
        <x:v>Fan-made / non-canon</x:v>
      </x:c>
      <x:c r="H678" s="53" t="str">
        <x:v>AI fan film</x:v>
      </x:c>
      <x:c r="I678" s="53" t="str">
        <x:v>YouTube — Skywalker Stories</x:v>
      </x:c>
      <x:c r="J678" s="59" t="e">
        <x:f>HYPERLINK("https://www.youtube.com/watch?v=xGto5HgOhNA","Open")</x:f>
        <x:v>HYPERLINK is not implemented. linkLocation=https://www.youtube.com/watch?v=xGto5HgOhNA, friendlyName=Open</x:v>
      </x:c>
      <x:c r="K678" s="53" t="str">
        <x:v>Skywalker Stories. Cross-era, supernatural, or explicit alternate-timeline story; no single chronological slot. Placement confidence: High.</x:v>
      </x:c>
      <x:c r="L678" s="76" t="str"/>
      <x:c r="M678" s="76" t="str">
        <x:v>Tales of the Star Wars Galaxy: Darth Vader and Palpatine talk about Kreia &amp; Revan</x:v>
      </x:c>
      <x:c r="N678" s="76" t="str"/>
      <x:c r="O678" s="76" t="str"/>
      <x:c r="P678" s="76" t="str"/>
      <x:c r="Q678" s="76" t="str">
        <x:v>Previously verified channel entry</x:v>
      </x:c>
      <x:c r="R678" s="76" t="str"/>
      <x:c r="S678" s="76" t="str"/>
      <x:c r="T678" s="76" t="str"/>
    </x:row>
    <x:row r="679" s="23" customFormat="1" ht="36" customHeight="1">
      <x:c r="A679" s="49" t="b">
        <x:v>0</x:v>
      </x:c>
      <x:c r="B679" s="56" t="str">
        <x:v>SWS-080</x:v>
      </x:c>
      <x:c r="C679" s="53" t="str">
        <x:v>Review &amp; decide — cross-era alternate</x:v>
      </x:c>
      <x:c r="D679" s="53" t="str">
        <x:v>Tales of the Star Wars Galaxy: Darth Vader encounters Kratos The God of War</x:v>
      </x:c>
      <x:c r="E679" s="53" t="str"/>
      <x:c r="F679" s="53" t="str">
        <x:v>Displayed as “1y ago” on October 17, 2026</x:v>
      </x:c>
      <x:c r="G679" s="53" t="str">
        <x:v>Fan-made / non-canon</x:v>
      </x:c>
      <x:c r="H679" s="53" t="str">
        <x:v>AI fan film</x:v>
      </x:c>
      <x:c r="I679" s="53" t="str">
        <x:v>YouTube — Skywalker Stories</x:v>
      </x:c>
      <x:c r="J679" s="59" t="e">
        <x:f>HYPERLINK("https://www.youtube.com/watch?v=dnVJFhk8tJA","Open")</x:f>
        <x:v>HYPERLINK is not implemented. linkLocation=https://www.youtube.com/watch?v=dnVJFhk8tJA, friendlyName=Open</x:v>
      </x:c>
      <x:c r="K679" s="53" t="str">
        <x:v>Skywalker Stories. Cross-era, supernatural, or explicit alternate-timeline story; no single chronological slot. Placement confidence: High.</x:v>
      </x:c>
      <x:c r="L679" s="76" t="str"/>
      <x:c r="M679" s="76" t="str">
        <x:v>Tales of the Star Wars Galaxy: Darth Vader encounters Kratos The God of War</x:v>
      </x:c>
      <x:c r="N679" s="76" t="str"/>
      <x:c r="O679" s="76" t="str"/>
      <x:c r="P679" s="76" t="str"/>
      <x:c r="Q679" s="76" t="str">
        <x:v>Previously verified channel entry</x:v>
      </x:c>
      <x:c r="R679" s="76" t="str"/>
      <x:c r="S679" s="76" t="str"/>
      <x:c r="T679" s="76" t="str"/>
    </x:row>
    <x:row r="680" s="23" customFormat="1" ht="36" customHeight="1">
      <x:c r="A680" s="49" t="b">
        <x:v>0</x:v>
      </x:c>
      <x:c r="B680" s="56" t="str">
        <x:v>SWS-084</x:v>
      </x:c>
      <x:c r="C680" s="53" t="str">
        <x:v>Review &amp; decide — cross-era alternate</x:v>
      </x:c>
      <x:c r="D680" s="53" t="str">
        <x:v>Tales of the Star Wars Galaxy: Darth Vader talks to Darth Malgus</x:v>
      </x:c>
      <x:c r="E680" s="53" t="str"/>
      <x:c r="F680" s="53" t="str">
        <x:v>Displayed as “1y ago” on October 17, 2026</x:v>
      </x:c>
      <x:c r="G680" s="53" t="str">
        <x:v>Fan-made / non-canon</x:v>
      </x:c>
      <x:c r="H680" s="53" t="str">
        <x:v>AI fan film</x:v>
      </x:c>
      <x:c r="I680" s="53" t="str">
        <x:v>YouTube — Skywalker Stories</x:v>
      </x:c>
      <x:c r="J680" s="59" t="e">
        <x:f>HYPERLINK("https://www.youtube.com/watch?v=VWC4qE3jCr0","Open")</x:f>
        <x:v>HYPERLINK is not implemented. linkLocation=https://www.youtube.com/watch?v=VWC4qE3jCr0, friendlyName=Open</x:v>
      </x:c>
      <x:c r="K680" s="53" t="str">
        <x:v>Skywalker Stories. Cross-era, supernatural, or explicit alternate-timeline story; no single chronological slot. Placement confidence: High.</x:v>
      </x:c>
      <x:c r="L680" s="76" t="str"/>
      <x:c r="M680" s="76" t="str">
        <x:v>Tales of the Star Wars Galaxy: Darth Vader talks to Darth Malgus</x:v>
      </x:c>
      <x:c r="N680" s="76" t="str"/>
      <x:c r="O680" s="76" t="str"/>
      <x:c r="P680" s="76" t="str"/>
      <x:c r="Q680" s="76" t="str">
        <x:v>Previously verified channel entry</x:v>
      </x:c>
      <x:c r="R680" s="76" t="str"/>
      <x:c r="S680" s="76" t="str"/>
      <x:c r="T680" s="76" t="str"/>
    </x:row>
    <x:row r="681" s="23" customFormat="1" ht="36" customHeight="1">
      <x:c r="A681" s="49" t="b">
        <x:v>0</x:v>
      </x:c>
      <x:c r="B681" s="56" t="str">
        <x:v>SWS-096</x:v>
      </x:c>
      <x:c r="C681" s="53" t="str">
        <x:v>Review &amp; decide — cross-era alternate</x:v>
      </x:c>
      <x:c r="D681" s="53" t="str">
        <x:v>Tales of the Star Wars Galaxy: Galen Marek goes to Luke Skywalker's Jedi Academy</x:v>
      </x:c>
      <x:c r="E681" s="53" t="str"/>
      <x:c r="F681" s="53" t="str">
        <x:v>Displayed as “2y ago” on October 17, 2026</x:v>
      </x:c>
      <x:c r="G681" s="53" t="str">
        <x:v>Fan-made / non-canon</x:v>
      </x:c>
      <x:c r="H681" s="53" t="str">
        <x:v>AI fan film</x:v>
      </x:c>
      <x:c r="I681" s="53" t="str">
        <x:v>YouTube — Skywalker Stories</x:v>
      </x:c>
      <x:c r="J681" s="59" t="e">
        <x:f>HYPERLINK("https://www.youtube.com/watch?v=Rafz13QPvL4","Open")</x:f>
        <x:v>HYPERLINK is not implemented. linkLocation=https://www.youtube.com/watch?v=Rafz13QPvL4, friendlyName=Open</x:v>
      </x:c>
      <x:c r="K681" s="53" t="str">
        <x:v>Skywalker Stories. Cross-era, supernatural, or explicit alternate-timeline story; no single chronological slot. Placement confidence: High.</x:v>
      </x:c>
      <x:c r="L681" s="76" t="str"/>
      <x:c r="M681" s="76" t="str">
        <x:v>Tales of the Star Wars Galaxy: Galen Marek goes to Luke Skywalker's Jedi Academy</x:v>
      </x:c>
      <x:c r="N681" s="76" t="str"/>
      <x:c r="O681" s="76" t="str"/>
      <x:c r="P681" s="76" t="str"/>
      <x:c r="Q681" s="76" t="str">
        <x:v>Previously verified channel entry</x:v>
      </x:c>
      <x:c r="R681" s="76" t="str"/>
      <x:c r="S681" s="76" t="str"/>
      <x:c r="T681" s="76" t="str"/>
    </x:row>
    <x:row r="682" s="23" customFormat="1" ht="36" customHeight="1">
      <x:c r="A682" s="49" t="b">
        <x:v>0</x:v>
      </x:c>
      <x:c r="B682" s="56" t="str">
        <x:v>SWS-079</x:v>
      </x:c>
      <x:c r="C682" s="53" t="str">
        <x:v>Review &amp; decide — cross-era alternate</x:v>
      </x:c>
      <x:c r="D682" s="53" t="str">
        <x:v>Tales of the Star Wars Galaxy: Luke Skywalker talks to Darth Malak about Jacen &amp; Anakin &amp; the Jedi</x:v>
      </x:c>
      <x:c r="E682" s="53" t="str"/>
      <x:c r="F682" s="53" t="str">
        <x:v>Displayed as “1y ago” on October 17, 2026</x:v>
      </x:c>
      <x:c r="G682" s="53" t="str">
        <x:v>Fan-made / non-canon</x:v>
      </x:c>
      <x:c r="H682" s="53" t="str">
        <x:v>AI fan film</x:v>
      </x:c>
      <x:c r="I682" s="53" t="str">
        <x:v>YouTube — Skywalker Stories</x:v>
      </x:c>
      <x:c r="J682" s="59" t="e">
        <x:f>HYPERLINK("https://www.youtube.com/watch?v=DRZs5fHKh5E","Open")</x:f>
        <x:v>HYPERLINK is not implemented. linkLocation=https://www.youtube.com/watch?v=DRZs5fHKh5E, friendlyName=Open</x:v>
      </x:c>
      <x:c r="K682" s="53" t="str">
        <x:v>Skywalker Stories. Cross-era encounter involving Old Republic-era Darth Malak; no single chronological slot. Placement confidence: High.</x:v>
      </x:c>
      <x:c r="L682" s="76" t="str"/>
      <x:c r="M682" s="76" t="str">
        <x:v>Tales of the Star Wars Galaxy: Luke Skywalker talks to Darth Malak about Jacen &amp; Anakin &amp; the Jedi</x:v>
      </x:c>
      <x:c r="N682" s="76" t="str"/>
      <x:c r="O682" s="76" t="str"/>
      <x:c r="P682" s="76" t="str"/>
      <x:c r="Q682" s="76" t="str">
        <x:v>Previously verified channel entry</x:v>
      </x:c>
      <x:c r="R682" s="76" t="str"/>
      <x:c r="S682" s="76" t="str"/>
      <x:c r="T682" s="76" t="str"/>
    </x:row>
    <x:row r="683" s="23" customFormat="1" ht="36" customHeight="1">
      <x:c r="A683" s="49" t="b">
        <x:v>0</x:v>
      </x:c>
      <x:c r="B683" s="56" t="str">
        <x:v>SWS-097</x:v>
      </x:c>
      <x:c r="C683" s="53" t="str">
        <x:v>Review &amp; decide — cross-era alternate</x:v>
      </x:c>
      <x:c r="D683" s="53" t="str">
        <x:v>Tales of the Star Wars Galaxy: Luke Skywalker talks with Darth Malgus about light and dark side</x:v>
      </x:c>
      <x:c r="E683" s="53" t="str"/>
      <x:c r="F683" s="53" t="str">
        <x:v>Displayed as “2y ago” on October 17, 2026</x:v>
      </x:c>
      <x:c r="G683" s="53" t="str">
        <x:v>Fan-made / non-canon</x:v>
      </x:c>
      <x:c r="H683" s="53" t="str">
        <x:v>AI fan film</x:v>
      </x:c>
      <x:c r="I683" s="53" t="str">
        <x:v>YouTube — Skywalker Stories</x:v>
      </x:c>
      <x:c r="J683" s="59" t="e">
        <x:f>HYPERLINK("https://www.youtube.com/watch?v=RIQcHby3Zmg","Open")</x:f>
        <x:v>HYPERLINK is not implemented. linkLocation=https://www.youtube.com/watch?v=RIQcHby3Zmg, friendlyName=Open</x:v>
      </x:c>
      <x:c r="K683" s="53" t="str">
        <x:v>Skywalker Stories. Cross-era, supernatural, or explicit alternate-timeline story; no single chronological slot. Placement confidence: High.</x:v>
      </x:c>
      <x:c r="L683" s="76" t="str"/>
      <x:c r="M683" s="76" t="str">
        <x:v>Tales of the Star Wars Galaxy: Luke Skywalker talks with Darth Malgus about light and dark side</x:v>
      </x:c>
      <x:c r="N683" s="76" t="str"/>
      <x:c r="O683" s="76" t="str"/>
      <x:c r="P683" s="76" t="str"/>
      <x:c r="Q683" s="76" t="str">
        <x:v>Previously verified channel entry</x:v>
      </x:c>
      <x:c r="R683" s="76" t="str"/>
      <x:c r="S683" s="76" t="str"/>
      <x:c r="T683" s="76" t="str"/>
    </x:row>
    <x:row r="684" s="23" customFormat="1" ht="36" customHeight="1">
      <x:c r="A684" s="49" t="b">
        <x:v>0</x:v>
      </x:c>
      <x:c r="B684" s="56" t="str">
        <x:v>SWS-089</x:v>
      </x:c>
      <x:c r="C684" s="53" t="str">
        <x:v>Review &amp; decide — cross-era alternate</x:v>
      </x:c>
      <x:c r="D684" s="53" t="str">
        <x:v>Tales of the Star Wars Galaxy: Luke Skywalker talks with Qui Gon Jinn about Anakin</x:v>
      </x:c>
      <x:c r="E684" s="53" t="str"/>
      <x:c r="F684" s="53" t="str">
        <x:v>Displayed as “1y ago” on October 17, 2026</x:v>
      </x:c>
      <x:c r="G684" s="53" t="str">
        <x:v>Fan-made / non-canon</x:v>
      </x:c>
      <x:c r="H684" s="53" t="str">
        <x:v>AI fan film</x:v>
      </x:c>
      <x:c r="I684" s="53" t="str">
        <x:v>YouTube — Skywalker Stories</x:v>
      </x:c>
      <x:c r="J684" s="59" t="e">
        <x:f>HYPERLINK("https://www.youtube.com/watch?v=Y09l09kIdcY","Open")</x:f>
        <x:v>HYPERLINK is not implemented. linkLocation=https://www.youtube.com/watch?v=Y09l09kIdcY, friendlyName=Open</x:v>
      </x:c>
      <x:c r="K684" s="53" t="str">
        <x:v>Skywalker Stories. Force-ghost conversation; the video's exact present-day anchor is unclear. Placement confidence: Low.</x:v>
      </x:c>
      <x:c r="L684" s="76" t="str"/>
      <x:c r="M684" s="76" t="str">
        <x:v>Tales of the Star Wars Galaxy: Luke Skywalker talks with Qui Gon Jinn about Anakin</x:v>
      </x:c>
      <x:c r="N684" s="76" t="str"/>
      <x:c r="O684" s="76" t="str"/>
      <x:c r="P684" s="76" t="str"/>
      <x:c r="Q684" s="76" t="str">
        <x:v>Previously verified channel entry</x:v>
      </x:c>
      <x:c r="R684" s="76" t="str"/>
      <x:c r="S684" s="76" t="str"/>
      <x:c r="T684" s="76" t="str"/>
    </x:row>
    <x:row r="685" s="23" customFormat="1" ht="36" customHeight="1">
      <x:c r="A685" s="49" t="b">
        <x:v>0</x:v>
      </x:c>
      <x:c r="B685" s="56" t="str">
        <x:v>SWS-066</x:v>
      </x:c>
      <x:c r="C685" s="53" t="str">
        <x:v>Review &amp; decide — cross-era alternate</x:v>
      </x:c>
      <x:c r="D685" s="53" t="str">
        <x:v>Tales of the Star Wars Galaxy: Qui Gon Jinn and Obi Wan Kenobi commune on Tatooine</x:v>
      </x:c>
      <x:c r="E685" s="53" t="str"/>
      <x:c r="F685" s="53" t="str">
        <x:v>Displayed as “1y ago” on October 17, 2026</x:v>
      </x:c>
      <x:c r="G685" s="53" t="str">
        <x:v>Fan-made / non-canon</x:v>
      </x:c>
      <x:c r="H685" s="53" t="str">
        <x:v>AI fan film</x:v>
      </x:c>
      <x:c r="I685" s="53" t="str">
        <x:v>YouTube — Skywalker Stories</x:v>
      </x:c>
      <x:c r="J685" s="59" t="e">
        <x:f>HYPERLINK("https://www.youtube.com/watch?v=hHppPkcVXlE","Open")</x:f>
        <x:v>HYPERLINK is not implemented. linkLocation=https://www.youtube.com/watch?v=hHppPkcVXlE, friendlyName=Open</x:v>
      </x:c>
      <x:c r="K685" s="53" t="str">
        <x:v>Skywalker Stories. Force-ghost conversation; the video's exact present-day anchor is unclear. Placement confidence: Low.</x:v>
      </x:c>
      <x:c r="L685" s="76" t="str"/>
      <x:c r="M685" s="76" t="str">
        <x:v>Tales of the Star Wars Galaxy: Qui Gon Jinn and Obi Wan Kenobi commune on Tatooine</x:v>
      </x:c>
      <x:c r="N685" s="76" t="str"/>
      <x:c r="O685" s="76" t="str"/>
      <x:c r="P685" s="76" t="str"/>
      <x:c r="Q685" s="76" t="str">
        <x:v>Previously verified channel entry</x:v>
      </x:c>
      <x:c r="R685" s="76" t="str"/>
      <x:c r="S685" s="76" t="str"/>
      <x:c r="T685" s="76" t="str"/>
    </x:row>
    <x:row r="686" s="23" customFormat="1" ht="36" customHeight="1">
      <x:c r="A686" s="49" t="b">
        <x:v>0</x:v>
      </x:c>
      <x:c r="B686" s="56" t="str">
        <x:v>SWS-074</x:v>
      </x:c>
      <x:c r="C686" s="53" t="str">
        <x:v>Review &amp; decide — cross-era alternate</x:v>
      </x:c>
      <x:c r="D686" s="53" t="str">
        <x:v>Tales of the Star Wars Galaxy: Revan and Kreia return to put an end to the Jedi and Sith</x:v>
      </x:c>
      <x:c r="E686" s="53" t="str"/>
      <x:c r="F686" s="53" t="str">
        <x:v>Displayed as “1y ago” on October 17, 2026</x:v>
      </x:c>
      <x:c r="G686" s="53" t="str">
        <x:v>Fan-made / non-canon</x:v>
      </x:c>
      <x:c r="H686" s="53" t="str">
        <x:v>AI fan film</x:v>
      </x:c>
      <x:c r="I686" s="53" t="str">
        <x:v>YouTube — Skywalker Stories</x:v>
      </x:c>
      <x:c r="J686" s="59" t="e">
        <x:f>HYPERLINK("https://www.youtube.com/watch?v=mEbk66ORV4Q","Open")</x:f>
        <x:v>HYPERLINK is not implemented. linkLocation=https://www.youtube.com/watch?v=mEbk66ORV4Q, friendlyName=Open</x:v>
      </x:c>
      <x:c r="K686" s="53" t="str">
        <x:v>Skywalker Stories. Cross-era, supernatural, or explicit alternate-timeline story; no single chronological slot. Placement confidence: High.</x:v>
      </x:c>
      <x:c r="L686" s="76" t="str"/>
      <x:c r="M686" s="76" t="str">
        <x:v>Tales of the Star Wars Galaxy: Revan and Kreia return to put an end to the Jedi and Sith</x:v>
      </x:c>
      <x:c r="N686" s="76" t="str"/>
      <x:c r="O686" s="76" t="str"/>
      <x:c r="P686" s="76" t="str"/>
      <x:c r="Q686" s="76" t="str">
        <x:v>Previously verified channel entry</x:v>
      </x:c>
      <x:c r="R686" s="76" t="str"/>
      <x:c r="S686" s="76" t="str"/>
      <x:c r="T686" s="76" t="str"/>
    </x:row>
    <x:row r="687" s="23" customFormat="1" ht="36" customHeight="1">
      <x:c r="A687" s="49" t="b">
        <x:v>0</x:v>
      </x:c>
      <x:c r="B687" s="56" t="str">
        <x:v>SWS-075</x:v>
      </x:c>
      <x:c r="C687" s="53" t="str">
        <x:v>Review &amp; decide — cross-era alternate</x:v>
      </x:c>
      <x:c r="D687" s="53" t="str">
        <x:v>Tales of the Star Wars Galaxy: Revan speaks to Anakin Skywalker</x:v>
      </x:c>
      <x:c r="E687" s="53" t="str"/>
      <x:c r="F687" s="53" t="str">
        <x:v>Displayed as “1y ago” on October 17, 2026</x:v>
      </x:c>
      <x:c r="G687" s="53" t="str">
        <x:v>Fan-made / non-canon</x:v>
      </x:c>
      <x:c r="H687" s="53" t="str">
        <x:v>AI fan film</x:v>
      </x:c>
      <x:c r="I687" s="53" t="str">
        <x:v>YouTube — Skywalker Stories</x:v>
      </x:c>
      <x:c r="J687" s="59" t="e">
        <x:f>HYPERLINK("https://www.youtube.com/watch?v=nZthNkzavmI","Open")</x:f>
        <x:v>HYPERLINK is not implemented. linkLocation=https://www.youtube.com/watch?v=nZthNkzavmI, friendlyName=Open</x:v>
      </x:c>
      <x:c r="K687" s="53" t="str">
        <x:v>Skywalker Stories. Cross-era, supernatural, or explicit alternate-timeline story; no single chronological slot. Placement confidence: High.</x:v>
      </x:c>
      <x:c r="L687" s="76" t="str"/>
      <x:c r="M687" s="76" t="str">
        <x:v>Tales of the Star Wars Galaxy: Revan speaks to Anakin Skywalker</x:v>
      </x:c>
      <x:c r="N687" s="76" t="str"/>
      <x:c r="O687" s="76" t="str"/>
      <x:c r="P687" s="76" t="str"/>
      <x:c r="Q687" s="76" t="str">
        <x:v>Previously verified channel entry</x:v>
      </x:c>
      <x:c r="R687" s="76" t="str"/>
      <x:c r="S687" s="76" t="str"/>
      <x:c r="T687" s="76" t="str"/>
    </x:row>
    <x:row r="688" s="23" customFormat="1" ht="36" customHeight="1">
      <x:c r="A688" s="49" t="b">
        <x:v>0</x:v>
      </x:c>
      <x:c r="B688" s="56" t="str">
        <x:v>SWS-076</x:v>
      </x:c>
      <x:c r="C688" s="53" t="str">
        <x:v>Review &amp; decide — cross-era alternate</x:v>
      </x:c>
      <x:c r="D688" s="53" t="str">
        <x:v>Tales of the Star Wars Galaxy: Revan speaks to Luke Skywalker</x:v>
      </x:c>
      <x:c r="E688" s="53" t="str"/>
      <x:c r="F688" s="53" t="str">
        <x:v>Displayed as “1y ago” on October 17, 2026</x:v>
      </x:c>
      <x:c r="G688" s="53" t="str">
        <x:v>Fan-made / non-canon</x:v>
      </x:c>
      <x:c r="H688" s="53" t="str">
        <x:v>AI fan film</x:v>
      </x:c>
      <x:c r="I688" s="53" t="str">
        <x:v>YouTube — Skywalker Stories</x:v>
      </x:c>
      <x:c r="J688" s="59" t="e">
        <x:f>HYPERLINK("https://www.youtube.com/watch?v=l2OOAn-wAoQ","Open")</x:f>
        <x:v>HYPERLINK is not implemented. linkLocation=https://www.youtube.com/watch?v=l2OOAn-wAoQ, friendlyName=Open</x:v>
      </x:c>
      <x:c r="K688" s="53" t="str">
        <x:v>Skywalker Stories. Cross-era, supernatural, or explicit alternate-timeline story; no single chronological slot. Placement confidence: High.</x:v>
      </x:c>
      <x:c r="L688" s="76" t="str"/>
      <x:c r="M688" s="76" t="str">
        <x:v>Tales of the Star Wars Galaxy: Revan speaks to Luke Skywalker</x:v>
      </x:c>
      <x:c r="N688" s="76" t="str"/>
      <x:c r="O688" s="76" t="str"/>
      <x:c r="P688" s="76" t="str"/>
      <x:c r="Q688" s="76" t="str">
        <x:v>Previously verified channel entry</x:v>
      </x:c>
      <x:c r="R688" s="76" t="str"/>
      <x:c r="S688" s="76" t="str"/>
      <x:c r="T688" s="76" t="str"/>
    </x:row>
    <x:row r="689" s="23" customFormat="1" ht="36" customHeight="1">
      <x:c r="A689" s="49" t="b">
        <x:v>0</x:v>
      </x:c>
      <x:c r="B689" s="56" t="str">
        <x:v>SWS-081</x:v>
      </x:c>
      <x:c r="C689" s="53" t="str">
        <x:v>Review &amp; decide — cross-era alternate</x:v>
      </x:c>
      <x:c r="D689" s="53" t="str">
        <x:v>Tales of the Star Wars Galaxy: What if Luke Skywalker joined Palpatine after ROTJ</x:v>
      </x:c>
      <x:c r="E689" s="53" t="str"/>
      <x:c r="F689" s="53" t="str">
        <x:v>Displayed as “1y ago” on October 17, 2026</x:v>
      </x:c>
      <x:c r="G689" s="53" t="str">
        <x:v>Fan-made / non-canon</x:v>
      </x:c>
      <x:c r="H689" s="53" t="str">
        <x:v>AI fan film</x:v>
      </x:c>
      <x:c r="I689" s="53" t="str">
        <x:v>YouTube — Skywalker Stories</x:v>
      </x:c>
      <x:c r="J689" s="59" t="e">
        <x:f>HYPERLINK("https://www.youtube.com/watch?v=Il4K_E0_JrE","Open")</x:f>
        <x:v>HYPERLINK is not implemented. linkLocation=https://www.youtube.com/watch?v=Il4K_E0_JrE, friendlyName=Open</x:v>
      </x:c>
      <x:c r="K689" s="53" t="str">
        <x:v>Skywalker Stories. Cross-era, supernatural, or explicit alternate-timeline story; no single chronological slot. Placement confidence: High.</x:v>
      </x:c>
      <x:c r="L689" s="76" t="str"/>
      <x:c r="M689" s="76" t="str">
        <x:v>Tales of the Star Wars Galaxy: What if Luke Skywalker joined Palpatine after ROTJ</x:v>
      </x:c>
      <x:c r="N689" s="76" t="str"/>
      <x:c r="O689" s="76" t="str"/>
      <x:c r="P689" s="76" t="str"/>
      <x:c r="Q689" s="76" t="str">
        <x:v>Previously verified channel entry</x:v>
      </x:c>
      <x:c r="R689" s="76" t="str"/>
      <x:c r="S689" s="76" t="str"/>
      <x:c r="T689" s="76" t="str"/>
    </x:row>
    <x:row r="690" s="23" customFormat="1" ht="36" customHeight="1">
      <x:c r="A690" s="49" t="b">
        <x:v>0</x:v>
      </x:c>
      <x:c r="B690" s="56" t="str">
        <x:v>SWS-072</x:v>
      </x:c>
      <x:c r="C690" s="53" t="str">
        <x:v>Review &amp; decide — cross-era alternate</x:v>
      </x:c>
      <x:c r="D690" s="53" t="str">
        <x:v>Tales of the Star Wars Galaxy: Yoda and Qui Gon Jinn talk about Luke Skywalker</x:v>
      </x:c>
      <x:c r="E690" s="53" t="str"/>
      <x:c r="F690" s="53" t="str">
        <x:v>Displayed as “1y ago” on October 17, 2026</x:v>
      </x:c>
      <x:c r="G690" s="53" t="str">
        <x:v>Fan-made / non-canon</x:v>
      </x:c>
      <x:c r="H690" s="53" t="str">
        <x:v>AI fan film</x:v>
      </x:c>
      <x:c r="I690" s="53" t="str">
        <x:v>YouTube — Skywalker Stories</x:v>
      </x:c>
      <x:c r="J690" s="59" t="e">
        <x:f>HYPERLINK("https://www.youtube.com/watch?v=2nNCOVm_ILU","Open")</x:f>
        <x:v>HYPERLINK is not implemented. linkLocation=https://www.youtube.com/watch?v=2nNCOVm_ILU, friendlyName=Open</x:v>
      </x:c>
      <x:c r="K690" s="53" t="str">
        <x:v>Skywalker Stories. Force-ghost conversation; the video's exact present-day anchor is unclear. Placement confidence: Low.</x:v>
      </x:c>
      <x:c r="L690" s="76" t="str"/>
      <x:c r="M690" s="76" t="str">
        <x:v>Tales of the Star Wars Galaxy: Yoda and Qui Gon Jinn talk about Luke Skywalker</x:v>
      </x:c>
      <x:c r="N690" s="76" t="str"/>
      <x:c r="O690" s="76" t="str"/>
      <x:c r="P690" s="76" t="str"/>
      <x:c r="Q690" s="76" t="str">
        <x:v>Previously verified channel entry</x:v>
      </x:c>
      <x:c r="R690" s="76" t="str"/>
      <x:c r="S690" s="76" t="str"/>
      <x:c r="T690" s="76" t="str"/>
    </x:row>
    <x:row r="691" s="23" customFormat="1" ht="36" customHeight="1">
      <x:c r="A691" s="49" t="b">
        <x:v>0</x:v>
      </x:c>
      <x:c r="B691" s="56" t="str">
        <x:v>FV-0198</x:v>
      </x:c>
      <x:c r="C691" s="53" t="str">
        <x:v>Review &amp; decide — cross-era alternate</x:v>
      </x:c>
      <x:c r="D691" s="53" t="str">
        <x:v>DARTH REVAN VS DARTH TENEBRAE — NO MERCY @ | EPISODE 4</x:v>
      </x:c>
      <x:c r="E691" s="53" t="str">
        <x:v>EPISODE 4</x:v>
      </x:c>
      <x:c r="F691" s="53" t="str">
        <x:v>September 21, 2026</x:v>
      </x:c>
      <x:c r="G691" s="53" t="str">
        <x:v>Fan-made / non-canon</x:v>
      </x:c>
      <x:c r="H691" s="53" t="str">
        <x:v>Fan video</x:v>
      </x:c>
      <x:c r="I691" s="53" t="str">
        <x:v>YouTube — search by title</x:v>
      </x:c>
      <x:c r="J691" s="59" t="e">
        <x:f>HYPERLINK("https://www.youtube.com/results?search_query=DARTH%20REVAN%20VS%20DARTH%20TENEBRAE%20%E2%80%94%20NO%20MERCY%20%40%20%7C%20EPISODE%204","Search")</x:f>
        <x:v>HYPERLINK is not implemented. linkLocation=https://www.youtube.com/results?search_query=DARTH%20REVAN%20VS%20DARTH%20TENEBRAE%20%E2%80%94%20NO%20MERCY%20%40%20%7C%20EPISODE%204, friendlyName=Search</x:v>
      </x:c>
      <x:c r="K691" s="53" t="str">
        <x:v>Revan and Darth Tenebrous belong to eras millennia apart.</x:v>
      </x:c>
      <x:c r="L691" s="76" t="str">
        <x:v>DARTH REVAN VS DARTH TENEBRAE — NO MERCY @</x:v>
      </x:c>
      <x:c r="M691" s="76" t="str">
        <x:v>DARTH REVAN VS DARTH TENEBRAE — NO MERCY @ | EPISODE 4</x:v>
      </x:c>
      <x:c r="N691" s="76"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691" s="76" t="str">
        <x:v>Below timeline — cross-era alternate</x:v>
      </x:c>
      <x:c r="P691" s="76" t="str">
        <x:v>IMG_6381.PNG</x:v>
      </x:c>
      <x:c r="Q691" s="76" t="str">
        <x:v>Needs review</x:v>
      </x:c>
      <x:c r="R691" s="76" t="str">
        <x:v>High</x:v>
      </x:c>
      <x:c r="S691" s="76" t="str">
        <x:v>Revan and Darth Tenebrous belong to eras millennia apart.</x:v>
      </x:c>
      <x:c r="T691" s="76" t="str">
        <x:v>Unique</x:v>
      </x:c>
    </x:row>
    <x:row r="692" s="23" customFormat="1" ht="36" customHeight="1">
      <x:c r="A692" s="49" t="b">
        <x:v>0</x:v>
      </x:c>
      <x:c r="B692" s="56" t="str">
        <x:v>FV-0203</x:v>
      </x:c>
      <x:c r="C692" s="53" t="str">
        <x:v>Review &amp; decide — cross-era alternate</x:v>
      </x:c>
      <x:c r="D692" s="53" t="str">
        <x:v>DARTH REVAN VS TENEBROUS — EPISODE 3: YOU THINK THESE ARE HOLDING ME?</x:v>
      </x:c>
      <x:c r="E692" s="53" t="str">
        <x:v>EPISODE 3</x:v>
      </x:c>
      <x:c r="F692" s="53" t="str">
        <x:v>September 18, 2026</x:v>
      </x:c>
      <x:c r="G692" s="53" t="str">
        <x:v>Fan-made / non-canon</x:v>
      </x:c>
      <x:c r="H692" s="53" t="str">
        <x:v>Fan video</x:v>
      </x:c>
      <x:c r="I692" s="53" t="str">
        <x:v>YouTube — search by title</x:v>
      </x:c>
      <x:c r="J692" s="59" t="e">
        <x:f>HYPERLINK("https://www.youtube.com/results?search_query=DARTH%20REVAN%20VS%20TENEBROUS%20%E2%80%94%20EPISODE%203%3A%20YOU%20THINK%20THESE%20ARE%20HOLDING%20ME%3F","Search")</x:f>
        <x:v>HYPERLINK is not implemented. linkLocation=https://www.youtube.com/results?search_query=DARTH%20REVAN%20VS%20TENEBROUS%20%E2%80%94%20EPISODE%203%3A%20YOU%20THINK%20THESE%20ARE%20HOLDING%20ME%3F, friendlyName=Search</x:v>
      </x:c>
      <x:c r="K692" s="53" t="str">
        <x:v>Revan and Darth Tenebrous belong to eras millennia apart.</x:v>
      </x:c>
      <x:c r="L692" s="76" t="str">
        <x:v>DARTH REVAN VS TENEBROUS</x:v>
      </x:c>
      <x:c r="M692" s="76" t="str">
        <x:v>DARTH REVAN VS TENEBROUS — EPISODE 3: YOU THINK THESE ARE HOLDING ME?</x:v>
      </x:c>
      <x:c r="N692" s="76"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692" s="76" t="str">
        <x:v>Below timeline — cross-era alternate</x:v>
      </x:c>
      <x:c r="P692" s="76" t="str">
        <x:v>IMG_6386.PNG</x:v>
      </x:c>
      <x:c r="Q692" s="76" t="str">
        <x:v>Needs review</x:v>
      </x:c>
      <x:c r="R692" s="76" t="str">
        <x:v>High</x:v>
      </x:c>
      <x:c r="S692" s="76" t="str">
        <x:v>Revan and Darth Tenebrous belong to eras millennia apart.</x:v>
      </x:c>
      <x:c r="T692" s="76" t="str">
        <x:v>Unique</x:v>
      </x:c>
    </x:row>
    <x:row r="693" s="23" customFormat="1" ht="36" customHeight="1">
      <x:c r="A693" s="49" t="b">
        <x:v>0</x:v>
      </x:c>
      <x:c r="B693" s="56" t="str">
        <x:v>FV-0186</x:v>
      </x:c>
      <x:c r="C693" s="53" t="str">
        <x:v>Review &amp; decide — cross-era alternate</x:v>
      </x:c>
      <x:c r="D693" s="53" t="str">
        <x:v>DARTH REVAN VS. TENEBROUS — EPISODE 6: GRAVITY BREAKS &amp; | Star Wars Unleashed</x:v>
      </x:c>
      <x:c r="E693" s="53" t="str">
        <x:v>EPISODE 6</x:v>
      </x:c>
      <x:c r="F693" s="53" t="str">
        <x:v>September 24, 2026</x:v>
      </x:c>
      <x:c r="G693" s="53" t="str">
        <x:v>Fan-made / non-canon</x:v>
      </x:c>
      <x:c r="H693" s="53" t="str">
        <x:v>Fan video</x:v>
      </x:c>
      <x:c r="I693" s="53" t="str">
        <x:v>YouTube — search by title</x:v>
      </x:c>
      <x:c r="J693" s="59" t="e">
        <x:f>HYPERLINK("https://www.youtube.com/results?search_query=DARTH%20REVAN%20VS.%20TENEBROUS%20%E2%80%94%20EPISODE%206%3A%20GRAVITY%20BREAKS%20%26%20%7C%20Star%20Wars%20Unleashed","Search")</x:f>
        <x:v>HYPERLINK is not implemented. linkLocation=https://www.youtube.com/results?search_query=DARTH%20REVAN%20VS.%20TENEBROUS%20%E2%80%94%20EPISODE%206%3A%20GRAVITY%20BREAKS%20%26%20%7C%20Star%20Wars%20Unleashed, friendlyName=Search</x:v>
      </x:c>
      <x:c r="K693" s="53" t="str">
        <x:v>Revan and Darth Tenebrous belong to eras millennia apart.</x:v>
      </x:c>
      <x:c r="L693" s="76" t="str">
        <x:v>DARTH REVAN VS. TENEBROUS</x:v>
      </x:c>
      <x:c r="M693" s="76" t="str">
        <x:v>DARTH REVAN VS. TENEBROUS — EPISODE 6: GRAVITY BREAKS &amp; | Star Wars Unleashed</x:v>
      </x:c>
      <x:c r="N693" s="76"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693" s="76" t="str">
        <x:v>Below timeline — cross-era alternate</x:v>
      </x:c>
      <x:c r="P693" s="76" t="str">
        <x:v>IMG_6369.PNG</x:v>
      </x:c>
      <x:c r="Q693" s="76" t="str">
        <x:v>Needs review</x:v>
      </x:c>
      <x:c r="R693" s="76" t="str">
        <x:v>High</x:v>
      </x:c>
      <x:c r="S693" s="76" t="str">
        <x:v>Revan and Darth Tenebrous belong to eras millennia apart.</x:v>
      </x:c>
      <x:c r="T693" s="76" t="str">
        <x:v>Unique</x:v>
      </x:c>
    </x:row>
    <x:row r="694" s="23" customFormat="1" ht="36" customHeight="1">
      <x:c r="A694" s="49" t="b">
        <x:v>0</x:v>
      </x:c>
      <x:c r="B694" s="56" t="str">
        <x:v>FV-0193</x:v>
      </x:c>
      <x:c r="C694" s="53" t="str">
        <x:v>Review &amp; decide — cross-era alternate</x:v>
      </x:c>
      <x:c r="D694" s="53" t="str">
        <x:v>QUI-GON JINN VS THE YUUZHAN VONG — THE LIVING WEAPON</x:v>
      </x:c>
      <x:c r="E694" s="53" t="str"/>
      <x:c r="F694" s="53" t="str">
        <x:v>September 23, 2026</x:v>
      </x:c>
      <x:c r="G694" s="53" t="str">
        <x:v>Fan-made / non-canon</x:v>
      </x:c>
      <x:c r="H694" s="53" t="str">
        <x:v>Fan video</x:v>
      </x:c>
      <x:c r="I694" s="53" t="str">
        <x:v>YouTube — search by title</x:v>
      </x:c>
      <x:c r="J694" s="59" t="e">
        <x:f>HYPERLINK("https://www.youtube.com/results?search_query=QUI-GON%20JINN%20VS%20THE%20YUUZHAN%20VONG%20%E2%80%94%20THE%20LIVING%20WEAPON","Search")</x:f>
        <x:v>HYPERLINK is not implemented. linkLocation=https://www.youtube.com/results?search_query=QUI-GON%20JINN%20VS%20THE%20YUUZHAN%20VONG%20%E2%80%94%20THE%20LIVING%20WEAPON, friendlyName=Search</x:v>
      </x:c>
      <x:c r="K694" s="53" t="str">
        <x:v>Combines the Yuuzhan Vong with a character or regime from a different era.</x:v>
      </x:c>
      <x:c r="L694" s="76" t="str"/>
      <x:c r="M694" s="76" t="str">
        <x:v>QUI-GON JINN VS THE YUUZHAN VONG — THE LIVING WEAPON</x:v>
      </x:c>
      <x:c r="N694" s="76"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694" s="76" t="str">
        <x:v>Below timeline — cross-era alternate</x:v>
      </x:c>
      <x:c r="P694" s="76" t="str">
        <x:v>IMG_6376.PNG</x:v>
      </x:c>
      <x:c r="Q694" s="76" t="str">
        <x:v>Needs review</x:v>
      </x:c>
      <x:c r="R694" s="76" t="str">
        <x:v>High</x:v>
      </x:c>
      <x:c r="S694" s="76" t="str">
        <x:v>Combines the Yuuzhan Vong with a character or regime from a different era.</x:v>
      </x:c>
      <x:c r="T694" s="76" t="str">
        <x:v>Unique</x:v>
      </x:c>
    </x:row>
    <x:row r="695" s="23" customFormat="1" ht="36" customHeight="1">
      <x:c r="A695" s="49" t="b">
        <x:v>0</x:v>
      </x:c>
      <x:c r="B695" s="56" t="str">
        <x:v>FV-0182</x:v>
      </x:c>
      <x:c r="C695" s="53" t="str">
        <x:v>Review &amp; decide — cross-era alternate</x:v>
      </x:c>
      <x:c r="D695" s="53" t="str">
        <x:v>REY vs THE YUUZHAN VONG The Kyber Shield | Star Wars Legends</x:v>
      </x:c>
      <x:c r="E695" s="53" t="str"/>
      <x:c r="F695" s="53" t="str">
        <x:v>September 25, 2026</x:v>
      </x:c>
      <x:c r="G695" s="53" t="str">
        <x:v>Fan-made / non-canon</x:v>
      </x:c>
      <x:c r="H695" s="53" t="str">
        <x:v>Fan video</x:v>
      </x:c>
      <x:c r="I695" s="53" t="str">
        <x:v>YouTube — search by title</x:v>
      </x:c>
      <x:c r="J695" s="59" t="e">
        <x:f>HYPERLINK("https://www.youtube.com/results?search_query=REY%20vs%20THE%20YUUZHAN%20VONG%20The%20Kyber%20Shield%20%7C%20Star%20Wars%20Legends","Search")</x:f>
        <x:v>HYPERLINK is not implemented. linkLocation=https://www.youtube.com/results?search_query=REY%20vs%20THE%20YUUZHAN%20VONG%20The%20Kyber%20Shield%20%7C%20Star%20Wars%20Legends, friendlyName=Search</x:v>
      </x:c>
      <x:c r="K695" s="53" t="str">
        <x:v>Combines the Yuuzhan Vong with a character or regime from a different era.</x:v>
      </x:c>
      <x:c r="L695" s="76" t="str"/>
      <x:c r="M695" s="76" t="str">
        <x:v>REY vs THE YUUZHAN VONG The Kyber Shield | Star Wars Legends</x:v>
      </x:c>
      <x:c r="N695" s="76"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695" s="76" t="str">
        <x:v>Below timeline — cross-era alternate</x:v>
      </x:c>
      <x:c r="P695" s="76" t="str">
        <x:v>IMG_6365.PNG</x:v>
      </x:c>
      <x:c r="Q695" s="76" t="str">
        <x:v>Needs review</x:v>
      </x:c>
      <x:c r="R695" s="76" t="str">
        <x:v>High</x:v>
      </x:c>
      <x:c r="S695" s="76" t="str">
        <x:v>Combines the Yuuzhan Vong with a character or regime from a different era.</x:v>
      </x:c>
      <x:c r="T695" s="76" t="str">
        <x:v>Unique</x:v>
      </x:c>
    </x:row>
    <x:row r="696" s="23" customFormat="1" ht="36" customHeight="1">
      <x:c r="A696" s="49" t="b">
        <x:v>0</x:v>
      </x:c>
      <x:c r="B696" s="56" t="str">
        <x:v>FV-0021</x:v>
      </x:c>
      <x:c r="C696" s="53" t="str">
        <x:v>Review &amp; decide — cross-era alternate</x:v>
      </x:c>
      <x:c r="D696" s="53" t="str">
        <x:v>Star Wars Legends Inspired | Darth Revan Teaches Young Sidious a Deadly Lesson</x:v>
      </x:c>
      <x:c r="E696" s="53" t="str"/>
      <x:c r="F696" s="53" t="str">
        <x:v>October 14, 2026</x:v>
      </x:c>
      <x:c r="G696" s="53" t="str">
        <x:v>Fan-made / non-canon</x:v>
      </x:c>
      <x:c r="H696" s="53" t="str">
        <x:v>Fan video</x:v>
      </x:c>
      <x:c r="I696" s="53" t="str">
        <x:v>YouTube — search by title</x:v>
      </x:c>
      <x:c r="J696" s="59" t="e">
        <x:f>HYPERLINK("https://www.youtube.com/results?search_query=Star%20Wars%20Legends%20Inspired%20%7C%20Darth%20Revan%20Teaches%20Young%20Sidious%20a%20Deadly%20Lesson","Search")</x:f>
        <x:v>HYPERLINK is not implemented. linkLocation=https://www.youtube.com/results?search_query=Star%20Wars%20Legends%20Inspired%20%7C%20Darth%20Revan%20Teaches%20Young%20Sidious%20a%20Deadly%20Lesson, friendlyName=Search</x:v>
      </x:c>
      <x:c r="K696" s="53" t="str">
        <x:v>Revan and young Sidious lived millennia apart.</x:v>
      </x:c>
      <x:c r="L696" s="76" t="str"/>
      <x:c r="M696" s="76" t="str">
        <x:v>Star Wars Legends Inspired | Darth Revan Teaches Young Sidious a Deadly Lesson</x:v>
      </x:c>
      <x:c r="N696" s="76"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696" s="76" t="str">
        <x:v>Below timeline — cross-era alternate</x:v>
      </x:c>
      <x:c r="P696" s="76" t="str">
        <x:v>IMG_6204.PNG</x:v>
      </x:c>
      <x:c r="Q696" s="76" t="str">
        <x:v>Needs review</x:v>
      </x:c>
      <x:c r="R696" s="76" t="str">
        <x:v>High</x:v>
      </x:c>
      <x:c r="S696" s="76" t="str">
        <x:v>Revan and young Sidious lived millennia apart.</x:v>
      </x:c>
      <x:c r="T696" s="76" t="str">
        <x:v>Unique</x:v>
      </x:c>
    </x:row>
    <x:row r="697" s="23" customFormat="1" ht="36" customHeight="1">
      <x:c r="A697" s="49" t="b">
        <x:v>0</x:v>
      </x:c>
      <x:c r="B697" s="56" t="str">
        <x:v>FV-0342</x:v>
      </x:c>
      <x:c r="C697" s="53" t="str">
        <x:v>Review &amp; decide — cross-era alternate</x:v>
      </x:c>
      <x:c r="D697" s="53" t="str">
        <x:v>The Empire Fired First... Then the Yuuzhan Vong Answered 🔥</x:v>
      </x:c>
      <x:c r="E697" s="53" t="str"/>
      <x:c r="F697" s="53" t="str">
        <x:v>August 27, 2026</x:v>
      </x:c>
      <x:c r="G697" s="53" t="str">
        <x:v>Fan-made / non-canon</x:v>
      </x:c>
      <x:c r="H697" s="53" t="str">
        <x:v>Fan video</x:v>
      </x:c>
      <x:c r="I697" s="53" t="str">
        <x:v>YouTube — search by title</x:v>
      </x:c>
      <x:c r="J697" s="59" t="e">
        <x:f>HYPERLINK("https://www.youtube.com/results?search_query=The%20Empire%20Fired%20First...%20Then%20the%20Yuuzhan%20Vong%20Answered%20%F0%9F%94%A5","Search")</x:f>
        <x:v>HYPERLINK is not implemented. linkLocation=https://www.youtube.com/results?search_query=The%20Empire%20Fired%20First...%20Then%20the%20Yuuzhan%20Vong%20Answered%20%F0%9F%94%A5, friendlyName=Search</x:v>
      </x:c>
      <x:c r="K697" s="53" t="str">
        <x:v>Combines the Yuuzhan Vong with a character or regime from a different era.</x:v>
      </x:c>
      <x:c r="L697" s="76" t="str"/>
      <x:c r="M697" s="76" t="str">
        <x:v>The Empire Fired First... Then the Yuuzhan Vong Answered 🔥</x:v>
      </x:c>
      <x:c r="N697" s="76" t="str">
        <x:v>The Empire encounters something it was never
prepared for—a Yuuzhan Vong warship that isn’t
built. It’s alive.
Machine meets living weapon. And the Empire fires
first. @
#StarWars #YuuzhanVong #GalacticEmpire
#Unleashed</x:v>
      </x:c>
      <x:c r="O697" s="76" t="str">
        <x:v>Below timeline — cross-era alternate</x:v>
      </x:c>
      <x:c r="P697" s="76" t="str">
        <x:v>IMG_6528.PNG</x:v>
      </x:c>
      <x:c r="Q697" s="76" t="str">
        <x:v>Needs review</x:v>
      </x:c>
      <x:c r="R697" s="76" t="str">
        <x:v>High</x:v>
      </x:c>
      <x:c r="S697" s="76" t="str">
        <x:v>Combines the Yuuzhan Vong with a character or regime from a different era.</x:v>
      </x:c>
      <x:c r="T697" s="76" t="str">
        <x:v>Unique</x:v>
      </x:c>
    </x:row>
    <x:row r="698" s="23" customFormat="1" ht="36" customHeight="1">
      <x:c r="A698" s="49" t="b">
        <x:v>0</x:v>
      </x:c>
      <x:c r="B698" s="56" t="str">
        <x:v>FV-0309</x:v>
      </x:c>
      <x:c r="C698" s="53" t="str">
        <x:v>Review &amp; decide — cross-era alternate</x:v>
      </x:c>
      <x:c r="D698" s="53" t="str">
        <x:v>The Vong Unleashed a Living War Beast... Then a Jedi Drew His Saber</x:v>
      </x:c>
      <x:c r="E698" s="53" t="str"/>
      <x:c r="F698" s="53" t="str">
        <x:v>August 30, 2026</x:v>
      </x:c>
      <x:c r="G698" s="53" t="str">
        <x:v>Fan-made / non-canon</x:v>
      </x:c>
      <x:c r="H698" s="53" t="str">
        <x:v>Fan video</x:v>
      </x:c>
      <x:c r="I698" s="53" t="str">
        <x:v>YouTube — search by title</x:v>
      </x:c>
      <x:c r="J698" s="59" t="e">
        <x:f>HYPERLINK("https://www.youtube.com/results?search_query=The%20Vong%20Unleashed%20a%20Living%20War%20Beast...%20Then%20a%20Jedi%20Drew%20His%20Saber","Search")</x:f>
        <x:v>HYPERLINK is not implemented. linkLocation=https://www.youtube.com/results?search_query=The%20Vong%20Unleashed%20a%20Living%20War%20Beast...%20Then%20a%20Jedi%20Drew%20His%20Saber, friendlyName=Search</x:v>
      </x:c>
      <x:c r="K698" s="53" t="str">
        <x:v>Combines the Yuuzhan Vong with a character or regime from a different era.</x:v>
      </x:c>
      <x:c r="L698" s="76" t="str"/>
      <x:c r="M698" s="76" t="str">
        <x:v>The Vong Unleashed a Living War Beast... Then a Jedi Drew His Saber</x:v>
      </x:c>
      <x:c r="N698" s="76"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698" s="76" t="str">
        <x:v>Below timeline — cross-era alternate</x:v>
      </x:c>
      <x:c r="P698" s="76" t="str">
        <x:v>IMG_6495.PNG</x:v>
      </x:c>
      <x:c r="Q698" s="76" t="str">
        <x:v>Needs review</x:v>
      </x:c>
      <x:c r="R698" s="76" t="str">
        <x:v>High</x:v>
      </x:c>
      <x:c r="S698" s="76" t="str">
        <x:v>Combines the Yuuzhan Vong with a character or regime from a different era.</x:v>
      </x:c>
      <x:c r="T698" s="76" t="str">
        <x:v>Unique</x:v>
      </x:c>
    </x:row>
    <x:row r="699" s="23" customFormat="1" ht="36" customHeight="1">
      <x:c r="A699" s="49" t="b">
        <x:v>0</x:v>
      </x:c>
      <x:c r="B699" s="56" t="str">
        <x:v>FV-0345</x:v>
      </x:c>
      <x:c r="C699" s="53" t="str">
        <x:v>Review &amp; decide — crossover / alternate universe</x:v>
      </x:c>
      <x:c r="D699" s="53" t="str">
        <x:v>Darth Revan Entered Middle-earth... And the Journey Has Just Begun é 4</x:v>
      </x:c>
      <x:c r="E699" s="53" t="str"/>
      <x:c r="F699" s="53" t="str">
        <x:v>August 27, 2026</x:v>
      </x:c>
      <x:c r="G699" s="53" t="str">
        <x:v>Fan-made / non-canon</x:v>
      </x:c>
      <x:c r="H699" s="53" t="str">
        <x:v>Fan video</x:v>
      </x:c>
      <x:c r="I699" s="53" t="str">
        <x:v>YouTube — search by title</x:v>
      </x:c>
      <x:c r="J699" s="59" t="e">
        <x:f>HYPERLINK("https://www.youtube.com/results?search_query=Darth%20Revan%20Entered%20Middle-earth...%20And%20the%20Journey%20Has%20Just%20Begun%20%C3%A9%204","Search")</x:f>
        <x:v>HYPERLINK is not implemented. linkLocation=https://www.youtube.com/results?search_query=Darth%20Revan%20Entered%20Middle-earth...%20And%20the%20Journey%20Has%20Just%20Begun%20%C3%A9%204, friendlyName=Search</x:v>
      </x:c>
      <x:c r="K699" s="53" t="str">
        <x:v>Cross-franchise or cross-universe story; no principal Star Wars chronology slot.</x:v>
      </x:c>
      <x:c r="L699" s="76" t="str"/>
      <x:c r="M699" s="76" t="str">
        <x:v>Darth Revan Entered Middle-earth... And the Journey Has Just Begun é 4</x:v>
      </x:c>
      <x:c r="N699" s="76" t="str">
        <x:v>é REVAN IN MIDDLE-EARTH IS BECOMING AN
EXCLUSIVE SERIES.
You got the first taste with The Nine and now the
official trailer. Future chapters will include exclusive
content as those options become available here.
Stay subscribed and watch for updates.
How this was made
Made with Al
Sounds or visuals were altered or fully generated. Learn
more</x:v>
      </x:c>
      <x:c r="O699" s="76" t="str">
        <x:v>Below timeline — crossover / alternate universe</x:v>
      </x:c>
      <x:c r="P699" s="76" t="str">
        <x:v>IMG_6531.PNG</x:v>
      </x:c>
      <x:c r="Q699" s="76" t="str">
        <x:v>Needs review</x:v>
      </x:c>
      <x:c r="R699" s="76" t="str">
        <x:v>High</x:v>
      </x:c>
      <x:c r="S699" s="76" t="str">
        <x:v>Cross-franchise or cross-universe story; no principal Star Wars chronology slot.</x:v>
      </x:c>
      <x:c r="T699" s="76" t="str">
        <x:v>Unique</x:v>
      </x:c>
    </x:row>
    <x:row r="700" s="23" customFormat="1" ht="36" customHeight="1">
      <x:c r="A700" s="49" t="b">
        <x:v>0</x:v>
      </x:c>
      <x:c r="B700" s="56" t="str">
        <x:v>FV-0346</x:v>
      </x:c>
      <x:c r="C700" s="53" t="str">
        <x:v>Review &amp; decide — crossover / alternate universe</x:v>
      </x:c>
      <x:c r="D700" s="53" t="str">
        <x:v>Darth Revan Entered Middle-earth... Then He Met the Nine @ *</x:v>
      </x:c>
      <x:c r="E700" s="53" t="str"/>
      <x:c r="F700" s="53" t="str">
        <x:v>August 27, 2026</x:v>
      </x:c>
      <x:c r="G700" s="53" t="str">
        <x:v>Fan-made / non-canon</x:v>
      </x:c>
      <x:c r="H700" s="53" t="str">
        <x:v>Fan video</x:v>
      </x:c>
      <x:c r="I700" s="53" t="str">
        <x:v>YouTube — search by title</x:v>
      </x:c>
      <x:c r="J700" s="59" t="e">
        <x:f>HYPERLINK("https://www.youtube.com/results?search_query=Darth%20Revan%20Entered%20Middle-earth...%20Then%20He%20Met%20the%20Nine%20%40%20*","Search")</x:f>
        <x:v>HYPERLINK is not implemented. linkLocation=https://www.youtube.com/results?search_query=Darth%20Revan%20Entered%20Middle-earth...%20Then%20He%20Met%20the%20Nine%20%40%20*, friendlyName=Search</x:v>
      </x:c>
      <x:c r="K700" s="53" t="str">
        <x:v>Cross-franchise or cross-universe story; no principal Star Wars chronology slot.</x:v>
      </x:c>
      <x:c r="L700" s="76" t="str"/>
      <x:c r="M700" s="76" t="str">
        <x:v>Darth Revan Entered Middle-earth... Then He Met the Nine @ *</x:v>
      </x:c>
      <x:c r="N700" s="76" t="str">
        <x:v>Cash App: $brednew | PayPal: @blainehenry688
Darth Revan has entered a world he doesn’t
understand.
Deep inside an ancient forest, nine black riders
emerge from the darkness and surround him. Their
weapons are ancient. Their presence feels wrong.
And whatever power controls them... it isn't the
Dark Side Revan knows.
Then the first blade is drawn.
Purple lightsaber against the Nine. @ ¥
This is the beginning of a new Jedi Unleashed
cinematic iournev as Revan travels deener into an</x:v>
      </x:c>
      <x:c r="O700" s="76" t="str">
        <x:v>Below timeline — crossover / alternate universe</x:v>
      </x:c>
      <x:c r="P700" s="76" t="str">
        <x:v>IMG_6532.PNG</x:v>
      </x:c>
      <x:c r="Q700" s="76" t="str">
        <x:v>Needs review</x:v>
      </x:c>
      <x:c r="R700" s="76" t="str">
        <x:v>High</x:v>
      </x:c>
      <x:c r="S700" s="76" t="str">
        <x:v>Cross-franchise or cross-universe story; no principal Star Wars chronology slot.</x:v>
      </x:c>
      <x:c r="T700" s="76" t="str">
        <x:v>Unique</x:v>
      </x:c>
    </x:row>
    <x:row r="701" s="23" customFormat="1" ht="36" customHeight="1">
      <x:c r="A701" s="49" t="b">
        <x:v>0</x:v>
      </x:c>
      <x:c r="B701" s="56" t="str">
        <x:v>FV-0296</x:v>
      </x:c>
      <x:c r="C701" s="53" t="str">
        <x:v>Review &amp; decide — crossover / alternate universe</x:v>
      </x:c>
      <x:c r="D701" s="53" t="str">
        <x:v>Darth Revan Enters Middle-earth... and the Eye of Sauron Sees Him @ | Dawn Revenant</x:v>
      </x:c>
      <x:c r="E701" s="53" t="str"/>
      <x:c r="F701" s="53" t="str">
        <x:v>September 1, 2026</x:v>
      </x:c>
      <x:c r="G701" s="53" t="str">
        <x:v>Fan-made / non-canon</x:v>
      </x:c>
      <x:c r="H701" s="53" t="str">
        <x:v>Fan video</x:v>
      </x:c>
      <x:c r="I701" s="53" t="str">
        <x:v>YouTube — search by title</x:v>
      </x:c>
      <x:c r="J701" s="59" t="e">
        <x:f>HYPERLINK("https://www.youtube.com/results?search_query=Darth%20Revan%20Enters%20Middle-earth...%20and%20the%20Eye%20of%20Sauron%20Sees%20Him%20%40%20%7C%20Dawn%20Revenant","Search")</x:f>
        <x:v>HYPERLINK is not implemented. linkLocation=https://www.youtube.com/results?search_query=Darth%20Revan%20Enters%20Middle-earth...%20and%20the%20Eye%20of%20Sauron%20Sees%20Him%20%40%20%7C%20Dawn%20Revenant, friendlyName=Search</x:v>
      </x:c>
      <x:c r="K701" s="53" t="str">
        <x:v>Cross-franchise or cross-universe story; no principal Star Wars chronology slot.</x:v>
      </x:c>
      <x:c r="L701" s="76" t="str"/>
      <x:c r="M701" s="76" t="str">
        <x:v>Darth Revan Enters Middle-earth... and the Eye of Sauron Sees Him @ | Dawn Revenant</x:v>
      </x:c>
      <x:c r="N701" s="76" t="str">
        <x:v>Darth Revan has entered Middle-earth—but his
arrival has not gone unnoticed.
Across the darkness, high above Mordor, the Eye of
Sauron turns toward the mysterious warrior carrying
a purple blade.
Two worlds have collided.
Revan doesn't know what is watching him yet.
But Sauron knows Revan is here.
The journey through Middle-earth continues. * @
#DarthRevan #MiddleEarth #Sauron #StarWars
#1 ordOfTheRinas #Revan #DawnRevenant</x:v>
      </x:c>
      <x:c r="O701" s="76" t="str">
        <x:v>Below timeline — crossover / alternate universe</x:v>
      </x:c>
      <x:c r="P701" s="76" t="str">
        <x:v>IMG_6482.PNG</x:v>
      </x:c>
      <x:c r="Q701" s="76" t="str">
        <x:v>Needs review</x:v>
      </x:c>
      <x:c r="R701" s="76" t="str">
        <x:v>High</x:v>
      </x:c>
      <x:c r="S701" s="76" t="str">
        <x:v>Cross-franchise or cross-universe story; no principal Star Wars chronology slot.</x:v>
      </x:c>
      <x:c r="T701" s="76" t="str">
        <x:v>Unique</x:v>
      </x:c>
    </x:row>
    <x:row r="702" s="23" customFormat="1" ht="36" customHeight="1">
      <x:c r="A702" s="49" t="b">
        <x:v>0</x:v>
      </x:c>
      <x:c r="B702" s="56" t="str">
        <x:v>FV-0252</x:v>
      </x:c>
      <x:c r="C702" s="53" t="str">
        <x:v>Review &amp; decide — crossover / alternate universe</x:v>
      </x:c>
      <x:c r="D702" s="53" t="str">
        <x:v>DARTH REVAN ENTERS MORDOR — “THEN WATCH CAREFULLY”</x:v>
      </x:c>
      <x:c r="E702" s="53" t="str"/>
      <x:c r="F702" s="53" t="str">
        <x:v>September 6, 2026</x:v>
      </x:c>
      <x:c r="G702" s="53" t="str">
        <x:v>Fan-made / non-canon</x:v>
      </x:c>
      <x:c r="H702" s="53" t="str">
        <x:v>Fan video</x:v>
      </x:c>
      <x:c r="I702" s="53" t="str">
        <x:v>YouTube — search by title</x:v>
      </x:c>
      <x:c r="J702" s="59" t="e">
        <x:f>HYPERLINK("https://www.youtube.com/results?search_query=DARTH%20REVAN%20ENTERS%20MORDOR%20%E2%80%94%20%E2%80%9CTHEN%20WATCH%20CAREFULLY%E2%80%9D","Search")</x:f>
        <x:v>HYPERLINK is not implemented. linkLocation=https://www.youtube.com/results?search_query=DARTH%20REVAN%20ENTERS%20MORDOR%20%E2%80%94%20%E2%80%9CTHEN%20WATCH%20CAREFULLY%E2%80%9D, friendlyName=Search</x:v>
      </x:c>
      <x:c r="K702" s="53" t="str">
        <x:v>Cross-franchise or cross-universe story; no principal Star Wars chronology slot.</x:v>
      </x:c>
      <x:c r="L702" s="76" t="str"/>
      <x:c r="M702" s="76" t="str">
        <x:v>DARTH REVAN ENTERS MORDOR — “THEN WATCH CAREFULLY”</x:v>
      </x:c>
      <x:c r="N702" s="76" t="str">
        <x:v>An army of Orcs blocks Revan’s road into Mordor.
Their captain warns him that no living man may
cross.
Revan's answer?
“Then this should be easy.”
When the Eye of Sauron finally turns toward him,
Revan doesn’t retreat. He gives the Dark Lord one
warning:
“Then watch carefully.”
Darth Revan in Middle-earth continues.
#DarthRevan #MiddleEarth #Sauron #Mordor</x:v>
      </x:c>
      <x:c r="O702" s="76" t="str">
        <x:v>Below timeline — crossover / alternate universe</x:v>
      </x:c>
      <x:c r="P702" s="76" t="str">
        <x:v>IMG_6435.PNG</x:v>
      </x:c>
      <x:c r="Q702" s="76" t="str">
        <x:v>Needs review</x:v>
      </x:c>
      <x:c r="R702" s="76" t="str">
        <x:v>High</x:v>
      </x:c>
      <x:c r="S702" s="76" t="str">
        <x:v>Cross-franchise or cross-universe story; no principal Star Wars chronology slot.</x:v>
      </x:c>
      <x:c r="T702" s="76" t="str">
        <x:v>Unique</x:v>
      </x:c>
    </x:row>
    <x:row r="703" s="23" customFormat="1" ht="36" customHeight="1">
      <x:c r="A703" s="49" t="b">
        <x:v>0</x:v>
      </x:c>
      <x:c r="B703" s="56" t="str">
        <x:v>FV-0284</x:v>
      </x:c>
      <x:c r="C703" s="53" t="str">
        <x:v>Review &amp; decide — crossover / alternate universe</x:v>
      </x:c>
      <x:c r="D703" s="53" t="str">
        <x:v>Darth Revan in Middle-earth — Episode 6: The Nine Descend</x:v>
      </x:c>
      <x:c r="E703" s="53" t="str">
        <x:v>Episode 6</x:v>
      </x:c>
      <x:c r="F703" s="53" t="str">
        <x:v>September 2, 2026</x:v>
      </x:c>
      <x:c r="G703" s="53" t="str">
        <x:v>Fan-made / non-canon</x:v>
      </x:c>
      <x:c r="H703" s="53" t="str">
        <x:v>Fan video</x:v>
      </x:c>
      <x:c r="I703" s="53" t="str">
        <x:v>YouTube — search by title</x:v>
      </x:c>
      <x:c r="J703" s="59" t="e">
        <x:f>HYPERLINK("https://www.youtube.com/results?search_query=Darth%20Revan%20in%20Middle-earth%20%E2%80%94%20Episode%206%3A%20The%20Nine%20Descend","Search")</x:f>
        <x:v>HYPERLINK is not implemented. linkLocation=https://www.youtube.com/results?search_query=Darth%20Revan%20in%20Middle-earth%20%E2%80%94%20Episode%206%3A%20The%20Nine%20Descend, friendlyName=Search</x:v>
      </x:c>
      <x:c r="K703" s="53" t="str">
        <x:v>Cross-franchise or cross-universe story; no principal Star Wars chronology slot.</x:v>
      </x:c>
      <x:c r="L703" s="76" t="str">
        <x:v>Revan in Middle-earth</x:v>
      </x:c>
      <x:c r="M703" s="76" t="str">
        <x:v>Darth Revan in Middle-earth — Episode 6: The Nine Descend</x:v>
      </x:c>
      <x:c r="N703" s="76" t="str">
        <x:v>The Eye has seen him.
Standing before the dark fortress, Darth Revan
watches the skies as the servants of the Dark Lord
descend upon him. The Nazgil circle overhead on
their Fell Beasts, closing in beneath the moonlight.
Revan doesn't run.
He ignites the purple blade.
Middle-earth has sent its hunters.
Now they will learn what they found.
#DarthRevan #MiddleEarth #Nazgul #Sauron
#StarWars #LordOfTheRings #DarkFantasy</x:v>
      </x:c>
      <x:c r="O703" s="76" t="str">
        <x:v>Below timeline — crossover / alternate universe</x:v>
      </x:c>
      <x:c r="P703" s="76" t="str">
        <x:v>IMG_6469.PNG</x:v>
      </x:c>
      <x:c r="Q703" s="76" t="str">
        <x:v>Needs review</x:v>
      </x:c>
      <x:c r="R703" s="76" t="str">
        <x:v>High</x:v>
      </x:c>
      <x:c r="S703" s="76" t="str">
        <x:v>Cross-franchise or cross-universe story; no principal Star Wars chronology slot.</x:v>
      </x:c>
      <x:c r="T703" s="76" t="str">
        <x:v>Unique</x:v>
      </x:c>
    </x:row>
    <x:row r="704" s="23" customFormat="1" ht="36" customHeight="1">
      <x:c r="A704" s="49" t="b">
        <x:v>0</x:v>
      </x:c>
      <x:c r="B704" s="56" t="str">
        <x:v>FV-0283</x:v>
      </x:c>
      <x:c r="C704" s="53" t="str">
        <x:v>Review &amp; decide — crossover / alternate universe</x:v>
      </x:c>
      <x:c r="D704" s="53" t="str">
        <x:v>Darth Revan in Middle-earth — Episode 7: The Bells Beneath the Earth</x:v>
      </x:c>
      <x:c r="E704" s="53" t="str">
        <x:v>Episode 7</x:v>
      </x:c>
      <x:c r="F704" s="53" t="str">
        <x:v>September 2, 2026</x:v>
      </x:c>
      <x:c r="G704" s="53" t="str">
        <x:v>Fan-made / non-canon</x:v>
      </x:c>
      <x:c r="H704" s="53" t="str">
        <x:v>Fan video</x:v>
      </x:c>
      <x:c r="I704" s="53" t="str">
        <x:v>YouTube — search by title</x:v>
      </x:c>
      <x:c r="J704" s="59" t="e">
        <x:f>HYPERLINK("https://www.youtube.com/results?search_query=Darth%20Revan%20in%20Middle-earth%20%E2%80%94%20Episode%207%3A%20The%20Bells%20Beneath%20the%20Earth","Search")</x:f>
        <x:v>HYPERLINK is not implemented. linkLocation=https://www.youtube.com/results?search_query=Darth%20Revan%20in%20Middle-earth%20%E2%80%94%20Episode%207%3A%20The%20Bells%20Beneath%20the%20Earth, friendlyName=Search</x:v>
      </x:c>
      <x:c r="K704" s="53" t="str">
        <x:v>Cross-franchise or cross-universe story; no principal Star Wars chronology slot.</x:v>
      </x:c>
      <x:c r="L704" s="76" t="str">
        <x:v>Revan in Middle-earth</x:v>
      </x:c>
      <x:c r="M704" s="76" t="str">
        <x:v>Darth Revan in Middle-earth — Episode 7: The Bells Beneath the Earth</x:v>
      </x:c>
      <x:c r="N704" s="76" t="str">
        <x:v>Something ancient is buried beneath Middle-earth.
Darth Revan discovers a sealed stone doorway
hidden beneath the roots of a dead forest. The
markings on the door aren’t warnings.
They're scratches from the inside.
Deep underground, enormous chains begin to
tighten. A sound echoes through the darkness like a
colossal bell—but Revan soon realizes it isn't a bell
at all.
Something imprisoned beneath the earth is waking.
And then Revan discovers the terrifying truth:</x:v>
      </x:c>
      <x:c r="O704" s="76" t="str">
        <x:v>Below timeline — crossover / alternate universe</x:v>
      </x:c>
      <x:c r="P704" s="76" t="str">
        <x:v>IMG_6468.PNG</x:v>
      </x:c>
      <x:c r="Q704" s="76" t="str">
        <x:v>Needs review</x:v>
      </x:c>
      <x:c r="R704" s="76" t="str">
        <x:v>High</x:v>
      </x:c>
      <x:c r="S704" s="76" t="str">
        <x:v>Cross-franchise or cross-universe story; no principal Star Wars chronology slot.</x:v>
      </x:c>
      <x:c r="T704" s="76" t="str">
        <x:v>Unique</x:v>
      </x:c>
    </x:row>
    <x:row r="705" s="23" customFormat="1" ht="36" customHeight="1">
      <x:c r="A705" s="49" t="b">
        <x:v>0</x:v>
      </x:c>
      <x:c r="B705" s="56" t="str">
        <x:v>FV-0263</x:v>
      </x:c>
      <x:c r="C705" s="53" t="str">
        <x:v>Review &amp; decide — crossover / alternate universe</x:v>
      </x:c>
      <x:c r="D705" s="53" t="str">
        <x:v>DARTH REVAN IN MIDDLE-EARTH — THE CHAMBER COULD NOT HOLD HIM</x:v>
      </x:c>
      <x:c r="E705" s="53" t="str"/>
      <x:c r="F705" s="53" t="str">
        <x:v>September 5, 2026</x:v>
      </x:c>
      <x:c r="G705" s="53" t="str">
        <x:v>Fan-made / non-canon</x:v>
      </x:c>
      <x:c r="H705" s="53" t="str">
        <x:v>Fan video</x:v>
      </x:c>
      <x:c r="I705" s="53" t="str">
        <x:v>YouTube — search by title</x:v>
      </x:c>
      <x:c r="J705" s="59" t="e">
        <x:f>HYPERLINK("https://www.youtube.com/results?search_query=DARTH%20REVAN%20IN%20MIDDLE-EARTH%20%E2%80%94%20THE%20CHAMBER%20COULD%20NOT%20HOLD%20HIM","Search")</x:f>
        <x:v>HYPERLINK is not implemented. linkLocation=https://www.youtube.com/results?search_query=DARTH%20REVAN%20IN%20MIDDLE-EARTH%20%E2%80%94%20THE%20CHAMBER%20COULD%20NOT%20HOLD%20HIM, friendlyName=Search</x:v>
      </x:c>
      <x:c r="K705" s="53" t="str">
        <x:v>Cross-franchise or cross-universe story; no principal Star Wars chronology slot.</x:v>
      </x:c>
      <x:c r="L705" s="76" t="str">
        <x:v>Revan in Middle-earth</x:v>
      </x:c>
      <x:c r="M705" s="76" t="str">
        <x:v>DARTH REVAN IN MIDDLE-EARTH — THE CHAMBER COULD NOT HOLD HIM</x:v>
      </x:c>
      <x:c r="N705" s="76" t="str">
        <x:v>Surrounded by hooded wraiths inside an ancient
chamber of chains, Darth Revan appears completely
trapped.
But they never understood one thing: Revan was
never their prisoner.
His purple blade awakens, the trap is shattered, and
an unstoppable wall of water tears through the
ruins. Revan emerges beneath a blood-orange
sunrise—but something beyond the chamber is
already waiting for him.
Created by Blaine Henry | Unleashed
#DarthRevan #MiddleEarth #KOTOR #StarWars
#Revan #Cinematic #Shorts</x:v>
      </x:c>
      <x:c r="O705" s="76" t="str">
        <x:v>Below timeline — crossover / alternate universe</x:v>
      </x:c>
      <x:c r="P705" s="76" t="str">
        <x:v>IMG_6448.PNG</x:v>
      </x:c>
      <x:c r="Q705" s="76" t="str">
        <x:v>Needs review</x:v>
      </x:c>
      <x:c r="R705" s="76" t="str">
        <x:v>High</x:v>
      </x:c>
      <x:c r="S705" s="76" t="str">
        <x:v>Cross-franchise or cross-universe story; no principal Star Wars chronology slot.</x:v>
      </x:c>
      <x:c r="T705" s="76" t="str">
        <x:v>Unique</x:v>
      </x:c>
    </x:row>
    <x:row r="706" s="23" customFormat="1" ht="36" customHeight="1">
      <x:c r="A706" s="49" t="b">
        <x:v>0</x:v>
      </x:c>
      <x:c r="B706" s="56" t="str">
        <x:v>FV-0161</x:v>
      </x:c>
      <x:c r="C706" s="53" t="str">
        <x:v>Review &amp; decide — crossover / alternate universe</x:v>
      </x:c>
      <x:c r="D706" s="53" t="str">
        <x:v>DARTH REVAN IN MIDDLE-EARTH 4) THE BEAST AT CIRITH UNGOL | Episode 16</x:v>
      </x:c>
      <x:c r="E706" s="53" t="str">
        <x:v>Episode 16</x:v>
      </x:c>
      <x:c r="F706" s="53" t="str">
        <x:v>September 28, 2026</x:v>
      </x:c>
      <x:c r="G706" s="53" t="str">
        <x:v>Fan-made / non-canon</x:v>
      </x:c>
      <x:c r="H706" s="53" t="str">
        <x:v>Fan video</x:v>
      </x:c>
      <x:c r="I706" s="53" t="str">
        <x:v>YouTube — search by title</x:v>
      </x:c>
      <x:c r="J706" s="59" t="e">
        <x:f>HYPERLINK("https://www.youtube.com/results?search_query=DARTH%20REVAN%20IN%20MIDDLE-EARTH%204)%20THE%20BEAST%20AT%20CIRITH%20UNGOL%20%7C%20Episode%2016","Search")</x:f>
        <x:v>HYPERLINK is not implemented. linkLocation=https://www.youtube.com/results?search_query=DARTH%20REVAN%20IN%20MIDDLE-EARTH%204)%20THE%20BEAST%20AT%20CIRITH%20UNGOL%20%7C%20Episode%2016, friendlyName=Search</x:v>
      </x:c>
      <x:c r="K706" s="53" t="str">
        <x:v>Cross-franchise or cross-universe story; no principal Star Wars chronology slot.</x:v>
      </x:c>
      <x:c r="L706" s="76" t="str">
        <x:v>Revan in Middle-earth</x:v>
      </x:c>
      <x:c r="M706" s="76" t="str">
        <x:v>DARTH REVAN IN MIDDLE-EARTH 4) THE BEAST AT CIRITH UNGOL | Episode 16</x:v>
      </x:c>
      <x:c r="N706" s="76" t="str">
        <x:v>The Fell Beast dives at Revan beneath a blood-red
moon. He turns its attack against it—but the Nazgill
is rising behind him. Purple blade ready, Revan
stands between both threats.
Darth Revan in Middle-earth | Episode 16
#DarthRevan #MiddleEarth #FellBeast #Nazgul
#Shorts
Support future episodes:
PayPal: https://paypal.me/blainehenry688
Cash App: https://cash.app/$brednew
© 2026 Jedi Unleashed / Blaine Henry. All rights
reserved.</x:v>
      </x:c>
      <x:c r="O706" s="76" t="str">
        <x:v>Below timeline — crossover / alternate universe</x:v>
      </x:c>
      <x:c r="P706" s="76" t="str">
        <x:v>IMG_6344.PNG</x:v>
      </x:c>
      <x:c r="Q706" s="76" t="str">
        <x:v>Needs review</x:v>
      </x:c>
      <x:c r="R706" s="76" t="str">
        <x:v>High</x:v>
      </x:c>
      <x:c r="S706" s="76" t="str">
        <x:v>Cross-franchise or cross-universe story; no principal Star Wars chronology slot.</x:v>
      </x:c>
      <x:c r="T706" s="76" t="str">
        <x:v>Unique</x:v>
      </x:c>
    </x:row>
    <x:row r="707" s="23" customFormat="1" ht="36" customHeight="1">
      <x:c r="A707" s="49" t="b">
        <x:v>0</x:v>
      </x:c>
      <x:c r="B707" s="56" t="str">
        <x:v>FV-0230</x:v>
      </x:c>
      <x:c r="C707" s="53" t="str">
        <x:v>Review &amp; decide — crossover / alternate universe</x:v>
      </x:c>
      <x:c r="D707" s="53" t="str">
        <x:v>DARTH REVAN IN MIDDLE-EARTH EPISODE 13 — THE HUNGER IN THE DARK</x:v>
      </x:c>
      <x:c r="E707" s="53" t="str">
        <x:v>EPISODE 13</x:v>
      </x:c>
      <x:c r="F707" s="53" t="str">
        <x:v>September 10, 2026</x:v>
      </x:c>
      <x:c r="G707" s="53" t="str">
        <x:v>Fan-made / non-canon</x:v>
      </x:c>
      <x:c r="H707" s="53" t="str">
        <x:v>Fan video</x:v>
      </x:c>
      <x:c r="I707" s="53" t="str">
        <x:v>YouTube — search by title</x:v>
      </x:c>
      <x:c r="J707" s="59" t="e">
        <x:f>HYPERLINK("https://www.youtube.com/results?search_query=DARTH%20REVAN%20IN%20MIDDLE-EARTH%20EPISODE%2013%20%E2%80%94%20THE%20HUNGER%20IN%20THE%20DARK","Search")</x:f>
        <x:v>HYPERLINK is not implemented. linkLocation=https://www.youtube.com/results?search_query=DARTH%20REVAN%20IN%20MIDDLE-EARTH%20EPISODE%2013%20%E2%80%94%20THE%20HUNGER%20IN%20THE%20DARK, friendlyName=Search</x:v>
      </x:c>
      <x:c r="K707" s="53" t="str">
        <x:v>Cross-franchise or cross-universe story; no principal Star Wars chronology slot.</x:v>
      </x:c>
      <x:c r="L707" s="76" t="str">
        <x:v>Revan in Middle-earth</x:v>
      </x:c>
      <x:c r="M707" s="76" t="str">
        <x:v>DARTH REVAN IN MIDDLE-EARTH EPISODE 13 — THE HUNGER IN THE DARK</x:v>
      </x:c>
      <x:c r="N707" s="76" t="str">
        <x:v>Support Unleashed:
Cash App: $brednew
PayPal: @blainehenry688
Deep inside Torech Ungol, Darth Revan faces
Shelob—the ancient hunger lurking beneath the
tower.
Dragged toward her fangs and trapped inside her
web, Revan refuses to panic. With one calculated
move, he turns Shelob’s own lair against her and
brings the tunnel crashing down between them.
But Revan has not escaped danger. An Orc alarm
sounds above him, and hundreds of armored
footsteps begin descending the tower.</x:v>
      </x:c>
      <x:c r="O707" s="76" t="str">
        <x:v>Below timeline — crossover / alternate universe</x:v>
      </x:c>
      <x:c r="P707" s="76" t="str">
        <x:v>IMG_6413.PNG</x:v>
      </x:c>
      <x:c r="Q707" s="76" t="str">
        <x:v>Needs review</x:v>
      </x:c>
      <x:c r="R707" s="76" t="str">
        <x:v>High</x:v>
      </x:c>
      <x:c r="S707" s="76" t="str">
        <x:v>Cross-franchise or cross-universe story; no principal Star Wars chronology slot.</x:v>
      </x:c>
      <x:c r="T707" s="76" t="str">
        <x:v>Unique</x:v>
      </x:c>
    </x:row>
    <x:row r="708" s="23" customFormat="1" ht="36" customHeight="1">
      <x:c r="A708" s="49" t="b">
        <x:v>0</x:v>
      </x:c>
      <x:c r="B708" s="56" t="str">
        <x:v>FV-0226</x:v>
      </x:c>
      <x:c r="C708" s="53" t="str">
        <x:v>Review &amp; decide — crossover / alternate universe</x:v>
      </x:c>
      <x:c r="D708" s="53" t="str">
        <x:v>DARTH REVAN IN MIDDLE-EARTH: EPISODE 14 — THE IRON STAIR</x:v>
      </x:c>
      <x:c r="E708" s="53" t="str">
        <x:v>EPISODE 14</x:v>
      </x:c>
      <x:c r="F708" s="53" t="str">
        <x:v>September 12, 2026</x:v>
      </x:c>
      <x:c r="G708" s="53" t="str">
        <x:v>Fan-made / non-canon</x:v>
      </x:c>
      <x:c r="H708" s="53" t="str">
        <x:v>Fan video</x:v>
      </x:c>
      <x:c r="I708" s="53" t="str">
        <x:v>YouTube — search by title</x:v>
      </x:c>
      <x:c r="J708" s="59" t="e">
        <x:f>HYPERLINK("https://www.youtube.com/results?search_query=DARTH%20REVAN%20IN%20MIDDLE-EARTH%3A%20EPISODE%2014%20%E2%80%94%20THE%20IRON%20STAIR","Search")</x:f>
        <x:v>HYPERLINK is not implemented. linkLocation=https://www.youtube.com/results?search_query=DARTH%20REVAN%20IN%20MIDDLE-EARTH%3A%20EPISODE%2014%20%E2%80%94%20THE%20IRON%20STAIR, friendlyName=Search</x:v>
      </x:c>
      <x:c r="K708" s="53" t="str">
        <x:v>Cross-franchise or cross-universe story; no principal Star Wars chronology slot.</x:v>
      </x:c>
      <x:c r="L708" s="76" t="str">
        <x:v>Revan in Middle-earth</x:v>
      </x:c>
      <x:c r="M708" s="76" t="str">
        <x:v>DARTH REVAN IN MIDDLE-EARTH: EPISODE 14 — THE IRON STAIR</x:v>
      </x:c>
      <x:c r="N708" s="76" t="str">
        <x:v>Support Unleashed:
Cash App: $brednew
PayPal: @blainehenry688
The armored beasts of Middle-earth release their
deadliest weapon—a colossal spiked iron ball
hurtling down the ancient staircase.
But Darth Revan does not run.
With one hand raised, Revan catches the enormous
weapon through the Force and drives it backward
up the stairs—turning the monsters’ own trap
against them.
They controlled the high ground. Revan controlled
everything else.</x:v>
      </x:c>
      <x:c r="O708" s="76" t="str">
        <x:v>Below timeline — crossover / alternate universe</x:v>
      </x:c>
      <x:c r="P708" s="76" t="str">
        <x:v>IMG_6409.PNG</x:v>
      </x:c>
      <x:c r="Q708" s="76" t="str">
        <x:v>Needs review</x:v>
      </x:c>
      <x:c r="R708" s="76" t="str">
        <x:v>High</x:v>
      </x:c>
      <x:c r="S708" s="76" t="str">
        <x:v>Cross-franchise or cross-universe story; no principal Star Wars chronology slot.</x:v>
      </x:c>
      <x:c r="T708" s="76" t="str">
        <x:v>Unique</x:v>
      </x:c>
    </x:row>
    <x:row r="709" s="23" customFormat="1" ht="36" customHeight="1">
      <x:c r="A709" s="49" t="b">
        <x:v>0</x:v>
      </x:c>
      <x:c r="B709" s="56" t="str">
        <x:v>FV-0308</x:v>
      </x:c>
      <x:c r="C709" s="53" t="str">
        <x:v>Review &amp; decide — crossover / alternate universe</x:v>
      </x:c>
      <x:c r="D709" s="53" t="str">
        <x:v>Darth Revan in Middle-earth: The Castle of Watching Eyes | Episode 5</x:v>
      </x:c>
      <x:c r="E709" s="53" t="str">
        <x:v>Episode 5</x:v>
      </x:c>
      <x:c r="F709" s="53" t="str">
        <x:v>August 31, 2026</x:v>
      </x:c>
      <x:c r="G709" s="53" t="str">
        <x:v>Fan-made / non-canon</x:v>
      </x:c>
      <x:c r="H709" s="53" t="str">
        <x:v>Fan video</x:v>
      </x:c>
      <x:c r="I709" s="53" t="str">
        <x:v>YouTube — search by title</x:v>
      </x:c>
      <x:c r="J709" s="59" t="e">
        <x:f>HYPERLINK("https://www.youtube.com/results?search_query=Darth%20Revan%20in%20Middle-earth%3A%20The%20Castle%20of%20Watching%20Eyes%20%7C%20Episode%205","Search")</x:f>
        <x:v>HYPERLINK is not implemented. linkLocation=https://www.youtube.com/results?search_query=Darth%20Revan%20in%20Middle-earth%3A%20The%20Castle%20of%20Watching%20Eyes%20%7C%20Episode%205, friendlyName=Search</x:v>
      </x:c>
      <x:c r="K709" s="53" t="str">
        <x:v>Cross-franchise or cross-universe story; no principal Star Wars chronology slot.</x:v>
      </x:c>
      <x:c r="L709" s="76" t="str">
        <x:v>Revan in Middle-earth</x:v>
      </x:c>
      <x:c r="M709" s="76" t="str">
        <x:v>Darth Revan in Middle-earth: The Castle of Watching Eyes | Episode 5</x:v>
      </x:c>
      <x:c r="N709" s="76" t="str">
        <x:v>Revan enters the Castle of Watching Eyes—but
something inside has been waiting for him.
Surrounded by armed guardians within its ruined
halls, Revan ignites his purple lightsaber and cuts
his way toward the heart of the castle. Yet the
deeper he travels, the stronger the feeling
becomes: the enemy he can see may not be the
true danger watching him.
The journey through Middle-earth continues.
Al Disclosure &amp; Creator Statement: This video
contains Al-generated visuals created from my
original concepts, scripting, direction, editing, and
creative production. This is transformative fan-
made entertainment and is not official franchise</x:v>
      </x:c>
      <x:c r="O709" s="76" t="str">
        <x:v>Below timeline — crossover / alternate universe</x:v>
      </x:c>
      <x:c r="P709" s="76" t="str">
        <x:v>IMG_6494.PNG</x:v>
      </x:c>
      <x:c r="Q709" s="76" t="str">
        <x:v>Needs review</x:v>
      </x:c>
      <x:c r="R709" s="76" t="str">
        <x:v>High</x:v>
      </x:c>
      <x:c r="S709" s="76" t="str">
        <x:v>Cross-franchise or cross-universe story; no principal Star Wars chronology slot.</x:v>
      </x:c>
      <x:c r="T709" s="76" t="str">
        <x:v>Unique</x:v>
      </x:c>
    </x:row>
    <x:row r="710" s="23" customFormat="1" ht="36" customHeight="1">
      <x:c r="A710" s="49" t="b">
        <x:v>0</x:v>
      </x:c>
      <x:c r="B710" s="56" t="str">
        <x:v>FV-0214</x:v>
      </x:c>
      <x:c r="C710" s="53" t="str">
        <x:v>Review &amp; decide — crossover / alternate universe</x:v>
      </x:c>
      <x:c r="D710" s="53" t="str">
        <x:v>Darth Revan in Middle-earth: The Rider Descends | Episode 15</x:v>
      </x:c>
      <x:c r="E710" s="53" t="str">
        <x:v>Episode 15</x:v>
      </x:c>
      <x:c r="F710" s="53" t="str">
        <x:v>September 14, 2026</x:v>
      </x:c>
      <x:c r="G710" s="53" t="str">
        <x:v>Fan-made / non-canon</x:v>
      </x:c>
      <x:c r="H710" s="53" t="str">
        <x:v>Fan video</x:v>
      </x:c>
      <x:c r="I710" s="53" t="str">
        <x:v>YouTube — search by title</x:v>
      </x:c>
      <x:c r="J710" s="59" t="e">
        <x:f>HYPERLINK("https://www.youtube.com/results?search_query=Darth%20Revan%20in%20Middle-earth%3A%20The%20Rider%20Descends%20%7C%20Episode%2015","Search")</x:f>
        <x:v>HYPERLINK is not implemented. linkLocation=https://www.youtube.com/results?search_query=Darth%20Revan%20in%20Middle-earth%3A%20The%20Rider%20Descends%20%7C%20Episode%2015, friendlyName=Search</x:v>
      </x:c>
      <x:c r="K710" s="53" t="str">
        <x:v>Cross-franchise or cross-universe story; no principal Star Wars chronology slot.</x:v>
      </x:c>
      <x:c r="L710" s="76" t="str">
        <x:v>Revan in Middle-earth</x:v>
      </x:c>
      <x:c r="M710" s="76" t="str">
        <x:v>Darth Revan in Middle-earth: The Rider Descends | Episode 15</x:v>
      </x:c>
      <x:c r="N710" s="76" t="str">
        <x:v>3 Cash App: $brednew
PayPal: @blainehenry688
A shadow crosses the blood-red moon above Cirith
Ungol. The Fell Beast descends, and its Nazg@l rider
challenges Darth Revan on the narrow staircase.
Revan survived Shelob. He defeated the Orcs. Now
one of the Nine has come for him—and the creature
carrying it may be even more dangerous.
The hunt has reached the skies of Mordor.
#DarthRevan #MiddleEarth #Nazgul #FellBeast
#Mordor #StarWarsLegends #Unleashed
Fan-made creative interpretation produced for</x:v>
      </x:c>
      <x:c r="O710" s="76" t="str">
        <x:v>Below timeline — crossover / alternate universe</x:v>
      </x:c>
      <x:c r="P710" s="76" t="str">
        <x:v>IMG_6397.PNG</x:v>
      </x:c>
      <x:c r="Q710" s="76" t="str">
        <x:v>Needs review</x:v>
      </x:c>
      <x:c r="R710" s="76" t="str">
        <x:v>High</x:v>
      </x:c>
      <x:c r="S710" s="76" t="str">
        <x:v>Cross-franchise or cross-universe story; no principal Star Wars chronology slot.</x:v>
      </x:c>
      <x:c r="T710" s="76" t="str">
        <x:v>Unique</x:v>
      </x:c>
    </x:row>
    <x:row r="711" s="23" customFormat="1" ht="36" customHeight="1">
      <x:c r="A711" s="49" t="b">
        <x:v>0</x:v>
      </x:c>
      <x:c r="B711" s="56" t="str">
        <x:v>FV-0244</x:v>
      </x:c>
      <x:c r="C711" s="53" t="str">
        <x:v>Review &amp; decide — crossover / alternate universe</x:v>
      </x:c>
      <x:c r="D711" s="53" t="str">
        <x:v>DARTH REVAN IN MIDDLE-EARTH: THE SILENT WATCHERS</x:v>
      </x:c>
      <x:c r="E711" s="53" t="str"/>
      <x:c r="F711" s="53" t="str">
        <x:v>September 8, 2026</x:v>
      </x:c>
      <x:c r="G711" s="53" t="str">
        <x:v>Fan-made / non-canon</x:v>
      </x:c>
      <x:c r="H711" s="53" t="str">
        <x:v>Fan video</x:v>
      </x:c>
      <x:c r="I711" s="53" t="str">
        <x:v>YouTube — search by title</x:v>
      </x:c>
      <x:c r="J711" s="59" t="e">
        <x:f>HYPERLINK("https://www.youtube.com/results?search_query=DARTH%20REVAN%20IN%20MIDDLE-EARTH%3A%20THE%20SILENT%20WATCHERS","Search")</x:f>
        <x:v>HYPERLINK is not implemented. linkLocation=https://www.youtube.com/results?search_query=DARTH%20REVAN%20IN%20MIDDLE-EARTH%3A%20THE%20SILENT%20WATCHERS, friendlyName=Search</x:v>
      </x:c>
      <x:c r="K711" s="53" t="str">
        <x:v>Cross-franchise or cross-universe story; no principal Star Wars chronology slot.</x:v>
      </x:c>
      <x:c r="L711" s="76" t="str">
        <x:v>Revan in Middle-earth</x:v>
      </x:c>
      <x:c r="M711" s="76" t="str">
        <x:v>DARTH REVAN IN MIDDLE-EARTH: THE SILENT WATCHERS</x:v>
      </x:c>
      <x:c r="N711" s="76" t="str">
        <x:v>Wearing his new emerald-and-bronze robes, Darth
Revan follows the surviving Nazgil to the gates of
Cirith Ungol.
Two ancient Watchers guard the entrance with an
invisible barrier—but Revan recognizes the truth
immediately:
“A door pretending to be a wall.”
When the statues awaken, Revan doesn’t attack
their magic. He destroys its source. But something
enormous is already waiting for him inside the
tower.
"There you are.”</x:v>
      </x:c>
      <x:c r="O711" s="76" t="str">
        <x:v>Below timeline — crossover / alternate universe</x:v>
      </x:c>
      <x:c r="P711" s="76" t="str">
        <x:v>IMG_6427.PNG</x:v>
      </x:c>
      <x:c r="Q711" s="76" t="str">
        <x:v>Needs review</x:v>
      </x:c>
      <x:c r="R711" s="76" t="str">
        <x:v>High</x:v>
      </x:c>
      <x:c r="S711" s="76" t="str">
        <x:v>Cross-franchise or cross-universe story; no principal Star Wars chronology slot.</x:v>
      </x:c>
      <x:c r="T711" s="76" t="str">
        <x:v>Unique</x:v>
      </x:c>
    </x:row>
    <x:row r="712" s="23" customFormat="1" ht="36" customHeight="1">
      <x:c r="A712" s="49" t="b">
        <x:v>0</x:v>
      </x:c>
      <x:c r="B712" s="56" t="str">
        <x:v>FV-0138</x:v>
      </x:c>
      <x:c r="C712" s="53" t="str">
        <x:v>Review &amp; decide — crossover / alternate universe</x:v>
      </x:c>
      <x:c r="D712" s="53" t="str">
        <x:v>Darth Revan Outsmarts the Eye of Sauron | Episode 2</x:v>
      </x:c>
      <x:c r="E712" s="53" t="str">
        <x:v>Episode 2</x:v>
      </x:c>
      <x:c r="F712" s="53" t="str">
        <x:v>October 1, 2026</x:v>
      </x:c>
      <x:c r="G712" s="53" t="str">
        <x:v>Fan-made / non-canon</x:v>
      </x:c>
      <x:c r="H712" s="53" t="str">
        <x:v>Fan video</x:v>
      </x:c>
      <x:c r="I712" s="53" t="str">
        <x:v>YouTube — search by title</x:v>
      </x:c>
      <x:c r="J712" s="59" t="e">
        <x:f>HYPERLINK("https://www.youtube.com/results?search_query=Darth%20Revan%20Outsmarts%20the%20Eye%20of%20Sauron%20%7C%20Episode%202","Search")</x:f>
        <x:v>HYPERLINK is not implemented. linkLocation=https://www.youtube.com/results?search_query=Darth%20Revan%20Outsmarts%20the%20Eye%20of%20Sauron%20%7C%20Episode%202, friendlyName=Search</x:v>
      </x:c>
      <x:c r="K712" s="53" t="str">
        <x:v>Cross-franchise or cross-universe story; no principal Star Wars chronology slot.</x:v>
      </x:c>
      <x:c r="L712" s="76" t="str">
        <x:v>Darth Revan Outsmarts the Eye of Sauron</x:v>
      </x:c>
      <x:c r="M712" s="76" t="str">
        <x:v>Darth Revan Outsmarts the Eye of Sauron | Episode 2</x:v>
      </x:c>
      <x:c r="N712" s="76" t="str">
        <x:v>Sauron offers Revan an army. Revan watches where
the Eye looks instead.
One threat toward Mount Doom—and the Dark Lord
reveals more than he intended.
"There it is. Something you're afraid to lose.”
(@ UNLEASHED | Official Channel Release
An original Al-generated crossover short, created
by UNLEASHED. Unofficial Star Wars x The Lord of
the Rings fan fiction.
Follow for the next chapter of Revan in Middle-
earth.
#DarthRevan #Sauron #LordOfTheRings #StarWars</x:v>
      </x:c>
      <x:c r="O712" s="76" t="str">
        <x:v>Below timeline — crossover / alternate universe</x:v>
      </x:c>
      <x:c r="P712" s="76" t="str">
        <x:v>IMG_6321.PNG</x:v>
      </x:c>
      <x:c r="Q712" s="76" t="str">
        <x:v>Needs review</x:v>
      </x:c>
      <x:c r="R712" s="76" t="str">
        <x:v>High</x:v>
      </x:c>
      <x:c r="S712" s="76" t="str">
        <x:v>Cross-franchise or cross-universe story; no principal Star Wars chronology slot.</x:v>
      </x:c>
      <x:c r="T712" s="76" t="str">
        <x:v>Unique</x:v>
      </x:c>
    </x:row>
    <x:row r="713" s="23" customFormat="1" ht="36" customHeight="1">
      <x:c r="A713" s="49" t="b">
        <x:v>0</x:v>
      </x:c>
      <x:c r="B713" s="56" t="str">
        <x:v>FV-0330</x:v>
      </x:c>
      <x:c r="C713" s="53" t="str">
        <x:v>Review &amp; decide — crossover / alternate universe</x:v>
      </x:c>
      <x:c r="D713" s="53" t="str">
        <x:v>Darth Revan Stands Before the Dragon of Middle-earth )</x:v>
      </x:c>
      <x:c r="E713" s="53" t="str"/>
      <x:c r="F713" s="53" t="str">
        <x:v>August 29, 2026</x:v>
      </x:c>
      <x:c r="G713" s="53" t="str">
        <x:v>Fan-made / non-canon</x:v>
      </x:c>
      <x:c r="H713" s="53" t="str">
        <x:v>Fan video</x:v>
      </x:c>
      <x:c r="I713" s="53" t="str">
        <x:v>YouTube — search by title</x:v>
      </x:c>
      <x:c r="J713" s="59" t="e">
        <x:f>HYPERLINK("https://www.youtube.com/results?search_query=Darth%20Revan%20Stands%20Before%20the%20Dragon%20of%20Middle-earth%20)","Search")</x:f>
        <x:v>HYPERLINK is not implemented. linkLocation=https://www.youtube.com/results?search_query=Darth%20Revan%20Stands%20Before%20the%20Dragon%20of%20Middle-earth%20), friendlyName=Search</x:v>
      </x:c>
      <x:c r="K713" s="53" t="str">
        <x:v>Cross-franchise or cross-universe story; no principal Star Wars chronology slot.</x:v>
      </x:c>
      <x:c r="L713" s="76" t="str"/>
      <x:c r="M713" s="76" t="str">
        <x:v>Darth Revan Stands Before the Dragon of Middle-earth )</x:v>
      </x:c>
      <x:c r="N713" s="76" t="str">
        <x:v>Cash App: $brednew
PayPal: @blainehenry688
Revan has entered Middle-earth... and something
ancient has found him.
A colossal sky dragon descends from above,
dwarfing the lone warrior beneath its shadow.
Most would run.
Revan ignites his purple lightsaber. eo
Al Disclosure &amp; Creator Statement: This video
contains Al-generated visuals created from my
original concepts, scripting, direction, editing, and
creative production. This is transformative fan-</x:v>
      </x:c>
      <x:c r="O713" s="76" t="str">
        <x:v>Below timeline — crossover / alternate universe</x:v>
      </x:c>
      <x:c r="P713" s="76" t="str">
        <x:v>IMG_6516.PNG</x:v>
      </x:c>
      <x:c r="Q713" s="76" t="str">
        <x:v>Needs review</x:v>
      </x:c>
      <x:c r="R713" s="76" t="str">
        <x:v>High</x:v>
      </x:c>
      <x:c r="S713" s="76" t="str">
        <x:v>Cross-franchise or cross-universe story; no principal Star Wars chronology slot.</x:v>
      </x:c>
      <x:c r="T713" s="76" t="str">
        <x:v>Unique</x:v>
      </x:c>
    </x:row>
    <x:row r="714" s="23" customFormat="1" ht="36" customHeight="1">
      <x:c r="A714" s="49" t="b">
        <x:v>0</x:v>
      </x:c>
      <x:c r="B714" s="56" t="str">
        <x:v>FV-0056</x:v>
      </x:c>
      <x:c r="C714" s="53" t="str">
        <x:v>Review &amp; decide — crossover / alternate universe</x:v>
      </x:c>
      <x:c r="D714" s="53" t="str">
        <x:v>Darth Revan vs. Karate Jedi | Can Martial Arts Defeat a Sith Legend?</x:v>
      </x:c>
      <x:c r="E714" s="53" t="str"/>
      <x:c r="F714" s="53" t="str">
        <x:v>October 10, 2026</x:v>
      </x:c>
      <x:c r="G714" s="53" t="str">
        <x:v>Fan-made / non-canon</x:v>
      </x:c>
      <x:c r="H714" s="53" t="str">
        <x:v>Fan video</x:v>
      </x:c>
      <x:c r="I714" s="53" t="str">
        <x:v>YouTube — search by title</x:v>
      </x:c>
      <x:c r="J714" s="59" t="e">
        <x:f>HYPERLINK("https://www.youtube.com/results?search_query=Darth%20Revan%20vs.%20Karate%20Jedi%20%7C%20Can%20Martial%20Arts%20Defeat%20a%20Sith%20Legend%3F","Search")</x:f>
        <x:v>HYPERLINK is not implemented. linkLocation=https://www.youtube.com/results?search_query=Darth%20Revan%20vs.%20Karate%20Jedi%20%7C%20Can%20Martial%20Arts%20Defeat%20a%20Sith%20Legend%3F, friendlyName=Search</x:v>
      </x:c>
      <x:c r="K714" s="53" t="str">
        <x:v>Cross-franchise or cross-universe story; no principal Star Wars chronology slot.</x:v>
      </x:c>
      <x:c r="L714" s="76" t="str"/>
      <x:c r="M714" s="76" t="str">
        <x:v>Darth Revan vs. Karate Jedi | Can Martial Arts Defeat a Sith Legend?</x:v>
      </x:c>
      <x:c r="N714" s="76" t="str">
        <x:v>A Sith legend meets a Jedi with a completely
different fighting style. Darth Revan faces the
Karate Jedi in a cinematic showdown of martial arts,
lightsabers, and the Force.
Who are you backing—Revan or the Karate Jedi?
An original fan-made crossover inspired by Star
Wars Legends and the Old Republic.
Star Wars™ and its characters belong to Lucasfilm
Ltd. and Disney. Unofficial fan work; no affiliation or
endorsement.
Support the channel:
Cash App: [Your Cash App]
PayPal: [Your PayPal]</x:v>
      </x:c>
      <x:c r="O714" s="76" t="str">
        <x:v>Below timeline — crossover / alternate universe</x:v>
      </x:c>
      <x:c r="P714" s="76" t="str">
        <x:v>IMG_6239.PNG</x:v>
      </x:c>
      <x:c r="Q714" s="76" t="str">
        <x:v>Needs review</x:v>
      </x:c>
      <x:c r="R714" s="76" t="str">
        <x:v>High</x:v>
      </x:c>
      <x:c r="S714" s="76" t="str">
        <x:v>Cross-franchise or cross-universe story; no principal Star Wars chronology slot.</x:v>
      </x:c>
      <x:c r="T714" s="76" t="str">
        <x:v>Unique</x:v>
      </x:c>
    </x:row>
    <x:row r="715" s="23" customFormat="1" ht="36" customHeight="1">
      <x:c r="A715" s="49" t="b">
        <x:v>0</x:v>
      </x:c>
      <x:c r="B715" s="56" t="str">
        <x:v>FV-0124</x:v>
      </x:c>
      <x:c r="C715" s="53" t="str">
        <x:v>Review &amp; decide — crossover / alternate universe</x:v>
      </x:c>
      <x:c r="D715" s="53" t="str">
        <x:v>Darth Revan vs. Sauron — “Thank You for the Bridge”</x:v>
      </x:c>
      <x:c r="E715" s="53" t="str"/>
      <x:c r="F715" s="53" t="str">
        <x:v>October 2, 2026</x:v>
      </x:c>
      <x:c r="G715" s="53" t="str">
        <x:v>Fan-made / non-canon</x:v>
      </x:c>
      <x:c r="H715" s="53" t="str">
        <x:v>Fan video</x:v>
      </x:c>
      <x:c r="I715" s="53" t="str">
        <x:v>YouTube — search by title</x:v>
      </x:c>
      <x:c r="J715" s="59" t="e">
        <x:f>HYPERLINK("https://www.youtube.com/results?search_query=Darth%20Revan%20vs.%20Sauron%20%E2%80%94%20%E2%80%9CThank%20You%20for%20the%20Bridge%E2%80%9D","Search")</x:f>
        <x:v>HYPERLINK is not implemented. linkLocation=https://www.youtube.com/results?search_query=Darth%20Revan%20vs.%20Sauron%20%E2%80%94%20%E2%80%9CThank%20You%20for%20the%20Bridge%E2%80%9D, friendlyName=Search</x:v>
      </x:c>
      <x:c r="K715" s="53" t="str">
        <x:v>Cross-franchise or cross-universe story; no principal Star Wars chronology slot.</x:v>
      </x:c>
      <x:c r="L715" s="76" t="str"/>
      <x:c r="M715" s="76" t="str">
        <x:v>Darth Revan vs. Sauron — “Thank You for the Bridge”</x:v>
      </x:c>
      <x:c r="N715" s="76" t="str">
        <x:v>Sauron commands him to kneel. Revan notices
where the chains are attached.
Bound to the fortress gate above a volcanic chasm,
Revan turns his restraints into a bridge—and walks
straight into the stronghold.
“You should have used a wall.”
An original UNLEASHED fan-made crossover
inspired by Star Wars Legends and The Lord of the
Rings.
Support UNLEASHED:
Cash App: https://cash.app/$brednew
PayPal: https://paypal.me/blainehenry688</x:v>
      </x:c>
      <x:c r="O715" s="76" t="str">
        <x:v>Below timeline — crossover / alternate universe</x:v>
      </x:c>
      <x:c r="P715" s="76" t="str">
        <x:v>IMG_6307.PNG</x:v>
      </x:c>
      <x:c r="Q715" s="76" t="str">
        <x:v>Needs review</x:v>
      </x:c>
      <x:c r="R715" s="76" t="str">
        <x:v>High</x:v>
      </x:c>
      <x:c r="S715" s="76" t="str">
        <x:v>Cross-franchise or cross-universe story; no principal Star Wars chronology slot.</x:v>
      </x:c>
      <x:c r="T715" s="76" t="str">
        <x:v>Unique</x:v>
      </x:c>
    </x:row>
    <x:row r="716" s="23" customFormat="1" ht="36" customHeight="1">
      <x:c r="A716" s="49" t="b">
        <x:v>0</x:v>
      </x:c>
      <x:c r="B716" s="56" t="str">
        <x:v>FV-0340</x:v>
      </x:c>
      <x:c r="C716" s="53" t="str">
        <x:v>Review &amp; decide — crossover / alternate universe</x:v>
      </x:c>
      <x:c r="D716" s="53" t="str">
        <x:v>DARTH REVAN vs. THE BALROG — The Dark Lord Enters Middle-earth</x:v>
      </x:c>
      <x:c r="E716" s="53" t="str"/>
      <x:c r="F716" s="53" t="str">
        <x:v>August 28, 2026</x:v>
      </x:c>
      <x:c r="G716" s="53" t="str">
        <x:v>Fan-made / non-canon</x:v>
      </x:c>
      <x:c r="H716" s="53" t="str">
        <x:v>Fan video</x:v>
      </x:c>
      <x:c r="I716" s="53" t="str">
        <x:v>YouTube — search by title</x:v>
      </x:c>
      <x:c r="J716" s="59" t="e">
        <x:f>HYPERLINK("https://www.youtube.com/results?search_query=DARTH%20REVAN%20vs.%20THE%20BALROG%20%E2%80%94%20The%20Dark%20Lord%20Enters%20Middle-earth","Search")</x:f>
        <x:v>HYPERLINK is not implemented. linkLocation=https://www.youtube.com/results?search_query=DARTH%20REVAN%20vs.%20THE%20BALROG%20%E2%80%94%20The%20Dark%20Lord%20Enters%20Middle-earth, friendlyName=Search</x:v>
      </x:c>
      <x:c r="K716" s="53" t="str">
        <x:v>Cross-franchise or cross-universe story; no principal Star Wars chronology slot.</x:v>
      </x:c>
      <x:c r="L716" s="76" t="str"/>
      <x:c r="M716" s="76" t="str">
        <x:v>DARTH REVAN vs. THE BALROG — The Dark Lord Enters Middle-earth</x:v>
      </x:c>
      <x:c r="N716" s="76" t="str">
        <x:v>Darth Revan has entered Middle-earth.
Deep beneath the ancient world, Revan comes
face-to-face with a creature of fire and shadow—the
Balrog.
No army. No backup. No retreat.
Just a purple lightsaber against an ancient monster
of flame.
DARTH REVAN vs. THE BALROG.
Two worlds collide. Only one walks away.
(@ Who wins this battle?</x:v>
      </x:c>
      <x:c r="O716" s="76" t="str">
        <x:v>Below timeline — crossover / alternate universe</x:v>
      </x:c>
      <x:c r="P716" s="76" t="str">
        <x:v>IMG_6526.PNG</x:v>
      </x:c>
      <x:c r="Q716" s="76" t="str">
        <x:v>Needs review</x:v>
      </x:c>
      <x:c r="R716" s="76" t="str">
        <x:v>High</x:v>
      </x:c>
      <x:c r="S716" s="76" t="str">
        <x:v>Cross-franchise or cross-universe story; no principal Star Wars chronology slot.</x:v>
      </x:c>
      <x:c r="T716" s="76" t="str">
        <x:v>Unique</x:v>
      </x:c>
    </x:row>
    <x:row r="717" s="23" customFormat="1" ht="36" customHeight="1">
      <x:c r="A717" s="49" t="b">
        <x:v>0</x:v>
      </x:c>
      <x:c r="B717" s="56" t="str">
        <x:v>FV-0267</x:v>
      </x:c>
      <x:c r="C717" s="53" t="str">
        <x:v>Review &amp; decide — crossover / alternate universe</x:v>
      </x:c>
      <x:c r="D717" s="53" t="str">
        <x:v>DARTH REVAN VS. THE NAZGUL — THE RIDERS CANNOT DIE</x:v>
      </x:c>
      <x:c r="E717" s="53" t="str"/>
      <x:c r="F717" s="53" t="str">
        <x:v>September 4, 2026</x:v>
      </x:c>
      <x:c r="G717" s="53" t="str">
        <x:v>Fan-made / non-canon</x:v>
      </x:c>
      <x:c r="H717" s="53" t="str">
        <x:v>Fan video</x:v>
      </x:c>
      <x:c r="I717" s="53" t="str">
        <x:v>YouTube — search by title</x:v>
      </x:c>
      <x:c r="J717" s="59" t="e">
        <x:f>HYPERLINK("https://www.youtube.com/results?search_query=DARTH%20REVAN%20VS.%20THE%20NAZGUL%20%E2%80%94%20THE%20RIDERS%20CANNOT%20DIE","Search")</x:f>
        <x:v>HYPERLINK is not implemented. linkLocation=https://www.youtube.com/results?search_query=DARTH%20REVAN%20VS.%20THE%20NAZGUL%20%E2%80%94%20THE%20RIDERS%20CANNOT%20DIE, friendlyName=Search</x:v>
      </x:c>
      <x:c r="K717" s="53" t="str">
        <x:v>Cross-franchise or cross-universe story; no principal Star Wars chronology slot.</x:v>
      </x:c>
      <x:c r="L717" s="76" t="str"/>
      <x:c r="M717" s="76" t="str">
        <x:v>DARTH REVAN VS. THE NAZGUL — THE RIDERS CANNOT DIE</x:v>
      </x:c>
      <x:c r="N717" s="76" t="str">
        <x:v>Three winged beasts descend upon Darth Revan—
but bringing one down only reveals the true horror
riding upon it. The beast was mortal. The Nazgil is
not.
As the fallen rider rises again and Sauron's fiery Eye
watches from above, Revan realizes that his
lightsaber alone cannot defeat what hunts him in
Middle-earth.
The real battle has only just begun.
How this was made
Made with Al</x:v>
      </x:c>
      <x:c r="O717" s="76" t="str">
        <x:v>Below timeline — crossover / alternate universe</x:v>
      </x:c>
      <x:c r="P717" s="76" t="str">
        <x:v>IMG_6452.PNG</x:v>
      </x:c>
      <x:c r="Q717" s="76" t="str">
        <x:v>Needs review</x:v>
      </x:c>
      <x:c r="R717" s="76" t="str">
        <x:v>High</x:v>
      </x:c>
      <x:c r="S717" s="76" t="str">
        <x:v>Cross-franchise or cross-universe story; no principal Star Wars chronology slot.</x:v>
      </x:c>
      <x:c r="T717" s="76" t="str">
        <x:v>Unique</x:v>
      </x:c>
    </x:row>
    <x:row r="718" s="23" customFormat="1" ht="36" customHeight="1">
      <x:c r="A718" s="49" t="b">
        <x:v>0</x:v>
      </x:c>
      <x:c r="B718" s="56" t="str">
        <x:v>FV-0337</x:v>
      </x:c>
      <x:c r="C718" s="53" t="str">
        <x:v>Review &amp; decide — crossover / alternate universe</x:v>
      </x:c>
      <x:c r="D718" s="53" t="str">
        <x:v>Revan in Middle-earth Ep. 3 — The Dead Don’t Fear the Force</x:v>
      </x:c>
      <x:c r="E718" s="53" t="str">
        <x:v>Ep. 3</x:v>
      </x:c>
      <x:c r="F718" s="53" t="str">
        <x:v>August 28, 2026</x:v>
      </x:c>
      <x:c r="G718" s="53" t="str">
        <x:v>Fan-made / non-canon</x:v>
      </x:c>
      <x:c r="H718" s="53" t="str">
        <x:v>Fan video</x:v>
      </x:c>
      <x:c r="I718" s="53" t="str">
        <x:v>YouTube — search by title</x:v>
      </x:c>
      <x:c r="J718" s="59" t="e">
        <x:f>HYPERLINK("https://www.youtube.com/results?search_query=Revan%20in%20Middle-earth%20Ep.%203%20%E2%80%94%20The%20Dead%20Don%E2%80%99t%20Fear%20the%20Force","Search")</x:f>
        <x:v>HYPERLINK is not implemented. linkLocation=https://www.youtube.com/results?search_query=Revan%20in%20Middle-earth%20Ep.%203%20%E2%80%94%20The%20Dead%20Don%E2%80%99t%20Fear%20the%20Force, friendlyName=Search</x:v>
      </x:c>
      <x:c r="K718" s="53" t="str">
        <x:v>Cross-franchise or cross-universe story; no principal Star Wars chronology slot.</x:v>
      </x:c>
      <x:c r="L718" s="76" t="str">
        <x:v>Revan in Middle-earth</x:v>
      </x:c>
      <x:c r="M718" s="76" t="str">
        <x:v>Revan in Middle-earth Ep. 3 — The Dead Don’t Fear the Force</x:v>
      </x:c>
      <x:c r="N718" s="76" t="str">
        <x:v>M3 Cash App: $brednew
@ PayPal: @blainehenry688
REVAN IN MIDDLE-EARTH — EPISODE 3
Revan has faced warriors, monsters, and powers
beyond imagination—but Middle-earth has
something waiting for him that neither the Force nor
a lightsaber can easily defeat.
Deep within the marsh, the dead are watching.
And when Revan realizes his usual weapons may be
useless here, he does what Revan does best...
He adapts.</x:v>
      </x:c>
      <x:c r="O718" s="76" t="str">
        <x:v>Below timeline — crossover / alternate universe</x:v>
      </x:c>
      <x:c r="P718" s="76" t="str">
        <x:v>IMG_6523.PNG</x:v>
      </x:c>
      <x:c r="Q718" s="76" t="str">
        <x:v>Needs review</x:v>
      </x:c>
      <x:c r="R718" s="76" t="str">
        <x:v>High</x:v>
      </x:c>
      <x:c r="S718" s="76" t="str">
        <x:v>Cross-franchise or cross-universe story; no principal Star Wars chronology slot.</x:v>
      </x:c>
      <x:c r="T718" s="76" t="str">
        <x:v>Unique</x:v>
      </x:c>
    </x:row>
    <x:row r="719" s="23" customFormat="1" ht="36" customHeight="1">
      <x:c r="A719" s="49" t="b">
        <x:v>0</x:v>
      </x:c>
      <x:c r="B719" s="56" t="str">
        <x:v>FV-0278</x:v>
      </x:c>
      <x:c r="C719" s="53" t="str">
        <x:v>Review &amp; decide — crossover / alternate universe</x:v>
      </x:c>
      <x:c r="D719" s="53" t="str">
        <x:v>Revan in Middle-earth: The Machine Beyond the Gate</x:v>
      </x:c>
      <x:c r="E719" s="53" t="str"/>
      <x:c r="F719" s="53" t="str">
        <x:v>September 3, 2026</x:v>
      </x:c>
      <x:c r="G719" s="53" t="str">
        <x:v>Fan-made / non-canon</x:v>
      </x:c>
      <x:c r="H719" s="53" t="str">
        <x:v>Fan video</x:v>
      </x:c>
      <x:c r="I719" s="53" t="str">
        <x:v>YouTube — search by title</x:v>
      </x:c>
      <x:c r="J719" s="59" t="e">
        <x:f>HYPERLINK("https://www.youtube.com/results?search_query=Revan%20in%20Middle-earth%3A%20The%20Machine%20Beyond%20the%20Gate","Search")</x:f>
        <x:v>HYPERLINK is not implemented. linkLocation=https://www.youtube.com/results?search_query=Revan%20in%20Middle-earth%3A%20The%20Machine%20Beyond%20the%20Gate, friendlyName=Search</x:v>
      </x:c>
      <x:c r="K719" s="53" t="str">
        <x:v>Cross-franchise or cross-universe story; no principal Star Wars chronology slot.</x:v>
      </x:c>
      <x:c r="L719" s="76" t="str">
        <x:v>Revan in Middle-earth</x:v>
      </x:c>
      <x:c r="M719" s="76" t="str">
        <x:v>Revan in Middle-earth: The Machine Beyond the Gate</x:v>
      </x:c>
      <x:c r="N719" s="76" t="str">
        <x:v>Deep within the forgotten ruins of Middle-earth,
Revan encounters something that should not exist
in this world—a mechanical Jedi carrying a blue
lightsaber. No threats. No explanations. Two
warriors from beyond this realm ignite their blades
and walk forward together. Middle-earth has just
gained a powerful new alliance.</x:v>
      </x:c>
      <x:c r="O719" s="76" t="str">
        <x:v>Below timeline — crossover / alternate universe</x:v>
      </x:c>
      <x:c r="P719" s="76" t="str">
        <x:v>IMG_6463.PNG</x:v>
      </x:c>
      <x:c r="Q719" s="76" t="str">
        <x:v>Needs review</x:v>
      </x:c>
      <x:c r="R719" s="76" t="str">
        <x:v>High</x:v>
      </x:c>
      <x:c r="S719" s="76" t="str">
        <x:v>Cross-franchise or cross-universe story; no principal Star Wars chronology slot.</x:v>
      </x:c>
      <x:c r="T719" s="76" t="str">
        <x:v>Unique</x:v>
      </x:c>
    </x:row>
    <x:row r="720" s="23" customFormat="1" ht="36" customHeight="1">
      <x:c r="A720" s="49" t="b">
        <x:v>0</x:v>
      </x:c>
      <x:c r="B720" s="56" t="str">
        <x:v>FV-0313</x:v>
      </x:c>
      <x:c r="C720" s="53" t="str">
        <x:v>Review &amp; decide — crossover / alternate universe</x:v>
      </x:c>
      <x:c r="D720" s="53" t="str">
        <x:v>The Dead Showed Revan the Way | Revan in Middle-earth</x:v>
      </x:c>
      <x:c r="E720" s="53" t="str"/>
      <x:c r="F720" s="53" t="str">
        <x:v>August 30, 2026</x:v>
      </x:c>
      <x:c r="G720" s="53" t="str">
        <x:v>Fan-made / non-canon</x:v>
      </x:c>
      <x:c r="H720" s="53" t="str">
        <x:v>Fan video</x:v>
      </x:c>
      <x:c r="I720" s="53" t="str">
        <x:v>YouTube — search by title</x:v>
      </x:c>
      <x:c r="J720" s="59" t="e">
        <x:f>HYPERLINK("https://www.youtube.com/results?search_query=The%20Dead%20Showed%20Revan%20the%20Way%20%7C%20Revan%20in%20Middle-earth","Search")</x:f>
        <x:v>HYPERLINK is not implemented. linkLocation=https://www.youtube.com/results?search_query=The%20Dead%20Showed%20Revan%20the%20Way%20%7C%20Revan%20in%20Middle-earth, friendlyName=Search</x:v>
      </x:c>
      <x:c r="K720" s="53" t="str">
        <x:v>Cross-franchise or cross-universe story; no principal Star Wars chronology slot.</x:v>
      </x:c>
      <x:c r="L720" s="76" t="str">
        <x:v>Revan in Middle-earth</x:v>
      </x:c>
      <x:c r="M720" s="76" t="str">
        <x:v>The Dead Showed Revan the Way | Revan in Middle-earth</x:v>
      </x:c>
      <x:c r="N720" s="76" t="str">
        <x:v>Revan enters a drowned kingdom where the faces
of the dead still drift above the water and colossal
stone guardians stand frozen beneath a lifeless sky.
When he kneels before an ancient engraved marker,
the past awakens. Revan witnesses a vision of the
army that once marched upon the black fortress—
and the fire that destroyed them.
As the vision fades, a hidden path rises from the
water.
The dead are not warning Revan to turn back.
They are showing him where to go.
Al Disclosure &amp; Creator Statement: This video</x:v>
      </x:c>
      <x:c r="O720" s="76" t="str">
        <x:v>Below timeline — crossover / alternate universe</x:v>
      </x:c>
      <x:c r="P720" s="76" t="str">
        <x:v>IMG_6499.PNG</x:v>
      </x:c>
      <x:c r="Q720" s="76" t="str">
        <x:v>Needs review</x:v>
      </x:c>
      <x:c r="R720" s="76" t="str">
        <x:v>High</x:v>
      </x:c>
      <x:c r="S720" s="76" t="str">
        <x:v>Cross-franchise or cross-universe story; no principal Star Wars chronology slot.</x:v>
      </x:c>
      <x:c r="T720" s="76" t="str">
        <x:v>Unique</x:v>
      </x:c>
    </x:row>
    <x:row r="721" s="23" customFormat="1" ht="36" customHeight="1">
      <x:c r="A721" s="49" t="b">
        <x:v>0</x:v>
      </x:c>
      <x:c r="B721" s="56" t="str">
        <x:v>FV-0328</x:v>
      </x:c>
      <x:c r="C721" s="53" t="str">
        <x:v>Review &amp; decide — crossover / alternate universe</x:v>
      </x:c>
      <x:c r="D721" s="53" t="str">
        <x:v>The Dragon Chose Darth Revan... Now They Fly Together AO</x:v>
      </x:c>
      <x:c r="E721" s="53" t="str"/>
      <x:c r="F721" s="53" t="str">
        <x:v>August 29, 2026</x:v>
      </x:c>
      <x:c r="G721" s="53" t="str">
        <x:v>Fan-made / non-canon</x:v>
      </x:c>
      <x:c r="H721" s="53" t="str">
        <x:v>Fan video</x:v>
      </x:c>
      <x:c r="I721" s="53" t="str">
        <x:v>YouTube — search by title</x:v>
      </x:c>
      <x:c r="J721" s="59" t="e">
        <x:f>HYPERLINK("https://www.youtube.com/results?search_query=The%20Dragon%20Chose%20Darth%20Revan...%20Now%20They%20Fly%20Together%20AO","Search")</x:f>
        <x:v>HYPERLINK is not implemented. linkLocation=https://www.youtube.com/results?search_query=The%20Dragon%20Chose%20Darth%20Revan...%20Now%20They%20Fly%20Together%20AO, friendlyName=Search</x:v>
      </x:c>
      <x:c r="K721" s="53" t="str">
        <x:v>Cross-franchise or cross-universe story; no principal Star Wars chronology slot.</x:v>
      </x:c>
      <x:c r="L721" s="76" t="str"/>
      <x:c r="M721" s="76" t="str">
        <x:v>The Dragon Chose Darth Revan... Now They Fly Together AO</x:v>
      </x:c>
      <x:c r="N721" s="76" t="str">
        <x:v>Cash App: $brednew
PayPal: @blainehenry688
Revan stood before a creature powerful enough to
destroy him.
But neither attacked.
The colossal dragon made its choice—and now
Revan has an unlikely ally in Middle-earth.
Together they soar through the mountains toward a
mysterious fortress waiting in the distance.
Their journey has only begun.
Al Disclosure &amp; Creator Statement: This video</x:v>
      </x:c>
      <x:c r="O721" s="76" t="str">
        <x:v>Below timeline — crossover / alternate universe</x:v>
      </x:c>
      <x:c r="P721" s="76" t="str">
        <x:v>IMG_6514.PNG</x:v>
      </x:c>
      <x:c r="Q721" s="76" t="str">
        <x:v>Needs review</x:v>
      </x:c>
      <x:c r="R721" s="76" t="str">
        <x:v>High</x:v>
      </x:c>
      <x:c r="S721" s="76" t="str">
        <x:v>Cross-franchise or cross-universe story; no principal Star Wars chronology slot.</x:v>
      </x:c>
      <x:c r="T721" s="76" t="str">
        <x:v>Unique</x:v>
      </x:c>
    </x:row>
    <x:row r="722" s="23" customFormat="1" ht="36" customHeight="1">
      <x:c r="A722" s="49" t="b">
        <x:v>0</x:v>
      </x:c>
      <x:c r="B722" s="56" t="str">
        <x:v>FV-0142</x:v>
      </x:c>
      <x:c r="C722" s="53" t="str">
        <x:v>Review &amp; decide — crossover / alternate universe</x:v>
      </x:c>
      <x:c r="D722" s="53" t="str">
        <x:v>The Eye of Sauron Finds Darth Revan | Revan in Middle-earth</x:v>
      </x:c>
      <x:c r="E722" s="53" t="str"/>
      <x:c r="F722" s="53" t="str">
        <x:v>September 30, 2026</x:v>
      </x:c>
      <x:c r="G722" s="53" t="str">
        <x:v>Fan-made / non-canon</x:v>
      </x:c>
      <x:c r="H722" s="53" t="str">
        <x:v>Fan video</x:v>
      </x:c>
      <x:c r="I722" s="53" t="str">
        <x:v>YouTube — search by title</x:v>
      </x:c>
      <x:c r="J722" s="59" t="e">
        <x:f>HYPERLINK("https://www.youtube.com/results?search_query=The%20Eye%20of%20Sauron%20Finds%20Darth%20Revan%20%7C%20Revan%20in%20Middle-earth","Search")</x:f>
        <x:v>HYPERLINK is not implemented. linkLocation=https://www.youtube.com/results?search_query=The%20Eye%20of%20Sauron%20Finds%20Darth%20Revan%20%7C%20Revan%20in%20Middle-earth, friendlyName=Search</x:v>
      </x:c>
      <x:c r="K722" s="53" t="str">
        <x:v>Cross-franchise or cross-universe story; no principal Star Wars chronology slot.</x:v>
      </x:c>
      <x:c r="L722" s="76" t="str">
        <x:v>Revan in Middle-earth</x:v>
      </x:c>
      <x:c r="M722" s="76" t="str">
        <x:v>The Eye of Sauron Finds Darth Revan | Revan in Middle-earth</x:v>
      </x:c>
      <x:c r="N722" s="76" t="str">
        <x:v>A dark rider charges Revan across the ash fields of
Mordor. Revan wins the fight—but high above
Barad-ddr, the Eye of Sauron has found him.
An original Star Wars x Middle-earth fan crossover.
How this was made
Made with Al
Sounds or visuals were altered or fully generated. Learn
more</x:v>
      </x:c>
      <x:c r="O722" s="76" t="str">
        <x:v>Below timeline — crossover / alternate universe</x:v>
      </x:c>
      <x:c r="P722" s="76" t="str">
        <x:v>IMG_6325.PNG</x:v>
      </x:c>
      <x:c r="Q722" s="76" t="str">
        <x:v>Needs review</x:v>
      </x:c>
      <x:c r="R722" s="76" t="str">
        <x:v>High</x:v>
      </x:c>
      <x:c r="S722" s="76" t="str">
        <x:v>Cross-franchise or cross-universe story; no principal Star Wars chronology slot.</x:v>
      </x:c>
      <x:c r="T722" s="76" t="str">
        <x:v>Unique</x:v>
      </x:c>
    </x:row>
    <x:row r="723" s="23" customFormat="1" ht="36" customHeight="1">
      <x:c r="A723" s="49" t="b">
        <x:v>0</x:v>
      </x:c>
      <x:c r="B723" s="56" t="str">
        <x:v>FV-0058</x:v>
      </x:c>
      <x:c r="C723" s="53" t="str">
        <x:v>Review &amp; decide — crossover / alternate universe</x:v>
      </x:c>
      <x:c r="D723" s="53" t="str">
        <x:v>The Widow vs. The Karate Jedi @ | Episode 1 — Keep Jumping</x:v>
      </x:c>
      <x:c r="E723" s="53" t="str">
        <x:v>Episode 1</x:v>
      </x:c>
      <x:c r="F723" s="53" t="str">
        <x:v>October 9, 2026</x:v>
      </x:c>
      <x:c r="G723" s="53" t="str">
        <x:v>Fan-made / non-canon</x:v>
      </x:c>
      <x:c r="H723" s="53" t="str">
        <x:v>Fan video</x:v>
      </x:c>
      <x:c r="I723" s="53" t="str">
        <x:v>YouTube — search by title</x:v>
      </x:c>
      <x:c r="J723" s="59" t="e">
        <x:f>HYPERLINK("https://www.youtube.com/results?search_query=The%20Widow%20vs.%20The%20Karate%20Jedi%20%40%20%7C%20Episode%201%20%E2%80%94%20Keep%20Jumping","Search")</x:f>
        <x:v>HYPERLINK is not implemented. linkLocation=https://www.youtube.com/results?search_query=The%20Widow%20vs.%20The%20Karate%20Jedi%20%40%20%7C%20Episode%201%20%E2%80%94%20Keep%20Jumping, friendlyName=Search</x:v>
      </x:c>
      <x:c r="K723" s="53" t="str">
        <x:v>Cross-franchise or cross-universe story; no principal Star Wars chronology slot.</x:v>
      </x:c>
      <x:c r="L723" s="76" t="str">
        <x:v>The Widow</x:v>
      </x:c>
      <x:c r="M723" s="76" t="str">
        <x:v>The Widow vs. The Karate Jedi @ | Episode 1 — Keep Jumping</x:v>
      </x:c>
      <x:c r="N723" s="76" t="str">
        <x:v>The Widow meets a Jedi who turns every landing
into another attack. Airborne lightsaber clashes,
spinning kicks, and relentless counters—until one
decisive move ends the duel.
Our new warrior makes his UNLEASHED debut.
What should we name him?
An original Star Wars-inspired story.
UNLEASHED™
Cash App: Link in bio.
PayPal: Link in bio.
#StarWars #Jedi #TheWidow #LightsaberDuel
#MartialArts #UNLEASHED</x:v>
      </x:c>
      <x:c r="O723" s="76" t="str">
        <x:v>Below timeline — crossover / alternate universe</x:v>
      </x:c>
      <x:c r="P723" s="76" t="str">
        <x:v>IMG_6241.PNG</x:v>
      </x:c>
      <x:c r="Q723" s="76" t="str">
        <x:v>Needs review</x:v>
      </x:c>
      <x:c r="R723" s="76" t="str">
        <x:v>High</x:v>
      </x:c>
      <x:c r="S723" s="76" t="str">
        <x:v>Cross-franchise or cross-universe story; no principal Star Wars chronology slot.</x:v>
      </x:c>
      <x:c r="T723" s="76" t="str">
        <x:v>Unique</x:v>
      </x:c>
    </x:row>
    <x:row r="724" s="23" customFormat="1" ht="36" customHeight="1">
      <x:c r="A724" s="49" t="b">
        <x:v>0</x:v>
      </x:c>
      <x:c r="B724" s="56" t="str">
        <x:v>FV-0532</x:v>
      </x:c>
      <x:c r="C724" s="53" t="str">
        <x:v>Review &amp; decide — original fan continuity</x:v>
      </x:c>
      <x:c r="D724" s="53" t="str">
        <x:v>⚔️ Shadow Was Never In The Temple</x:v>
      </x:c>
      <x:c r="E724" s="53" t="str"/>
      <x:c r="F724" s="53" t="str">
        <x:v>June 21, 2026</x:v>
      </x:c>
      <x:c r="G724" s="53" t="str">
        <x:v>Fan-made / non-canon</x:v>
      </x:c>
      <x:c r="H724" s="53" t="str">
        <x:v>Fan video</x:v>
      </x:c>
      <x:c r="I724" s="53" t="str">
        <x:v>YouTube — search by title</x:v>
      </x:c>
      <x:c r="J724" s="59" t="e">
        <x:f>HYPERLINK("https://www.youtube.com/results?search_query=%E2%9A%94%EF%B8%8F%20Shadow%20Was%20Never%20In%20The%20Temple","Search")</x:f>
        <x:v>HYPERLINK is not implemented. linkLocation=https://www.youtube.com/results?search_query=%E2%9A%94%EF%B8%8F%20Shadow%20Was%20Never%20In%20The%20Temple, friendlyName=Search</x:v>
      </x:c>
      <x:c r="K724" s="53" t="str">
        <x:v>No reliable canonical or Legends-era anchor is stated; user decision required.</x:v>
      </x:c>
      <x:c r="L724" s="76" t="str">
        <x:v>Shadow</x:v>
      </x:c>
      <x:c r="M724" s="76" t="str">
        <x:v>⚔️ Shadow Was Never In The Temple</x:v>
      </x:c>
      <x:c r="N724" s="76" t="str">
        <x:v>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
© Blaine Henry. Original creative content. All rights
reserved.
How this was made
Made with Al
Sounds or visuals were altered or fully generated. Learn</x:v>
      </x:c>
      <x:c r="O724" s="76" t="str">
        <x:v>Below timeline — original fan continuity</x:v>
      </x:c>
      <x:c r="P724" s="76" t="str">
        <x:v>IMG_6721.PNG</x:v>
      </x:c>
      <x:c r="Q724" s="76" t="str">
        <x:v>Needs review</x:v>
      </x:c>
      <x:c r="R724" s="76" t="str">
        <x:v>High</x:v>
      </x:c>
      <x:c r="S724" s="76" t="str">
        <x:v>No reliable canonical or Legends-era anchor is stated; user decision required.</x:v>
      </x:c>
      <x:c r="T724" s="76" t="str">
        <x:v>Unique</x:v>
      </x:c>
    </x:row>
    <x:row r="725" s="23" customFormat="1" ht="36" customHeight="1">
      <x:c r="A725" s="49" t="b">
        <x:v>0</x:v>
      </x:c>
      <x:c r="B725" s="56" t="str">
        <x:v>FV-0534</x:v>
      </x:c>
      <x:c r="C725" s="53" t="str">
        <x:v>Review &amp; decide — original fan continuity</x:v>
      </x:c>
      <x:c r="D725" s="53" t="str">
        <x:v>⚔️ THE ROBOT JEDI WAS GUARDING SOMETHING ⚔️</x:v>
      </x:c>
      <x:c r="E725" s="53" t="str"/>
      <x:c r="F725" s="53" t="str">
        <x:v>June 22, 2026</x:v>
      </x:c>
      <x:c r="G725" s="53" t="str">
        <x:v>Fan-made / non-canon</x:v>
      </x:c>
      <x:c r="H725" s="53" t="str">
        <x:v>Fan video</x:v>
      </x:c>
      <x:c r="I725" s="53" t="str">
        <x:v>YouTube — search by title</x:v>
      </x:c>
      <x:c r="J725" s="59" t="e">
        <x:f>HYPERLINK("https://www.youtube.com/results?search_query=%E2%9A%94%EF%B8%8F%20THE%20ROBOT%20JEDI%20WAS%20GUARDING%20SOMETHING%20%E2%9A%94%EF%B8%8F","Search")</x:f>
        <x:v>HYPERLINK is not implemented. linkLocation=https://www.youtube.com/results?search_query=%E2%9A%94%EF%B8%8F%20THE%20ROBOT%20JEDI%20WAS%20GUARDING%20SOMETHING%20%E2%9A%94%EF%B8%8F, friendlyName=Search</x:v>
      </x:c>
      <x:c r="K725" s="53" t="str">
        <x:v>No reliable canonical or Legends-era anchor is stated; user decision required.</x:v>
      </x:c>
      <x:c r="L725" s="76" t="str"/>
      <x:c r="M725" s="76" t="str">
        <x:v>⚔️ THE ROBOT JEDI WAS GUARDING SOMETHING ⚔️</x:v>
      </x:c>
      <x:c r="N725" s="76" t="str">
        <x:v>The raiders thought he was protecting an ancient
temple.
They were wrong.
An ancient Robot Jedi stands alone before a
forgotten doorway, his blue lightsaber humming
softly beneath the desert sun.
Nobody knows what lies beyond the gate.
Nobody has ever passed him.
When the invaders attack, they discover the truth:
The Robot Jedi isn't guarding the temple...</x:v>
      </x:c>
      <x:c r="O725" s="76" t="str">
        <x:v>Below timeline — original fan continuity</x:v>
      </x:c>
      <x:c r="P725" s="76" t="str">
        <x:v>IMG_6723.PNG</x:v>
      </x:c>
      <x:c r="Q725" s="76" t="str">
        <x:v>Needs review</x:v>
      </x:c>
      <x:c r="R725" s="76" t="str">
        <x:v>High</x:v>
      </x:c>
      <x:c r="S725" s="76" t="str">
        <x:v>No reliable canonical or Legends-era anchor is stated; user decision required.</x:v>
      </x:c>
      <x:c r="T725" s="76" t="str">
        <x:v>Unique</x:v>
      </x:c>
    </x:row>
    <x:row r="726" s="23" customFormat="1" ht="36" customHeight="1">
      <x:c r="A726" s="49" t="b">
        <x:v>0</x:v>
      </x:c>
      <x:c r="B726" s="56" t="str">
        <x:v>FV-0488</x:v>
      </x:c>
      <x:c r="C726" s="53" t="str">
        <x:v>Review &amp; decide — original fan continuity</x:v>
      </x:c>
      <x:c r="D726" s="53" t="str">
        <x:v>🔴 The Fallen Apprentice Hunted The Last Jedi</x:v>
      </x:c>
      <x:c r="E726" s="53" t="str"/>
      <x:c r="F726" s="53" t="str">
        <x:v>June 15, 2026</x:v>
      </x:c>
      <x:c r="G726" s="53" t="str">
        <x:v>Fan-made / non-canon</x:v>
      </x:c>
      <x:c r="H726" s="53" t="str">
        <x:v>Fan video</x:v>
      </x:c>
      <x:c r="I726" s="53" t="str">
        <x:v>YouTube — search by title</x:v>
      </x:c>
      <x:c r="J726" s="59" t="e">
        <x:f>HYPERLINK("https://www.youtube.com/results?search_query=%F0%9F%94%B4%20The%20Fallen%20Apprentice%20Hunted%20The%20Last%20Jedi","Search")</x:f>
        <x:v>HYPERLINK is not implemented. linkLocation=https://www.youtube.com/results?search_query=%F0%9F%94%B4%20The%20Fallen%20Apprentice%20Hunted%20The%20Last%20Jedi, friendlyName=Search</x:v>
      </x:c>
      <x:c r="K726" s="53" t="str">
        <x:v>No reliable canonical or Legends-era anchor is stated; user decision required.</x:v>
      </x:c>
      <x:c r="L726" s="76" t="str">
        <x:v>The Fallen Apprentice</x:v>
      </x:c>
      <x:c r="M726" s="76" t="str">
        <x:v>🔴 The Fallen Apprentice Hunted The Last Jedi</x:v>
      </x:c>
      <x:c r="N726" s="76" t="str">
        <x:v>A lone Jedi enters the ruins of a forgotten kingdom,
unaware that a ruthless Fallen Apprentice is already
waiting.
Armed with a crackling crossguard blade and
relentless determination, the dark warrior launches
a brutal assault that turns the ancient ruins into a
battlefield. Every strike hits harder. Every second
becomes more dangerous.
® Crossguard energy blade
™ Aggressive lightsaber combat
ff Ancient kingdom ruins
4 Force-speed pursuit
@ Ruthless dark warrior
Some Jedi survive the hunt. This one didn’t.</x:v>
      </x:c>
      <x:c r="O726" s="76" t="str">
        <x:v>Below timeline — original fan continuity</x:v>
      </x:c>
      <x:c r="P726" s="76" t="str">
        <x:v>IMG_6677.PNG</x:v>
      </x:c>
      <x:c r="Q726" s="76" t="str">
        <x:v>Needs review</x:v>
      </x:c>
      <x:c r="R726" s="76" t="str">
        <x:v>High</x:v>
      </x:c>
      <x:c r="S726" s="76" t="str">
        <x:v>No reliable canonical or Legends-era anchor is stated; user decision required.</x:v>
      </x:c>
      <x:c r="T726" s="76" t="str">
        <x:v>Unique</x:v>
      </x:c>
    </x:row>
    <x:row r="727" s="23" customFormat="1" ht="36" customHeight="1">
      <x:c r="A727" s="49" t="b">
        <x:v>0</x:v>
      </x:c>
      <x:c r="B727" s="56" t="str">
        <x:v>FV-0489</x:v>
      </x:c>
      <x:c r="C727" s="53" t="str">
        <x:v>Review &amp; decide — original fan continuity</x:v>
      </x:c>
      <x:c r="D727" s="53" t="str">
        <x:v>🔴 The Fallen Apprentice Never Stopped Hunting</x:v>
      </x:c>
      <x:c r="E727" s="53" t="str"/>
      <x:c r="F727" s="53" t="str">
        <x:v>June 15, 2026</x:v>
      </x:c>
      <x:c r="G727" s="53" t="str">
        <x:v>Fan-made / non-canon</x:v>
      </x:c>
      <x:c r="H727" s="53" t="str">
        <x:v>Fan video</x:v>
      </x:c>
      <x:c r="I727" s="53" t="str">
        <x:v>YouTube — search by title</x:v>
      </x:c>
      <x:c r="J727" s="59" t="e">
        <x:f>HYPERLINK("https://www.youtube.com/results?search_query=%F0%9F%94%B4%20The%20Fallen%20Apprentice%20Never%20Stopped%20Hunting","Search")</x:f>
        <x:v>HYPERLINK is not implemented. linkLocation=https://www.youtube.com/results?search_query=%F0%9F%94%B4%20The%20Fallen%20Apprentice%20Never%20Stopped%20Hunting, friendlyName=Search</x:v>
      </x:c>
      <x:c r="K727" s="53" t="str">
        <x:v>No reliable canonical or Legends-era anchor is stated; user decision required.</x:v>
      </x:c>
      <x:c r="L727" s="76" t="str">
        <x:v>The Fallen Apprentice</x:v>
      </x:c>
      <x:c r="M727" s="76" t="str">
        <x:v>🔴 The Fallen Apprentice Never Stopped Hunting</x:v>
      </x:c>
      <x:c r="N727" s="76" t="str">
        <x:v>Deep within ancient ruins lost to time, a lone Jedi
thought he was tracking a threat. Instead, the threat
was tracking him. The Fallen Apprentice emerges
from the fog with terrifying speed, turning a quiet
search into a desperate fight for survival.
Who wins when the hunter becomes the hunted?
#StarWars #Jedi #Sith #FallenApprentice
#LightsaberDuel #JediVsSith #DarkSide #Cinematic
#Shorts #Unleashed
How this was made
RAadoa with Al</x:v>
      </x:c>
      <x:c r="O727" s="76" t="str">
        <x:v>Below timeline — original fan continuity</x:v>
      </x:c>
      <x:c r="P727" s="76" t="str">
        <x:v>IMG_6678.PNG</x:v>
      </x:c>
      <x:c r="Q727" s="76" t="str">
        <x:v>Needs review</x:v>
      </x:c>
      <x:c r="R727" s="76" t="str">
        <x:v>High</x:v>
      </x:c>
      <x:c r="S727" s="76" t="str">
        <x:v>No reliable canonical or Legends-era anchor is stated; user decision required.</x:v>
      </x:c>
      <x:c r="T727" s="76" t="str">
        <x:v>Unique</x:v>
      </x:c>
    </x:row>
    <x:row r="728" s="23" customFormat="1" ht="36" customHeight="1">
      <x:c r="A728" s="49" t="b">
        <x:v>0</x:v>
      </x:c>
      <x:c r="B728" s="56" t="str">
        <x:v>FV-0506</x:v>
      </x:c>
      <x:c r="C728" s="53" t="str">
        <x:v>Review &amp; decide — original fan continuity</x:v>
      </x:c>
      <x:c r="D728" s="53" t="str">
        <x:v>4 The Emperor Finally Faced The Fallen Apprentice +</x:v>
      </x:c>
      <x:c r="E728" s="53" t="str"/>
      <x:c r="F728" s="53" t="str">
        <x:v>June 16, 2026</x:v>
      </x:c>
      <x:c r="G728" s="53" t="str">
        <x:v>Fan-made / non-canon</x:v>
      </x:c>
      <x:c r="H728" s="53" t="str">
        <x:v>Fan video</x:v>
      </x:c>
      <x:c r="I728" s="53" t="str">
        <x:v>YouTube — search by title</x:v>
      </x:c>
      <x:c r="J728" s="59" t="e">
        <x:f>HYPERLINK("https://www.youtube.com/results?search_query=4%20The%20Emperor%20Finally%20Faced%20The%20Fallen%20Apprentice%20%2B","Search")</x:f>
        <x:v>HYPERLINK is not implemented. linkLocation=https://www.youtube.com/results?search_query=4%20The%20Emperor%20Finally%20Faced%20The%20Fallen%20Apprentice%20%2B, friendlyName=Search</x:v>
      </x:c>
      <x:c r="K728" s="53" t="str">
        <x:v>No reliable canonical or Legends-era anchor is stated; user decision required.</x:v>
      </x:c>
      <x:c r="L728" s="76" t="str">
        <x:v>The Fallen Apprentice</x:v>
      </x:c>
      <x:c r="M728" s="76" t="str">
        <x:v>4 The Emperor Finally Faced The Fallen Apprentice +</x:v>
      </x:c>
      <x:c r="N728" s="76" t="str">
        <x:v>THE FALLEN APPRENTICE VS. THE EMPEROR
For years, the Fallen Apprentice hunted warriors
across forgotten kingdoms and ruined worlds.
But this time, his path leads directly to the throne
room of the Emperor himself.
Red blades ignite. Force lightning tears through the
chamber. Ancient power collides with relentless
aggression as two of the deadliest dark warriors
finally face each other.
The Fallen Apprentice has survived impossible
hunts before—but the Emperor is unlike anything he
has encountered.</x:v>
      </x:c>
      <x:c r="O728" s="76" t="str">
        <x:v>Below timeline — original fan continuity</x:v>
      </x:c>
      <x:c r="P728" s="76" t="str">
        <x:v>IMG_6695.PNG</x:v>
      </x:c>
      <x:c r="Q728" s="76" t="str">
        <x:v>Needs review</x:v>
      </x:c>
      <x:c r="R728" s="76" t="str">
        <x:v>High</x:v>
      </x:c>
      <x:c r="S728" s="76" t="str">
        <x:v>No reliable canonical or Legends-era anchor is stated; user decision required.</x:v>
      </x:c>
      <x:c r="T728" s="76" t="str">
        <x:v>Unique</x:v>
      </x:c>
    </x:row>
    <x:row r="729" s="23" customFormat="1" ht="36" customHeight="1">
      <x:c r="A729" s="49" t="b">
        <x:v>0</x:v>
      </x:c>
      <x:c r="B729" s="56" t="str">
        <x:v>FV-0521</x:v>
      </x:c>
      <x:c r="C729" s="53" t="str">
        <x:v>Review &amp; decide — original fan continuity</x:v>
      </x:c>
      <x:c r="D729" s="53" t="str">
        <x:v>Did You Hear About The Black-Clad Legend Above The Sea Of Giants?</x:v>
      </x:c>
      <x:c r="E729" s="53" t="str"/>
      <x:c r="F729" s="53" t="str">
        <x:v>June 19, 2026</x:v>
      </x:c>
      <x:c r="G729" s="53" t="str">
        <x:v>Fan-made / non-canon</x:v>
      </x:c>
      <x:c r="H729" s="53" t="str">
        <x:v>Fan video</x:v>
      </x:c>
      <x:c r="I729" s="53" t="str">
        <x:v>YouTube — search by title</x:v>
      </x:c>
      <x:c r="J729" s="59" t="e">
        <x:f>HYPERLINK("https://www.youtube.com/results?search_query=Did%20You%20Hear%20About%20The%20Black-Clad%20Legend%20Above%20The%20Sea%20Of%20Giants%3F","Search")</x:f>
        <x:v>HYPERLINK is not implemented. linkLocation=https://www.youtube.com/results?search_query=Did%20You%20Hear%20About%20The%20Black-Clad%20Legend%20Above%20The%20Sea%20Of%20Giants%3F, friendlyName=Search</x:v>
      </x:c>
      <x:c r="K729" s="53" t="str">
        <x:v>No reliable canonical or Legends-era anchor is stated; user decision required.</x:v>
      </x:c>
      <x:c r="L729" s="76" t="str"/>
      <x:c r="M729" s="76" t="str">
        <x:v>Did You Hear About The Black-Clad Legend Above The Sea Of Giants?</x:v>
      </x:c>
      <x:c r="N729" s="76" t="str">
        <x:v>Beyond the known worlds lies the Sea of Giants, a
place where ancient creatures rule the endless
ocean.
Sailors tell stories of a colossal beast that rises from
the depths, powerful enough to shatter stone and
swallow entire ships.
Most believe the stories are legends.
Until the Black-Clad Legend arrived.
Dressed entirely in black, silent as the wind, he
stood above the sea as the ancient monster erupted
from the water below.
The beast attacked.</x:v>
      </x:c>
      <x:c r="O729" s="76" t="str">
        <x:v>Below timeline — original fan continuity</x:v>
      </x:c>
      <x:c r="P729" s="76" t="str">
        <x:v>IMG_6710.PNG</x:v>
      </x:c>
      <x:c r="Q729" s="76" t="str">
        <x:v>Needs review</x:v>
      </x:c>
      <x:c r="R729" s="76" t="str">
        <x:v>High</x:v>
      </x:c>
      <x:c r="S729" s="76" t="str">
        <x:v>No reliable canonical or Legends-era anchor is stated; user decision required.</x:v>
      </x:c>
      <x:c r="T729" s="76" t="str">
        <x:v>Unique</x:v>
      </x:c>
    </x:row>
    <x:row r="730" s="23" customFormat="1" ht="36" customHeight="1">
      <x:c r="A730" s="49" t="b">
        <x:v>0</x:v>
      </x:c>
      <x:c r="B730" s="56" t="str">
        <x:v>FV-0520</x:v>
      </x:c>
      <x:c r="C730" s="53" t="str">
        <x:v>Review &amp; decide — original fan continuity</x:v>
      </x:c>
      <x:c r="D730" s="53" t="str">
        <x:v>Did You Hear About The Black-Clad Legend In The Swamp?</x:v>
      </x:c>
      <x:c r="E730" s="53" t="str"/>
      <x:c r="F730" s="53" t="str">
        <x:v>June 19, 2026</x:v>
      </x:c>
      <x:c r="G730" s="53" t="str">
        <x:v>Fan-made / non-canon</x:v>
      </x:c>
      <x:c r="H730" s="53" t="str">
        <x:v>Fan video</x:v>
      </x:c>
      <x:c r="I730" s="53" t="str">
        <x:v>YouTube — search by title</x:v>
      </x:c>
      <x:c r="J730" s="59" t="e">
        <x:f>HYPERLINK("https://www.youtube.com/results?search_query=Did%20You%20Hear%20About%20The%20Black-Clad%20Legend%20In%20The%20Swamp%3F","Search")</x:f>
        <x:v>HYPERLINK is not implemented. linkLocation=https://www.youtube.com/results?search_query=Did%20You%20Hear%20About%20The%20Black-Clad%20Legend%20In%20The%20Swamp%3F, friendlyName=Search</x:v>
      </x:c>
      <x:c r="K730" s="53" t="str">
        <x:v>No reliable canonical or Legends-era anchor is stated; user decision required.</x:v>
      </x:c>
      <x:c r="L730" s="76" t="str"/>
      <x:c r="M730" s="76" t="str">
        <x:v>Did You Hear About The Black-Clad Legend In The Swamp?</x:v>
      </x:c>
      <x:c r="N730" s="76" t="str">
        <x:v>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
© Blaine Henry. Original creative content. All rights
reserved.
How this was made
Made with Al
Sounds or visuals were altered or fully generated. Learn</x:v>
      </x:c>
      <x:c r="O730" s="76" t="str">
        <x:v>Below timeline — original fan continuity</x:v>
      </x:c>
      <x:c r="P730" s="76" t="str">
        <x:v>IMG_6709.PNG</x:v>
      </x:c>
      <x:c r="Q730" s="76" t="str">
        <x:v>Needs review</x:v>
      </x:c>
      <x:c r="R730" s="76" t="str">
        <x:v>High</x:v>
      </x:c>
      <x:c r="S730" s="76" t="str">
        <x:v>No reliable canonical or Legends-era anchor is stated; user decision required.</x:v>
      </x:c>
      <x:c r="T730" s="76" t="str">
        <x:v>Unique</x:v>
      </x:c>
    </x:row>
    <x:row r="731" s="23" customFormat="1" ht="36" customHeight="1">
      <x:c r="A731" s="49" t="b">
        <x:v>0</x:v>
      </x:c>
      <x:c r="B731" s="56" t="str">
        <x:v>FV-0519</x:v>
      </x:c>
      <x:c r="C731" s="53" t="str">
        <x:v>Review &amp; decide — original fan continuity</x:v>
      </x:c>
      <x:c r="D731" s="53" t="str">
        <x:v>Did You Hear About The Black-Clad Legend?</x:v>
      </x:c>
      <x:c r="E731" s="53" t="str"/>
      <x:c r="F731" s="53" t="str">
        <x:v>June 19, 2026</x:v>
      </x:c>
      <x:c r="G731" s="53" t="str">
        <x:v>Fan-made / non-canon</x:v>
      </x:c>
      <x:c r="H731" s="53" t="str">
        <x:v>Fan video</x:v>
      </x:c>
      <x:c r="I731" s="53" t="str">
        <x:v>YouTube — search by title</x:v>
      </x:c>
      <x:c r="J731" s="59" t="e">
        <x:f>HYPERLINK("https://www.youtube.com/results?search_query=Did%20You%20Hear%20About%20The%20Black-Clad%20Legend%3F","Search")</x:f>
        <x:v>HYPERLINK is not implemented. linkLocation=https://www.youtube.com/results?search_query=Did%20You%20Hear%20About%20The%20Black-Clad%20Legend%3F, friendlyName=Search</x:v>
      </x:c>
      <x:c r="K731" s="53" t="str">
        <x:v>No reliable canonical or Legends-era anchor is stated; user decision required.</x:v>
      </x:c>
      <x:c r="L731" s="76" t="str"/>
      <x:c r="M731" s="76" t="str">
        <x:v>Did You Hear About The Black-Clad Legend?</x:v>
      </x:c>
      <x:c r="N731" s="76" t="str">
        <x:v>Shadow descends silently from the side of a
towering structure, suspended above the city
below.
But before reaching the ground, he VANISHES.
An instant later, Shadow materializes behind his
enemy with his blue lightsaber already in motion.
The villain never sees him coming.
A supernatural Jedi strike from the shadows.
© ORIGINAL Al CINEMATIC CREATION
This video was created specifically for Unleashed
from an original story concept and creative
direction. | develop the story and prompts, generate
the original Al video sequences, select the footage,</x:v>
      </x:c>
      <x:c r="O731" s="76" t="str">
        <x:v>Below timeline — original fan continuity</x:v>
      </x:c>
      <x:c r="P731" s="76" t="str">
        <x:v>IMG_6708.PNG</x:v>
      </x:c>
      <x:c r="Q731" s="76" t="str">
        <x:v>Needs review</x:v>
      </x:c>
      <x:c r="R731" s="76" t="str">
        <x:v>High</x:v>
      </x:c>
      <x:c r="S731" s="76" t="str">
        <x:v>No reliable canonical or Legends-era anchor is stated; user decision required.</x:v>
      </x:c>
      <x:c r="T731" s="76" t="str">
        <x:v>Unique</x:v>
      </x:c>
    </x:row>
    <x:row r="732" s="23" customFormat="1" ht="36" customHeight="1">
      <x:c r="A732" s="49" t="b">
        <x:v>0</x:v>
      </x:c>
      <x:c r="B732" s="56" t="str">
        <x:v>FV-0538</x:v>
      </x:c>
      <x:c r="C732" s="53" t="str">
        <x:v>Review &amp; decide — original fan continuity</x:v>
      </x:c>
      <x:c r="D732" s="53" t="str">
        <x:v>Forge Jedi: The Last Forge | Full 3 Minute Movie</x:v>
      </x:c>
      <x:c r="E732" s="53" t="str"/>
      <x:c r="F732" s="53" t="str">
        <x:v>June 23, 2026</x:v>
      </x:c>
      <x:c r="G732" s="53" t="str">
        <x:v>Fan-made / non-canon</x:v>
      </x:c>
      <x:c r="H732" s="53" t="str">
        <x:v>Fan video</x:v>
      </x:c>
      <x:c r="I732" s="53" t="str">
        <x:v>YouTube — search by title</x:v>
      </x:c>
      <x:c r="J732" s="59" t="e">
        <x:f>HYPERLINK("https://www.youtube.com/results?search_query=Forge%20Jedi%3A%20The%20Last%20Forge%20%7C%20Full%203%20Minute%20Movie","Search")</x:f>
        <x:v>HYPERLINK is not implemented. linkLocation=https://www.youtube.com/results?search_query=Forge%20Jedi%3A%20The%20Last%20Forge%20%7C%20Full%203%20Minute%20Movie, friendlyName=Search</x:v>
      </x:c>
      <x:c r="K732" s="53" t="str">
        <x:v>No reliable canonical or Legends-era anchor is stated; user decision required.</x:v>
      </x:c>
      <x:c r="L732" s="76" t="str"/>
      <x:c r="M732" s="76" t="str">
        <x:v>Forge Jedi: The Last Forge | Full 3 Minute Movie</x:v>
      </x:c>
      <x:c r="N732" s="76" t="str">
        <x:v>@ Support the channel:
https://buymeacoffee.com/bdhenry091w
How this was made
Made with Al
Sounds or visuals were altered or fully generated. Learn
more</x:v>
      </x:c>
      <x:c r="O732" s="76" t="str">
        <x:v>Below timeline — original fan continuity</x:v>
      </x:c>
      <x:c r="P732" s="76" t="str">
        <x:v>IMG_6727.PNG</x:v>
      </x:c>
      <x:c r="Q732" s="76" t="str">
        <x:v>Needs review</x:v>
      </x:c>
      <x:c r="R732" s="76" t="str">
        <x:v>High</x:v>
      </x:c>
      <x:c r="S732" s="76" t="str">
        <x:v>No reliable canonical or Legends-era anchor is stated; user decision required.</x:v>
      </x:c>
      <x:c r="T732" s="76" t="str">
        <x:v>Unique</x:v>
      </x:c>
    </x:row>
    <x:row r="733" s="23" customFormat="1" ht="36" customHeight="1">
      <x:c r="A733" s="49" t="b">
        <x:v>0</x:v>
      </x:c>
      <x:c r="B733" s="56" t="str">
        <x:v>FV-0396</x:v>
      </x:c>
      <x:c r="C733" s="53" t="str">
        <x:v>Review &amp; decide — original fan continuity</x:v>
      </x:c>
      <x:c r="D733" s="53" t="str">
        <x:v>Gears &amp; the Frontier Jedi — High-Speed Pursuit</x:v>
      </x:c>
      <x:c r="E733" s="53" t="str"/>
      <x:c r="F733" s="53" t="str">
        <x:v>August 22, 2026</x:v>
      </x:c>
      <x:c r="G733" s="53" t="str">
        <x:v>Fan-made / non-canon</x:v>
      </x:c>
      <x:c r="H733" s="53" t="str">
        <x:v>Fan video</x:v>
      </x:c>
      <x:c r="I733" s="53" t="str">
        <x:v>YouTube — search by title</x:v>
      </x:c>
      <x:c r="J733" s="59" t="e">
        <x:f>HYPERLINK("https://www.youtube.com/results?search_query=Gears%20%26%20the%20Frontier%20Jedi%20%E2%80%94%20High-Speed%20Pursuit","Search")</x:f>
        <x:v>HYPERLINK is not implemented. linkLocation=https://www.youtube.com/results?search_query=Gears%20%26%20the%20Frontier%20Jedi%20%E2%80%94%20High-Speed%20Pursuit, friendlyName=Search</x:v>
      </x:c>
      <x:c r="K733" s="53" t="str">
        <x:v>No reliable canonical or Legends-era anchor is stated; user decision required.</x:v>
      </x:c>
      <x:c r="L733" s="76" t="str"/>
      <x:c r="M733" s="76" t="str">
        <x:v>Gears &amp; the Frontier Jedi — High-Speed Pursuit</x:v>
      </x:c>
      <x:c r="N733" s="76" t="str">
        <x:v>M3 SUPPORT THE CHANNEL
Cash App: $brednew
PayPal: @blainehenry688
The Huntress races across the top of a speeding
train with her blue and green lightsabers blazing.
With danger closing in and nowhere to retreat, she
has only one choice — keep moving and fight her
way through.
One wrong move and it's over.
#TheHuntress #Lightsaber #Jedi #StarWars
#Cinematic
© 2026 Blaine Henrv / Unleashed Media. All rights</x:v>
      </x:c>
      <x:c r="O733" s="76" t="str">
        <x:v>Below timeline — original fan continuity</x:v>
      </x:c>
      <x:c r="P733" s="76" t="str">
        <x:v>IMG_6582.PNG</x:v>
      </x:c>
      <x:c r="Q733" s="76" t="str">
        <x:v>Needs review</x:v>
      </x:c>
      <x:c r="R733" s="76" t="str">
        <x:v>High</x:v>
      </x:c>
      <x:c r="S733" s="76" t="str">
        <x:v>No reliable canonical or Legends-era anchor is stated; user decision required.</x:v>
      </x:c>
      <x:c r="T733" s="76" t="str">
        <x:v>Unique</x:v>
      </x:c>
    </x:row>
    <x:row r="734" s="23" customFormat="1" ht="36" customHeight="1">
      <x:c r="A734" s="49" t="b">
        <x:v>0</x:v>
      </x:c>
      <x:c r="B734" s="56" t="str">
        <x:v>FV-0384</x:v>
      </x:c>
      <x:c r="C734" s="53" t="str">
        <x:v>Review &amp; decide — original fan continuity</x:v>
      </x:c>
      <x:c r="D734" s="53" t="str">
        <x:v>Kael Vorren: EMBER STEP | He Moves Before You Fire</x:v>
      </x:c>
      <x:c r="E734" s="53" t="str"/>
      <x:c r="F734" s="53" t="str">
        <x:v>August 23, 2026</x:v>
      </x:c>
      <x:c r="G734" s="53" t="str">
        <x:v>Fan-made / non-canon</x:v>
      </x:c>
      <x:c r="H734" s="53" t="str">
        <x:v>Fan video</x:v>
      </x:c>
      <x:c r="I734" s="53" t="str">
        <x:v>YouTube — search by title</x:v>
      </x:c>
      <x:c r="J734" s="59" t="e">
        <x:f>HYPERLINK("https://www.youtube.com/results?search_query=Kael%20Vorren%3A%20EMBER%20STEP%20%7C%20He%20Moves%20Before%20You%20Fire","Search")</x:f>
        <x:v>HYPERLINK is not implemented. linkLocation=https://www.youtube.com/results?search_query=Kael%20Vorren%3A%20EMBER%20STEP%20%7C%20He%20Moves%20Before%20You%20Fire, friendlyName=Search</x:v>
      </x:c>
      <x:c r="K734" s="53" t="str">
        <x:v>No reliable canonical or Legends-era anchor is stated; user decision required.</x:v>
      </x:c>
      <x:c r="L734" s="76" t="str"/>
      <x:c r="M734" s="76" t="str">
        <x:v>Kael Vorren: EMBER STEP | He Moves Before You Fire</x:v>
      </x:c>
      <x:c r="N734" s="76"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734" s="76" t="str">
        <x:v>Below timeline — original fan continuity</x:v>
      </x:c>
      <x:c r="P734" s="76" t="str">
        <x:v>IMG_6570.PNG</x:v>
      </x:c>
      <x:c r="Q734" s="76" t="str">
        <x:v>Needs review</x:v>
      </x:c>
      <x:c r="R734" s="76" t="str">
        <x:v>High</x:v>
      </x:c>
      <x:c r="S734" s="76" t="str">
        <x:v>No reliable canonical or Legends-era anchor is stated; user decision required.</x:v>
      </x:c>
      <x:c r="T734" s="76" t="str">
        <x:v>Unique</x:v>
      </x:c>
    </x:row>
    <x:row r="735" s="23" customFormat="1" ht="36" customHeight="1">
      <x:c r="A735" s="49" t="b">
        <x:v>0</x:v>
      </x:c>
      <x:c r="B735" s="56" t="str">
        <x:v>FV-0385</x:v>
      </x:c>
      <x:c r="C735" s="53" t="str">
        <x:v>Review &amp; decide — original fan continuity</x:v>
      </x:c>
      <x:c r="D735" s="53" t="str">
        <x:v>KAEL VORREN: The Ember Jedi | A New Path Begins</x:v>
      </x:c>
      <x:c r="E735" s="53" t="str"/>
      <x:c r="F735" s="53" t="str">
        <x:v>August 23, 2026</x:v>
      </x:c>
      <x:c r="G735" s="53" t="str">
        <x:v>Fan-made / non-canon</x:v>
      </x:c>
      <x:c r="H735" s="53" t="str">
        <x:v>Fan video</x:v>
      </x:c>
      <x:c r="I735" s="53" t="str">
        <x:v>YouTube — search by title</x:v>
      </x:c>
      <x:c r="J735" s="59" t="e">
        <x:f>HYPERLINK("https://www.youtube.com/results?search_query=KAEL%20VORREN%3A%20The%20Ember%20Jedi%20%7C%20A%20New%20Path%20Begins","Search")</x:f>
        <x:v>HYPERLINK is not implemented. linkLocation=https://www.youtube.com/results?search_query=KAEL%20VORREN%3A%20The%20Ember%20Jedi%20%7C%20A%20New%20Path%20Begins, friendlyName=Search</x:v>
      </x:c>
      <x:c r="K735" s="53" t="str">
        <x:v>No reliable canonical or Legends-era anchor is stated; user decision required.</x:v>
      </x:c>
      <x:c r="L735" s="76" t="str"/>
      <x:c r="M735" s="76" t="str">
        <x:v>KAEL VORREN: The Ember Jedi | A New Path Begins</x:v>
      </x:c>
      <x:c r="N735" s="76"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735" s="76" t="str">
        <x:v>Below timeline — original fan continuity</x:v>
      </x:c>
      <x:c r="P735" s="76" t="str">
        <x:v>IMG_6571.PNG</x:v>
      </x:c>
      <x:c r="Q735" s="76" t="str">
        <x:v>Needs review</x:v>
      </x:c>
      <x:c r="R735" s="76" t="str">
        <x:v>High</x:v>
      </x:c>
      <x:c r="S735" s="76" t="str">
        <x:v>No reliable canonical or Legends-era anchor is stated; user decision required.</x:v>
      </x:c>
      <x:c r="T735" s="76" t="str">
        <x:v>Unique</x:v>
      </x:c>
    </x:row>
    <x:row r="736" s="23" customFormat="1" ht="36" customHeight="1">
      <x:c r="A736" s="49" t="b">
        <x:v>0</x:v>
      </x:c>
      <x:c r="B736" s="56" t="str">
        <x:v>FV-0571</x:v>
      </x:c>
      <x:c r="C736" s="53" t="str">
        <x:v>Review &amp; decide — original fan continuity</x:v>
      </x:c>
      <x:c r="D736" s="53" t="str">
        <x:v>Lord Vaelkor Walked Into the Battle... and Everything Changed ⚔️🔥</x:v>
      </x:c>
      <x:c r="E736" s="53" t="str"/>
      <x:c r="F736" s="53" t="str">
        <x:v>August 22, 2026</x:v>
      </x:c>
      <x:c r="G736" s="53" t="str">
        <x:v>Fan-made / non-canon</x:v>
      </x:c>
      <x:c r="H736" s="53" t="str">
        <x:v>Fan video</x:v>
      </x:c>
      <x:c r="I736" s="53" t="str">
        <x:v>YouTube — search by title</x:v>
      </x:c>
      <x:c r="J736" s="59" t="e">
        <x:f>HYPERLINK("https://www.youtube.com/results?search_query=Lord%20Vaelkor%20Walked%20Into%20the%20Battle...%20and%20Everything%20Changed%20%E2%9A%94%EF%B8%8F%F0%9F%94%A5","Search")</x:f>
        <x:v>HYPERLINK is not implemented. linkLocation=https://www.youtube.com/results?search_query=Lord%20Vaelkor%20Walked%20Into%20the%20Battle...%20and%20Everything%20Changed%20%E2%9A%94%EF%B8%8F%F0%9F%94%A5, friendlyName=Search</x:v>
      </x:c>
      <x:c r="K736" s="53" t="str">
        <x:v>No reliable canonical or Legends-era anchor is stated; user decision required.</x:v>
      </x:c>
      <x:c r="L736" s="76" t="str"/>
      <x:c r="M736" s="76" t="str">
        <x:v>Lord Vaelkor Walked Into the Battle... and Everything Changed ⚔️🔥</x:v>
      </x:c>
      <x:c r="N736" s="76"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736" s="76" t="str">
        <x:v>Below timeline — original fan continuity</x:v>
      </x:c>
      <x:c r="P736" s="76" t="str">
        <x:v>IMG_6761.PNG</x:v>
      </x:c>
      <x:c r="Q736" s="76" t="str">
        <x:v>Needs review</x:v>
      </x:c>
      <x:c r="R736" s="76" t="str">
        <x:v>High</x:v>
      </x:c>
      <x:c r="S736" s="76" t="str">
        <x:v>No reliable canonical or Legends-era anchor is stated; user decision required.</x:v>
      </x:c>
      <x:c r="T736" s="76" t="str">
        <x:v>Unique</x:v>
      </x:c>
    </x:row>
    <x:row r="737" s="23" customFormat="1" ht="36" customHeight="1">
      <x:c r="A737" s="49" t="b">
        <x:v>0</x:v>
      </x:c>
      <x:c r="B737" s="56" t="str">
        <x:v>FV-0398</x:v>
      </x:c>
      <x:c r="C737" s="53" t="str">
        <x:v>Review &amp; decide — original fan continuity</x:v>
      </x:c>
      <x:c r="D737" s="53" t="str">
        <x:v>Master Zuri Stands Her Ground</x:v>
      </x:c>
      <x:c r="E737" s="53" t="str"/>
      <x:c r="F737" s="53" t="str">
        <x:v>August 22, 2026</x:v>
      </x:c>
      <x:c r="G737" s="53" t="str">
        <x:v>Fan-made / non-canon</x:v>
      </x:c>
      <x:c r="H737" s="53" t="str">
        <x:v>Fan video</x:v>
      </x:c>
      <x:c r="I737" s="53" t="str">
        <x:v>YouTube — search by title</x:v>
      </x:c>
      <x:c r="J737" s="59" t="e">
        <x:f>HYPERLINK("https://www.youtube.com/results?search_query=Master%20Zuri%20Stands%20Her%20Ground","Search")</x:f>
        <x:v>HYPERLINK is not implemented. linkLocation=https://www.youtube.com/results?search_query=Master%20Zuri%20Stands%20Her%20Ground, friendlyName=Search</x:v>
      </x:c>
      <x:c r="K737" s="53" t="str">
        <x:v>No reliable canonical or Legends-era anchor is stated; user decision required.</x:v>
      </x:c>
      <x:c r="L737" s="76" t="str"/>
      <x:c r="M737" s="76" t="str">
        <x:v>Master Zuri Stands Her Ground</x:v>
      </x:c>
      <x:c r="N737" s="76" t="str">
        <x:v>i Cash App: $brednew
© PayPal: @blainehenry688
The battle is already raging—but Master Zuri
refuses to move.
Surrounded by chaos, she faces the threat head-on.
One gesture. One blue blade. No fear.
When the Master arrives, the battlefield changes.
#MasterZuri #Jedi #Lightsaber #StarWars
#Cinematic
How this was made</x:v>
      </x:c>
      <x:c r="O737" s="76" t="str">
        <x:v>Below timeline — original fan continuity</x:v>
      </x:c>
      <x:c r="P737" s="76" t="str">
        <x:v>IMG_6584.PNG, IMG_6768.PNG</x:v>
      </x:c>
      <x:c r="Q737" s="76" t="str">
        <x:v>Needs review</x:v>
      </x:c>
      <x:c r="R737" s="76" t="str">
        <x:v>High</x:v>
      </x:c>
      <x:c r="S737" s="76" t="str">
        <x:v>No reliable canonical or Legends-era anchor is stated; user decision required.</x:v>
      </x:c>
      <x:c r="T737" s="76" t="str">
        <x:v>Primary — DUP-005</x:v>
      </x:c>
    </x:row>
    <x:row r="738" s="23" customFormat="1" ht="36" customHeight="1">
      <x:c r="A738" s="49" t="b">
        <x:v>0</x:v>
      </x:c>
      <x:c r="B738" s="56" t="str">
        <x:v>FV-0566</x:v>
      </x:c>
      <x:c r="C738" s="53" t="str">
        <x:v>Review &amp; decide — original fan continuity</x:v>
      </x:c>
      <x:c r="D738" s="53" t="str">
        <x:v>Master Zuri Stood Her Ground * @</x:v>
      </x:c>
      <x:c r="E738" s="53" t="str"/>
      <x:c r="F738" s="53" t="str">
        <x:v>August 21, 2026</x:v>
      </x:c>
      <x:c r="G738" s="53" t="str">
        <x:v>Fan-made / non-canon</x:v>
      </x:c>
      <x:c r="H738" s="53" t="str">
        <x:v>Fan video</x:v>
      </x:c>
      <x:c r="I738" s="53" t="str">
        <x:v>YouTube — search by title</x:v>
      </x:c>
      <x:c r="J738" s="59" t="e">
        <x:f>HYPERLINK("https://www.youtube.com/results?search_query=Master%20Zuri%20Stood%20Her%20Ground%20*%20%40","Search")</x:f>
        <x:v>HYPERLINK is not implemented. linkLocation=https://www.youtube.com/results?search_query=Master%20Zuri%20Stood%20Her%20Ground%20*%20%40, friendlyName=Search</x:v>
      </x:c>
      <x:c r="K738" s="53" t="str">
        <x:v>No reliable canonical or Legends-era anchor is stated; user decision required.</x:v>
      </x:c>
      <x:c r="L738" s="76" t="str"/>
      <x:c r="M738" s="76" t="str">
        <x:v>Master Zuri Stood Her Ground * @</x:v>
      </x:c>
      <x:c r="N738" s="76" t="str">
        <x:v>MJ Cash App: $brednew
© PayPal: @blainehenry688
MASTER ZURI ¥
Everyone else is running.
Master Zuri stays.
As chaos tears through the city and an armored
enemy closes in, she stands alone between the
threat and everyone trying to escape.
A Jedi Master doesn't need to be the loudest
person on the battlefield.
Sometimes she just needs to be the one who
refuses to move.</x:v>
      </x:c>
      <x:c r="O738" s="76" t="str">
        <x:v>Below timeline — original fan continuity</x:v>
      </x:c>
      <x:c r="P738" s="76" t="str">
        <x:v>IMG_6756.PNG</x:v>
      </x:c>
      <x:c r="Q738" s="76" t="str">
        <x:v>Needs review</x:v>
      </x:c>
      <x:c r="R738" s="76" t="str">
        <x:v>High</x:v>
      </x:c>
      <x:c r="S738" s="76" t="str">
        <x:v>No reliable canonical or Legends-era anchor is stated; user decision required.</x:v>
      </x:c>
      <x:c r="T738" s="76" t="str">
        <x:v>Unique</x:v>
      </x:c>
    </x:row>
    <x:row r="739" s="23" customFormat="1" ht="36" customHeight="1">
      <x:c r="A739" s="49" t="b">
        <x:v>0</x:v>
      </x:c>
      <x:c r="B739" s="56" t="str">
        <x:v>FV-0525</x:v>
      </x:c>
      <x:c r="C739" s="53" t="str">
        <x:v>Review &amp; decide — original fan continuity</x:v>
      </x:c>
      <x:c r="D739" s="53" t="str">
        <x:v>Nobody Knew His Name | Shadow: Part 1</x:v>
      </x:c>
      <x:c r="E739" s="53" t="str">
        <x:v>Part 1</x:v>
      </x:c>
      <x:c r="F739" s="53" t="str">
        <x:v>June 20, 2026</x:v>
      </x:c>
      <x:c r="G739" s="53" t="str">
        <x:v>Fan-made / non-canon</x:v>
      </x:c>
      <x:c r="H739" s="53" t="str">
        <x:v>Fan video</x:v>
      </x:c>
      <x:c r="I739" s="53" t="str">
        <x:v>YouTube — search by title</x:v>
      </x:c>
      <x:c r="J739" s="59" t="e">
        <x:f>HYPERLINK("https://www.youtube.com/results?search_query=Nobody%20Knew%20His%20Name%20%7C%20Shadow%3A%20Part%201","Search")</x:f>
        <x:v>HYPERLINK is not implemented. linkLocation=https://www.youtube.com/results?search_query=Nobody%20Knew%20His%20Name%20%7C%20Shadow%3A%20Part%201, friendlyName=Search</x:v>
      </x:c>
      <x:c r="K739" s="53" t="str">
        <x:v>No reliable canonical or Legends-era anchor is stated; user decision required.</x:v>
      </x:c>
      <x:c r="L739" s="76" t="str">
        <x:v>Shadow</x:v>
      </x:c>
      <x:c r="M739" s="76" t="str">
        <x:v>Nobody Knew His Name | Shadow: Part 1</x:v>
      </x:c>
      <x:c r="N739" s="76" t="str">
        <x:v>Before the stories.
Before the legends.
Before anyone called him the Black-Clad Legend.
There was only a mysterious figure dressed in
black, wandering forgotten kingdoms above the
clouds.
No records existed.
No master claimed him.
No one knew where he came from.
Then one day, travelers witnessed something
impossible.</x:v>
      </x:c>
      <x:c r="O739" s="76" t="str">
        <x:v>Below timeline — original fan continuity</x:v>
      </x:c>
      <x:c r="P739" s="76" t="str">
        <x:v>IMG_6714.PNG</x:v>
      </x:c>
      <x:c r="Q739" s="76" t="str">
        <x:v>Needs review</x:v>
      </x:c>
      <x:c r="R739" s="76" t="str">
        <x:v>High</x:v>
      </x:c>
      <x:c r="S739" s="76" t="str">
        <x:v>No reliable canonical or Legends-era anchor is stated; user decision required.</x:v>
      </x:c>
      <x:c r="T739" s="76" t="str">
        <x:v>Unique</x:v>
      </x:c>
    </x:row>
    <x:row r="740" s="23" customFormat="1" ht="36" customHeight="1">
      <x:c r="A740" s="49" t="b">
        <x:v>0</x:v>
      </x:c>
      <x:c r="B740" s="56" t="str">
        <x:v>FV-0547</x:v>
      </x:c>
      <x:c r="C740" s="53" t="str">
        <x:v>Review &amp; decide — original fan continuity</x:v>
      </x:c>
      <x:c r="D740" s="53" t="str">
        <x:v>Robot Jedi — Built for the Impossible | Cinematic Adventure</x:v>
      </x:c>
      <x:c r="E740" s="53" t="str"/>
      <x:c r="F740" s="53" t="str">
        <x:v>August 20, 2026</x:v>
      </x:c>
      <x:c r="G740" s="53" t="str">
        <x:v>Fan-made / non-canon</x:v>
      </x:c>
      <x:c r="H740" s="53" t="str">
        <x:v>Fan video</x:v>
      </x:c>
      <x:c r="I740" s="53" t="str">
        <x:v>YouTube — search by title</x:v>
      </x:c>
      <x:c r="J740" s="59" t="e">
        <x:f>HYPERLINK("https://www.youtube.com/results?search_query=Robot%20Jedi%20%E2%80%94%20Built%20for%20the%20Impossible%20%7C%20Cinematic%20Adventure","Search")</x:f>
        <x:v>HYPERLINK is not implemented. linkLocation=https://www.youtube.com/results?search_query=Robot%20Jedi%20%E2%80%94%20Built%20for%20the%20Impossible%20%7C%20Cinematic%20Adventure, friendlyName=Search</x:v>
      </x:c>
      <x:c r="K740" s="53" t="str">
        <x:v>No reliable canonical or Legends-era anchor is stated; user decision required.</x:v>
      </x:c>
      <x:c r="L740" s="76" t="str"/>
      <x:c r="M740" s="76" t="str">
        <x:v>Robot Jedi — Built for the Impossible | Cinematic Adventure</x:v>
      </x:c>
      <x:c r="N740" s="76" t="str">
        <x:v>8 PayPal.Me: paypal.me/blainehenry688
§3 Cash App: $brednew
Even 5¢, 10¢, 25¢, or $1 helps support the
cinematic universe and keeps these original stories
coming. Every view, share, comment, and
contribution helps.
@ &amp; ROBOT JEDI
Built differently. Trained differently. And when the
situation turns dangerous, this Jedi has abilities no
ordinary warrior can match.
The Robot Jedi returns in another cinematic
adventure, combining mechanical precision, Jedi
instincts, and the kind of unconventional moves that</x:v>
      </x:c>
      <x:c r="O740" s="76" t="str">
        <x:v>Below timeline — original fan continuity</x:v>
      </x:c>
      <x:c r="P740" s="76" t="str">
        <x:v>IMG_6737.PNG</x:v>
      </x:c>
      <x:c r="Q740" s="76" t="str">
        <x:v>Needs review</x:v>
      </x:c>
      <x:c r="R740" s="76" t="str">
        <x:v>High</x:v>
      </x:c>
      <x:c r="S740" s="76" t="str">
        <x:v>No reliable canonical or Legends-era anchor is stated; user decision required.</x:v>
      </x:c>
      <x:c r="T740" s="76" t="str">
        <x:v>Unique</x:v>
      </x:c>
    </x:row>
    <x:row r="741" s="23" customFormat="1" ht="36" customHeight="1">
      <x:c r="A741" s="49" t="b">
        <x:v>0</x:v>
      </x:c>
      <x:c r="B741" s="56" t="str">
        <x:v>FV-0120</x:v>
      </x:c>
      <x:c r="C741" s="53" t="str">
        <x:v>Review &amp; decide — original fan continuity</x:v>
      </x:c>
      <x:c r="D741" s="53" t="str">
        <x:v>Robot Jedi | You Can't Break What Comes Apart</x:v>
      </x:c>
      <x:c r="E741" s="53" t="str"/>
      <x:c r="F741" s="53" t="str">
        <x:v>October 2, 2026</x:v>
      </x:c>
      <x:c r="G741" s="53" t="str">
        <x:v>Fan-made / non-canon</x:v>
      </x:c>
      <x:c r="H741" s="53" t="str">
        <x:v>Fan video</x:v>
      </x:c>
      <x:c r="I741" s="53" t="str">
        <x:v>YouTube — search by title</x:v>
      </x:c>
      <x:c r="J741" s="59" t="e">
        <x:f>HYPERLINK("https://www.youtube.com/results?search_query=Robot%20Jedi%20%7C%20You%20Can't%20Break%20What%20Comes%20Apart","Search")</x:f>
        <x:v>HYPERLINK is not implemented. linkLocation=https://www.youtube.com/results?search_query=Robot%20Jedi%20%7C%20You%20Can't%20Break%20What%20Comes%20Apart, friendlyName=Search</x:v>
      </x:c>
      <x:c r="K741" s="53" t="str">
        <x:v>No reliable canonical or Legends-era anchor is stated; user decision required.</x:v>
      </x:c>
      <x:c r="L741" s="76" t="str"/>
      <x:c r="M741" s="76" t="str">
        <x:v>Robot Jedi | You Can't Break What Comes Apart</x:v>
      </x:c>
      <x:c r="N741" s="76" t="str">
        <x:v>A massive security walker closes its claw—and the
Robot Jedi turns disassembly into his greatest
weapon. Detached limbs, a yellow saber, and an
explosive reunion turn the hangar into a scrapyard.
Which moment was your favorite?
#RobotJedi #StarWarsInspired #Lightsaber
#SciFiAction #UNLEASHED
Original character in an unofficial Star Wars-
inspired fan creation. Star Wars and related
trademarks belong to Lucasfilm Ltd. Not affiliated
with or endorsed by Lucasfilm or Disney.
Support the channel: Cash App - PayPal</x:v>
      </x:c>
      <x:c r="O741" s="76" t="str">
        <x:v>Below timeline — original fan continuity</x:v>
      </x:c>
      <x:c r="P741" s="76" t="str">
        <x:v>IMG_6303.PNG</x:v>
      </x:c>
      <x:c r="Q741" s="76" t="str">
        <x:v>Needs review</x:v>
      </x:c>
      <x:c r="R741" s="76" t="str">
        <x:v>High</x:v>
      </x:c>
      <x:c r="S741" s="76" t="str">
        <x:v>No reliable canonical or Legends-era anchor is stated; user decision required.</x:v>
      </x:c>
      <x:c r="T741" s="76" t="str">
        <x:v>Unique</x:v>
      </x:c>
    </x:row>
    <x:row r="742" s="23" customFormat="1" ht="36" customHeight="1">
      <x:c r="A742" s="49" t="b">
        <x:v>0</x:v>
      </x:c>
      <x:c r="B742" s="56" t="str">
        <x:v>FV-0553</x:v>
      </x:c>
      <x:c r="C742" s="53" t="str">
        <x:v>Review &amp; decide — original fan continuity</x:v>
      </x:c>
      <x:c r="D742" s="53" t="str">
        <x:v>Robot Jedi Became the Bridge — Everyone Else Would Have Fallen</x:v>
      </x:c>
      <x:c r="E742" s="53" t="str"/>
      <x:c r="F742" s="53" t="str">
        <x:v>August 20, 2026</x:v>
      </x:c>
      <x:c r="G742" s="53" t="str">
        <x:v>Fan-made / non-canon</x:v>
      </x:c>
      <x:c r="H742" s="53" t="str">
        <x:v>Fan video</x:v>
      </x:c>
      <x:c r="I742" s="53" t="str">
        <x:v>YouTube — search by title</x:v>
      </x:c>
      <x:c r="J742" s="59" t="e">
        <x:f>HYPERLINK("https://www.youtube.com/results?search_query=Robot%20Jedi%20Became%20the%20Bridge%20%E2%80%94%20Everyone%20Else%20Would%20Have%20Fallen","Search")</x:f>
        <x:v>HYPERLINK is not implemented. linkLocation=https://www.youtube.com/results?search_query=Robot%20Jedi%20Became%20the%20Bridge%20%E2%80%94%20Everyone%20Else%20Would%20Have%20Fallen, friendlyName=Search</x:v>
      </x:c>
      <x:c r="K742" s="53" t="str">
        <x:v>No reliable canonical or Legends-era anchor is stated; user decision required.</x:v>
      </x:c>
      <x:c r="L742" s="76" t="str"/>
      <x:c r="M742" s="76" t="str">
        <x:v>Robot Jedi Became the Bridge — Everyone Else Would Have Fallen</x:v>
      </x:c>
      <x:c r="N742" s="76" t="str">
        <x:v>3 Cash App: $brednew
© PayPal: @blainehenry688
@ SUPPORT THE CHANNEL &amp;
Even 5¢, 10¢, 25¢, or $1 helps us continue creating
these cinematic stories. Thank you to everyone
supporting what we're building.
High above the city, a transport has been ripped
apart.
People are trapped on the wreckage with nothing
beneath them but clouds and a deadly fall.
Then Robot Jedi arrives.</x:v>
      </x:c>
      <x:c r="O742" s="76" t="str">
        <x:v>Below timeline — original fan continuity</x:v>
      </x:c>
      <x:c r="P742" s="76" t="str">
        <x:v>IMG_6743.PNG</x:v>
      </x:c>
      <x:c r="Q742" s="76" t="str">
        <x:v>Needs review</x:v>
      </x:c>
      <x:c r="R742" s="76" t="str">
        <x:v>High</x:v>
      </x:c>
      <x:c r="S742" s="76" t="str">
        <x:v>No reliable canonical or Legends-era anchor is stated; user decision required.</x:v>
      </x:c>
      <x:c r="T742" s="76" t="str">
        <x:v>Unique</x:v>
      </x:c>
    </x:row>
    <x:row r="743" s="23" customFormat="1" ht="36" customHeight="1">
      <x:c r="A743" s="49" t="b">
        <x:v>0</x:v>
      </x:c>
      <x:c r="B743" s="56" t="str">
        <x:v>FV-0570</x:v>
      </x:c>
      <x:c r="C743" s="53" t="str">
        <x:v>Review &amp; decide — original fan continuity</x:v>
      </x:c>
      <x:c r="D743" s="53" t="str">
        <x:v>Robot Jedi Became the Landing Gear &amp; +</x:v>
      </x:c>
      <x:c r="E743" s="53" t="str"/>
      <x:c r="F743" s="53" t="str">
        <x:v>August 22, 2026</x:v>
      </x:c>
      <x:c r="G743" s="53" t="str">
        <x:v>Fan-made / non-canon</x:v>
      </x:c>
      <x:c r="H743" s="53" t="str">
        <x:v>Fan video</x:v>
      </x:c>
      <x:c r="I743" s="53" t="str">
        <x:v>YouTube — search by title</x:v>
      </x:c>
      <x:c r="J743" s="59" t="e">
        <x:f>HYPERLINK("https://www.youtube.com/results?search_query=Robot%20Jedi%20Became%20the%20Landing%20Gear%20%26%20%2B","Search")</x:f>
        <x:v>HYPERLINK is not implemented. linkLocation=https://www.youtube.com/results?search_query=Robot%20Jedi%20Became%20the%20Landing%20Gear%20%26%20%2B, friendlyName=Search</x:v>
      </x:c>
      <x:c r="K743" s="53" t="str">
        <x:v>No reliable canonical or Legends-era anchor is stated; user decision required.</x:v>
      </x:c>
      <x:c r="L743" s="76" t="str"/>
      <x:c r="M743" s="76" t="str">
        <x:v>Robot Jedi Became the Landing Gear &amp; +</x:v>
      </x:c>
      <x:c r="N743" s="76" t="str">
        <x:v>6 Support the channel:
Cash App: $brednew
PayPal: @blainehenry688
When the transport can't make the landing, Robot
Jedi doesn’t abandon the passengers — he
becomes the landing gear.
Extending his mechanical legs beneath the ship, he
takes the impact himself and brings everyone safely
to the ground.
Another impossible rescue for the galaxy’s most
unconventional Jedi.
#RobotJedi #StarWars #Jedi #SciFi #Cinematic
#Shorts</x:v>
      </x:c>
      <x:c r="O743" s="76" t="str">
        <x:v>Below timeline — original fan continuity</x:v>
      </x:c>
      <x:c r="P743" s="76" t="str">
        <x:v>IMG_6760.PNG</x:v>
      </x:c>
      <x:c r="Q743" s="76" t="str">
        <x:v>Needs review</x:v>
      </x:c>
      <x:c r="R743" s="76" t="str">
        <x:v>High</x:v>
      </x:c>
      <x:c r="S743" s="76" t="str">
        <x:v>No reliable canonical or Legends-era anchor is stated; user decision required.</x:v>
      </x:c>
      <x:c r="T743" s="76" t="str">
        <x:v>Unique</x:v>
      </x:c>
    </x:row>
    <x:row r="744" s="23" customFormat="1" ht="36" customHeight="1">
      <x:c r="A744" s="49" t="b">
        <x:v>0</x:v>
      </x:c>
      <x:c r="B744" s="56" t="str">
        <x:v>FV-0567</x:v>
      </x:c>
      <x:c r="C744" s="53" t="str">
        <x:v>Review &amp; decide — original fan continuity</x:v>
      </x:c>
      <x:c r="D744" s="53" t="str">
        <x:v>Robot Jedi Doesn’t Need His Arm to Keep Fighting @</x:v>
      </x:c>
      <x:c r="E744" s="53" t="str"/>
      <x:c r="F744" s="53" t="str">
        <x:v>August 21, 2026</x:v>
      </x:c>
      <x:c r="G744" s="53" t="str">
        <x:v>Fan-made / non-canon</x:v>
      </x:c>
      <x:c r="H744" s="53" t="str">
        <x:v>Fan video</x:v>
      </x:c>
      <x:c r="I744" s="53" t="str">
        <x:v>YouTube — search by title</x:v>
      </x:c>
      <x:c r="J744" s="59" t="e">
        <x:f>HYPERLINK("https://www.youtube.com/results?search_query=Robot%20Jedi%20Doesn%E2%80%99t%20Need%20His%20Arm%20to%20Keep%20Fighting%20%40","Search")</x:f>
        <x:v>HYPERLINK is not implemented. linkLocation=https://www.youtube.com/results?search_query=Robot%20Jedi%20Doesn%E2%80%99t%20Need%20His%20Arm%20to%20Keep%20Fighting%20%40, friendlyName=Search</x:v>
      </x:c>
      <x:c r="K744" s="53" t="str">
        <x:v>No reliable canonical or Legends-era anchor is stated; user decision required.</x:v>
      </x:c>
      <x:c r="L744" s="76" t="str"/>
      <x:c r="M744" s="76" t="str">
        <x:v>Robot Jedi Doesn’t Need His Arm to Keep Fighting @</x:v>
      </x:c>
      <x:c r="N744" s="76" t="str">
        <x:v>§33 Cash App: $brednew
© PayPal: @blainehenry688
ROBOT JED! #
Most Jedi lose an arm and the fight is over.
Robot Jedi?
His HAND is still holding the lightsaber. @
Built differently. Literally.
When his body comes apart, the mission keeps
going — and that blue blade never leaves the fight.
Original cinematic creation by Blaine Henrv.</x:v>
      </x:c>
      <x:c r="O744" s="76" t="str">
        <x:v>Below timeline — original fan continuity</x:v>
      </x:c>
      <x:c r="P744" s="76" t="str">
        <x:v>IMG_6757.PNG</x:v>
      </x:c>
      <x:c r="Q744" s="76" t="str">
        <x:v>Needs review</x:v>
      </x:c>
      <x:c r="R744" s="76" t="str">
        <x:v>High</x:v>
      </x:c>
      <x:c r="S744" s="76" t="str">
        <x:v>No reliable canonical or Legends-era anchor is stated; user decision required.</x:v>
      </x:c>
      <x:c r="T744" s="76" t="str">
        <x:v>Unique</x:v>
      </x:c>
    </x:row>
    <x:row r="745" s="23" customFormat="1" ht="36" customHeight="1">
      <x:c r="A745" s="49" t="b">
        <x:v>0</x:v>
      </x:c>
      <x:c r="B745" s="56" t="str">
        <x:v>FV-0529</x:v>
      </x:c>
      <x:c r="C745" s="53" t="str">
        <x:v>Review &amp; decide — original fan continuity</x:v>
      </x:c>
      <x:c r="D745" s="53" t="str">
        <x:v>Shadow Was Already Waiting</x:v>
      </x:c>
      <x:c r="E745" s="53" t="str"/>
      <x:c r="F745" s="53" t="str">
        <x:v>June 20, 2026</x:v>
      </x:c>
      <x:c r="G745" s="53" t="str">
        <x:v>Fan-made / non-canon</x:v>
      </x:c>
      <x:c r="H745" s="53" t="str">
        <x:v>Fan video</x:v>
      </x:c>
      <x:c r="I745" s="53" t="str">
        <x:v>YouTube — search by title</x:v>
      </x:c>
      <x:c r="J745" s="59" t="e">
        <x:f>HYPERLINK("https://www.youtube.com/results?search_query=Shadow%20Was%20Already%20Waiting","Search")</x:f>
        <x:v>HYPERLINK is not implemented. linkLocation=https://www.youtube.com/results?search_query=Shadow%20Was%20Already%20Waiting, friendlyName=Search</x:v>
      </x:c>
      <x:c r="K745" s="53" t="str">
        <x:v>No reliable canonical or Legends-era anchor is stated; user decision required.</x:v>
      </x:c>
      <x:c r="L745" s="76" t="str">
        <x:v>Shadow</x:v>
      </x:c>
      <x:c r="M745" s="76" t="str">
        <x:v>Shadow Was Already Waiting</x:v>
      </x:c>
      <x:c r="N745" s="76" t="str">
        <x:v>The Fallen Apprentice entered the ancient kingdom
looking for a fight.
What he didn’t know was that someone had arrived
first.
Waiting among the ruins stood Shadow-—silent,
patient, and ready.
When hunter met hunter, the fog-filled kingdom
became the stage for a duel neither warrior would
forget.
™ Enjoyed this adventure? Visit @blainehenry593
for more Jedi battles, legendary duels, and
cinematic stories.</x:v>
      </x:c>
      <x:c r="O745" s="76" t="str">
        <x:v>Below timeline — original fan continuity</x:v>
      </x:c>
      <x:c r="P745" s="76" t="str">
        <x:v>IMG_6718.PNG</x:v>
      </x:c>
      <x:c r="Q745" s="76" t="str">
        <x:v>Needs review</x:v>
      </x:c>
      <x:c r="R745" s="76" t="str">
        <x:v>High</x:v>
      </x:c>
      <x:c r="S745" s="76" t="str">
        <x:v>No reliable canonical or Legends-era anchor is stated; user decision required.</x:v>
      </x:c>
      <x:c r="T745" s="76" t="str">
        <x:v>Unique</x:v>
      </x:c>
    </x:row>
    <x:row r="746" s="23" customFormat="1" ht="36" customHeight="1">
      <x:c r="A746" s="49" t="b">
        <x:v>0</x:v>
      </x:c>
      <x:c r="B746" s="56" t="str">
        <x:v>FV-0533</x:v>
      </x:c>
      <x:c r="C746" s="53" t="str">
        <x:v>Review &amp; decide — original fan continuity</x:v>
      </x:c>
      <x:c r="D746" s="53" t="str">
        <x:v>Shadow Was Waiting Above Them</x:v>
      </x:c>
      <x:c r="E746" s="53" t="str"/>
      <x:c r="F746" s="53" t="str">
        <x:v>June 21, 2026</x:v>
      </x:c>
      <x:c r="G746" s="53" t="str">
        <x:v>Fan-made / non-canon</x:v>
      </x:c>
      <x:c r="H746" s="53" t="str">
        <x:v>Fan video</x:v>
      </x:c>
      <x:c r="I746" s="53" t="str">
        <x:v>YouTube — search by title</x:v>
      </x:c>
      <x:c r="J746" s="59" t="e">
        <x:f>HYPERLINK("https://www.youtube.com/results?search_query=Shadow%20Was%20Waiting%20Above%20Them","Search")</x:f>
        <x:v>HYPERLINK is not implemented. linkLocation=https://www.youtube.com/results?search_query=Shadow%20Was%20Waiting%20Above%20Them, friendlyName=Search</x:v>
      </x:c>
      <x:c r="K746" s="53" t="str">
        <x:v>No reliable canonical or Legends-era anchor is stated; user decision required.</x:v>
      </x:c>
      <x:c r="L746" s="76" t="str">
        <x:v>Shadow</x:v>
      </x:c>
      <x:c r="M746" s="76" t="str">
        <x:v>Shadow Was Waiting Above Them</x:v>
      </x:c>
      <x:c r="N746" s="76" t="str">
        <x:v>The warriors finally found Shadow.
High above the ancient kingdom, he stood alone on
a forgotten stone arch while blue lights illuminated
the ruins below.
They thought they had him surrounded.
They were wrong.
© Enjoyed this adventure? Visit @blainehenry593
for more Jedi battles, legendary duels, and
cinematic stories.
How this was made</x:v>
      </x:c>
      <x:c r="O746" s="76" t="str">
        <x:v>Below timeline — original fan continuity</x:v>
      </x:c>
      <x:c r="P746" s="76" t="str">
        <x:v>IMG_6722.PNG</x:v>
      </x:c>
      <x:c r="Q746" s="76" t="str">
        <x:v>Needs review</x:v>
      </x:c>
      <x:c r="R746" s="76" t="str">
        <x:v>High</x:v>
      </x:c>
      <x:c r="S746" s="76" t="str">
        <x:v>No reliable canonical or Legends-era anchor is stated; user decision required.</x:v>
      </x:c>
      <x:c r="T746" s="76" t="str">
        <x:v>Unique</x:v>
      </x:c>
    </x:row>
    <x:row r="747" s="23" customFormat="1" ht="36" customHeight="1">
      <x:c r="A747" s="49" t="b">
        <x:v>0</x:v>
      </x:c>
      <x:c r="B747" s="56" t="str">
        <x:v>FV-0541</x:v>
      </x:c>
      <x:c r="C747" s="53" t="str">
        <x:v>Review &amp; decide — original fan continuity</x:v>
      </x:c>
      <x:c r="D747" s="53" t="str">
        <x:v>Shadow Wasn't Alone... | Jedi Chronicles: The Midnight Attack (Chapter 1)</x:v>
      </x:c>
      <x:c r="E747" s="53" t="str">
        <x:v>Chapter 1</x:v>
      </x:c>
      <x:c r="F747" s="53" t="str">
        <x:v>July 6, 2026</x:v>
      </x:c>
      <x:c r="G747" s="53" t="str">
        <x:v>Fan-made / non-canon</x:v>
      </x:c>
      <x:c r="H747" s="53" t="str">
        <x:v>Fan video</x:v>
      </x:c>
      <x:c r="I747" s="53" t="str">
        <x:v>YouTube — search by title</x:v>
      </x:c>
      <x:c r="J747" s="59" t="e">
        <x:f>HYPERLINK("https://www.youtube.com/results?search_query=Shadow%20Wasn't%20Alone...%20%7C%20Jedi%20Chronicles%3A%20The%20Midnight%20Attack%20(Chapter%201)","Search")</x:f>
        <x:v>HYPERLINK is not implemented. linkLocation=https://www.youtube.com/results?search_query=Shadow%20Wasn't%20Alone...%20%7C%20Jedi%20Chronicles%3A%20The%20Midnight%20Attack%20(Chapter%201), friendlyName=Search</x:v>
      </x:c>
      <x:c r="K747" s="53" t="str">
        <x:v>No reliable canonical or Legends-era anchor is stated; user decision required.</x:v>
      </x:c>
      <x:c r="L747" s="76" t="str">
        <x:v>Shadow</x:v>
      </x:c>
      <x:c r="M747" s="76" t="str">
        <x:v>Shadow Wasn't Alone... | Jedi Chronicles: The Midnight Attack (Chapter 1)</x:v>
      </x:c>
      <x:c r="N747" s="76" t="str">
        <x:v>« SHADOW: THE MIDNIGHT ATTACK — CHAPTER
1%
A quiet night inside an ancient temple...
Until everything changed.
Shadow thought he was alone—but the Force
revealed otherwise.
This is the beginning of a brand-new cinematic Jedi
Chronicles series.
(@ Follow the adventure where new chapters are
released first:
By Facebook:</x:v>
      </x:c>
      <x:c r="O747" s="76" t="str">
        <x:v>Below timeline — original fan continuity</x:v>
      </x:c>
      <x:c r="P747" s="76" t="str">
        <x:v>IMG_6730.PNG</x:v>
      </x:c>
      <x:c r="Q747" s="76" t="str">
        <x:v>Needs review</x:v>
      </x:c>
      <x:c r="R747" s="76" t="str">
        <x:v>High</x:v>
      </x:c>
      <x:c r="S747" s="76" t="str">
        <x:v>No reliable canonical or Legends-era anchor is stated; user decision required.</x:v>
      </x:c>
      <x:c r="T747" s="76" t="str">
        <x:v>Unique</x:v>
      </x:c>
    </x:row>
    <x:row r="748" s="23" customFormat="1" ht="36" customHeight="1">
      <x:c r="A748" s="49" t="b">
        <x:v>0</x:v>
      </x:c>
      <x:c r="B748" s="56" t="str">
        <x:v>FV-0231</x:v>
      </x:c>
      <x:c r="C748" s="53" t="str">
        <x:v>Review &amp; decide — original fan continuity</x:v>
      </x:c>
      <x:c r="D748" s="53" t="str">
        <x:v>THE ASHEN PATH — EPISODE 2: THE WARDEN</x:v>
      </x:c>
      <x:c r="E748" s="53" t="str">
        <x:v>EPISODE 2</x:v>
      </x:c>
      <x:c r="F748" s="53" t="str">
        <x:v>September 10, 2026</x:v>
      </x:c>
      <x:c r="G748" s="53" t="str">
        <x:v>Fan-made / non-canon</x:v>
      </x:c>
      <x:c r="H748" s="53" t="str">
        <x:v>Fan video</x:v>
      </x:c>
      <x:c r="I748" s="53" t="str">
        <x:v>YouTube — search by title</x:v>
      </x:c>
      <x:c r="J748" s="59" t="e">
        <x:f>HYPERLINK("https://www.youtube.com/results?search_query=THE%20ASHEN%20PATH%20%E2%80%94%20EPISODE%202%3A%20THE%20WARDEN","Search")</x:f>
        <x:v>HYPERLINK is not implemented. linkLocation=https://www.youtube.com/results?search_query=THE%20ASHEN%20PATH%20%E2%80%94%20EPISODE%202%3A%20THE%20WARDEN, friendlyName=Search</x:v>
      </x:c>
      <x:c r="K748" s="53" t="str">
        <x:v>No reliable canonical or Legends-era anchor is stated; user decision required.</x:v>
      </x:c>
      <x:c r="L748" s="76" t="str">
        <x:v>ASHEN PATH</x:v>
      </x:c>
      <x:c r="M748" s="76" t="str">
        <x:v>THE ASHEN PATH — EPISODE 2: THE WARDEN</x:v>
      </x:c>
      <x:c r="N748" s="76"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748" s="76" t="str">
        <x:v>Below timeline — original fan continuity</x:v>
      </x:c>
      <x:c r="P748" s="76" t="str">
        <x:v>IMG_6414.PNG</x:v>
      </x:c>
      <x:c r="Q748" s="76" t="str">
        <x:v>Needs review</x:v>
      </x:c>
      <x:c r="R748" s="76" t="str">
        <x:v>High</x:v>
      </x:c>
      <x:c r="S748" s="76" t="str">
        <x:v>No reliable canonical or Legends-era anchor is stated; user decision required.</x:v>
      </x:c>
      <x:c r="T748" s="76" t="str">
        <x:v>Unique</x:v>
      </x:c>
    </x:row>
    <x:row r="749" s="23" customFormat="1" ht="36" customHeight="1">
      <x:c r="A749" s="49" t="b">
        <x:v>0</x:v>
      </x:c>
      <x:c r="B749" s="56" t="str">
        <x:v>FV-0222</x:v>
      </x:c>
      <x:c r="C749" s="53" t="str">
        <x:v>Review &amp; decide — original fan continuity</x:v>
      </x:c>
      <x:c r="D749" s="53" t="str">
        <x:v>The Ashen Path — Episode 3: The Red Crystal</x:v>
      </x:c>
      <x:c r="E749" s="53" t="str">
        <x:v>Episode 3</x:v>
      </x:c>
      <x:c r="F749" s="53" t="str">
        <x:v>September 13, 2026</x:v>
      </x:c>
      <x:c r="G749" s="53" t="str">
        <x:v>Fan-made / non-canon</x:v>
      </x:c>
      <x:c r="H749" s="53" t="str">
        <x:v>Fan video</x:v>
      </x:c>
      <x:c r="I749" s="53" t="str">
        <x:v>YouTube — search by title</x:v>
      </x:c>
      <x:c r="J749" s="59" t="e">
        <x:f>HYPERLINK("https://www.youtube.com/results?search_query=The%20Ashen%20Path%20%E2%80%94%20Episode%203%3A%20The%20Red%20Crystal","Search")</x:f>
        <x:v>HYPERLINK is not implemented. linkLocation=https://www.youtube.com/results?search_query=The%20Ashen%20Path%20%E2%80%94%20Episode%203%3A%20The%20Red%20Crystal, friendlyName=Search</x:v>
      </x:c>
      <x:c r="K749" s="53" t="str">
        <x:v>No reliable canonical or Legends-era anchor is stated; user decision required.</x:v>
      </x:c>
      <x:c r="L749" s="76" t="str">
        <x:v>ASHEN PATH</x:v>
      </x:c>
      <x:c r="M749" s="76" t="str">
        <x:v>The Ashen Path — Episode 3: The Red Crystal</x:v>
      </x:c>
      <x:c r="N749" s="76"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749" s="76" t="str">
        <x:v>Below timeline — original fan continuity</x:v>
      </x:c>
      <x:c r="P749" s="76" t="str">
        <x:v>IMG_6405.PNG</x:v>
      </x:c>
      <x:c r="Q749" s="76" t="str">
        <x:v>Needs review</x:v>
      </x:c>
      <x:c r="R749" s="76" t="str">
        <x:v>High</x:v>
      </x:c>
      <x:c r="S749" s="76" t="str">
        <x:v>No reliable canonical or Legends-era anchor is stated; user decision required.</x:v>
      </x:c>
      <x:c r="T749" s="76" t="str">
        <x:v>Unique</x:v>
      </x:c>
    </x:row>
    <x:row r="750" s="23" customFormat="1" ht="36" customHeight="1">
      <x:c r="A750" s="49" t="b">
        <x:v>0</x:v>
      </x:c>
      <x:c r="B750" s="56" t="str">
        <x:v>FV-0209</x:v>
      </x:c>
      <x:c r="C750" s="53" t="str">
        <x:v>Review &amp; decide — original fan continuity</x:v>
      </x:c>
      <x:c r="D750" s="53" t="str">
        <x:v>The Ashen Path — Episode 4: The Blood Memory</x:v>
      </x:c>
      <x:c r="E750" s="53" t="str">
        <x:v>Episode 4</x:v>
      </x:c>
      <x:c r="F750" s="53" t="str">
        <x:v>September 14, 2026</x:v>
      </x:c>
      <x:c r="G750" s="53" t="str">
        <x:v>Fan-made / non-canon</x:v>
      </x:c>
      <x:c r="H750" s="53" t="str">
        <x:v>Fan video</x:v>
      </x:c>
      <x:c r="I750" s="53" t="str">
        <x:v>YouTube — search by title</x:v>
      </x:c>
      <x:c r="J750" s="59" t="e">
        <x:f>HYPERLINK("https://www.youtube.com/results?search_query=The%20Ashen%20Path%20%E2%80%94%20Episode%204%3A%20The%20Blood%20Memory","Search")</x:f>
        <x:v>HYPERLINK is not implemented. linkLocation=https://www.youtube.com/results?search_query=The%20Ashen%20Path%20%E2%80%94%20Episode%204%3A%20The%20Blood%20Memory, friendlyName=Search</x:v>
      </x:c>
      <x:c r="K750" s="53" t="str">
        <x:v>No reliable canonical or Legends-era anchor is stated; user decision required.</x:v>
      </x:c>
      <x:c r="L750" s="76" t="str">
        <x:v>ASHEN PATH</x:v>
      </x:c>
      <x:c r="M750" s="76" t="str">
        <x:v>The Ashen Path — Episode 4: The Blood Memory</x:v>
      </x:c>
      <x:c r="N750" s="76"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750" s="76" t="str">
        <x:v>Below timeline — original fan continuity</x:v>
      </x:c>
      <x:c r="P750" s="76" t="str">
        <x:v>IMG_6392.PNG</x:v>
      </x:c>
      <x:c r="Q750" s="76" t="str">
        <x:v>Needs review</x:v>
      </x:c>
      <x:c r="R750" s="76" t="str">
        <x:v>High</x:v>
      </x:c>
      <x:c r="S750" s="76" t="str">
        <x:v>No reliable canonical or Legends-era anchor is stated; user decision required.</x:v>
      </x:c>
      <x:c r="T750" s="76" t="str">
        <x:v>Unique</x:v>
      </x:c>
    </x:row>
    <x:row r="751" s="23" customFormat="1" ht="36" customHeight="1">
      <x:c r="A751" s="49" t="b">
        <x:v>0</x:v>
      </x:c>
      <x:c r="B751" s="56" t="str">
        <x:v>FV-0238</x:v>
      </x:c>
      <x:c r="C751" s="53" t="str">
        <x:v>Review &amp; decide — original fan continuity</x:v>
      </x:c>
      <x:c r="D751" s="53" t="str">
        <x:v>THE ASHEN PATH — EPISODE ONE: THE LAST JEDI</x:v>
      </x:c>
      <x:c r="E751" s="53" t="str">
        <x:v>EPISODE ONE</x:v>
      </x:c>
      <x:c r="F751" s="53" t="str">
        <x:v>September 8, 2026</x:v>
      </x:c>
      <x:c r="G751" s="53" t="str">
        <x:v>Fan-made / non-canon</x:v>
      </x:c>
      <x:c r="H751" s="53" t="str">
        <x:v>Fan video</x:v>
      </x:c>
      <x:c r="I751" s="53" t="str">
        <x:v>YouTube — search by title</x:v>
      </x:c>
      <x:c r="J751" s="59" t="e">
        <x:f>HYPERLINK("https://www.youtube.com/results?search_query=THE%20ASHEN%20PATH%20%E2%80%94%20EPISODE%20ONE%3A%20THE%20LAST%20JEDI","Search")</x:f>
        <x:v>HYPERLINK is not implemented. linkLocation=https://www.youtube.com/results?search_query=THE%20ASHEN%20PATH%20%E2%80%94%20EPISODE%20ONE%3A%20THE%20LAST%20JEDI, friendlyName=Search</x:v>
      </x:c>
      <x:c r="K751" s="53" t="str">
        <x:v>No reliable canonical or Legends-era anchor is stated; user decision required.</x:v>
      </x:c>
      <x:c r="L751" s="76" t="str">
        <x:v>ASHEN PATH</x:v>
      </x:c>
      <x:c r="M751" s="76" t="str">
        <x:v>THE ASHEN PATH — EPISODE ONE: THE LAST JEDI</x:v>
      </x:c>
      <x:c r="N751" s="76"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751" s="76" t="str">
        <x:v>Below timeline — original fan continuity</x:v>
      </x:c>
      <x:c r="P751" s="76" t="str">
        <x:v>IMG_6421.PNG</x:v>
      </x:c>
      <x:c r="Q751" s="76" t="str">
        <x:v>Needs review</x:v>
      </x:c>
      <x:c r="R751" s="76" t="str">
        <x:v>High</x:v>
      </x:c>
      <x:c r="S751" s="76" t="str">
        <x:v>No reliable canonical or Legends-era anchor is stated; user decision required.</x:v>
      </x:c>
      <x:c r="T751" s="76" t="str">
        <x:v>Unique</x:v>
      </x:c>
    </x:row>
    <x:row r="752" s="23" customFormat="1" ht="36" customHeight="1">
      <x:c r="A752" s="49" t="b">
        <x:v>0</x:v>
      </x:c>
      <x:c r="B752" s="56" t="str">
        <x:v>FV-0233</x:v>
      </x:c>
      <x:c r="C752" s="53" t="str">
        <x:v>Review &amp; decide — original fan continuity</x:v>
      </x:c>
      <x:c r="D752" s="53" t="str">
        <x:v>THE ASHEN PATH — EPISODE TWO: THE WARDEN</x:v>
      </x:c>
      <x:c r="E752" s="53" t="str">
        <x:v>EPISODE TWO</x:v>
      </x:c>
      <x:c r="F752" s="53" t="str">
        <x:v>September 9, 2026</x:v>
      </x:c>
      <x:c r="G752" s="53" t="str">
        <x:v>Fan-made / non-canon</x:v>
      </x:c>
      <x:c r="H752" s="53" t="str">
        <x:v>Fan video</x:v>
      </x:c>
      <x:c r="I752" s="53" t="str">
        <x:v>YouTube — search by title</x:v>
      </x:c>
      <x:c r="J752" s="59" t="e">
        <x:f>HYPERLINK("https://www.youtube.com/results?search_query=THE%20ASHEN%20PATH%20%E2%80%94%20EPISODE%20TWO%3A%20THE%20WARDEN","Search")</x:f>
        <x:v>HYPERLINK is not implemented. linkLocation=https://www.youtube.com/results?search_query=THE%20ASHEN%20PATH%20%E2%80%94%20EPISODE%20TWO%3A%20THE%20WARDEN, friendlyName=Search</x:v>
      </x:c>
      <x:c r="K752" s="53" t="str">
        <x:v>No reliable canonical or Legends-era anchor is stated; user decision required.</x:v>
      </x:c>
      <x:c r="L752" s="76" t="str">
        <x:v>ASHEN PATH</x:v>
      </x:c>
      <x:c r="M752" s="76" t="str">
        <x:v>THE ASHEN PATH — EPISODE TWO: THE WARDEN</x:v>
      </x:c>
      <x:c r="N752" s="76"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752" s="76" t="str">
        <x:v>Below timeline — original fan continuity</x:v>
      </x:c>
      <x:c r="P752" s="76" t="str">
        <x:v>IMG_6416.PNG</x:v>
      </x:c>
      <x:c r="Q752" s="76" t="str">
        <x:v>Needs review</x:v>
      </x:c>
      <x:c r="R752" s="76" t="str">
        <x:v>High</x:v>
      </x:c>
      <x:c r="S752" s="76" t="str">
        <x:v>No reliable canonical or Legends-era anchor is stated; user decision required.</x:v>
      </x:c>
      <x:c r="T752" s="76" t="str">
        <x:v>Unique</x:v>
      </x:c>
    </x:row>
    <x:row r="753" s="23" customFormat="1" ht="36" customHeight="1">
      <x:c r="A753" s="49" t="b">
        <x:v>0</x:v>
      </x:c>
      <x:c r="B753" s="56" t="str">
        <x:v>FV-0522</x:v>
      </x:c>
      <x:c r="C753" s="53" t="str">
        <x:v>Review &amp; decide — original fan continuity</x:v>
      </x:c>
      <x:c r="D753" s="53" t="str">
        <x:v>The Black-Clad Legend Beneath The Waters OF Manaan</x:v>
      </x:c>
      <x:c r="E753" s="53" t="str"/>
      <x:c r="F753" s="53" t="str">
        <x:v>June 20, 2026</x:v>
      </x:c>
      <x:c r="G753" s="53" t="str">
        <x:v>Fan-made / non-canon</x:v>
      </x:c>
      <x:c r="H753" s="53" t="str">
        <x:v>Fan video</x:v>
      </x:c>
      <x:c r="I753" s="53" t="str">
        <x:v>YouTube — search by title</x:v>
      </x:c>
      <x:c r="J753" s="59" t="e">
        <x:f>HYPERLINK("https://www.youtube.com/results?search_query=The%20Black-Clad%20Legend%20Beneath%20The%20Waters%20OF%20Manaan","Search")</x:f>
        <x:v>HYPERLINK is not implemented. linkLocation=https://www.youtube.com/results?search_query=The%20Black-Clad%20Legend%20Beneath%20The%20Waters%20OF%20Manaan, friendlyName=Search</x:v>
      </x:c>
      <x:c r="K753" s="53" t="str">
        <x:v>No reliable canonical or Legends-era anchor is stated; user decision required.</x:v>
      </x:c>
      <x:c r="L753" s="76" t="str"/>
      <x:c r="M753" s="76" t="str">
        <x:v>The Black-Clad Legend Beneath The Waters OF Manaan</x:v>
      </x:c>
      <x:c r="N753" s="76" t="str">
        <x:v>Far beyond the frontier worlds lies Manaan, a
legendary ocean planet known for its floating
temples and endless blue seas.
But beneath those peaceful waters, something
ancient still moves.
As acolossal sea predator rises from the depths, a
mysterious warrior dressed entirely in black stands
alone above the ocean.
No fear.
No hesitation.
Only silence.</x:v>
      </x:c>
      <x:c r="O753" s="76" t="str">
        <x:v>Below timeline — original fan continuity</x:v>
      </x:c>
      <x:c r="P753" s="76" t="str">
        <x:v>IMG_6711.PNG</x:v>
      </x:c>
      <x:c r="Q753" s="76" t="str">
        <x:v>Needs review</x:v>
      </x:c>
      <x:c r="R753" s="76" t="str">
        <x:v>High</x:v>
      </x:c>
      <x:c r="S753" s="76" t="str">
        <x:v>No reliable canonical or Legends-era anchor is stated; user decision required.</x:v>
      </x:c>
      <x:c r="T753" s="76" t="str">
        <x:v>Unique</x:v>
      </x:c>
    </x:row>
    <x:row r="754" s="23" customFormat="1" ht="36" customHeight="1">
      <x:c r="A754" s="49" t="b">
        <x:v>0</x:v>
      </x:c>
      <x:c r="B754" s="56" t="str">
        <x:v>FV-0199</x:v>
      </x:c>
      <x:c r="C754" s="53" t="str">
        <x:v>Review &amp; decide — original fan continuity</x:v>
      </x:c>
      <x:c r="D754" s="53" t="str">
        <x:v>The Crystal Pulled Her - Kamasa Awakens | ASHEN PATH Ep.4</x:v>
      </x:c>
      <x:c r="E754" s="53" t="str">
        <x:v>Ep.4</x:v>
      </x:c>
      <x:c r="F754" s="53" t="str">
        <x:v>September 20, 2026</x:v>
      </x:c>
      <x:c r="G754" s="53" t="str">
        <x:v>Fan-made / non-canon</x:v>
      </x:c>
      <x:c r="H754" s="53" t="str">
        <x:v>Fan video</x:v>
      </x:c>
      <x:c r="I754" s="53" t="str">
        <x:v>YouTube — search by title</x:v>
      </x:c>
      <x:c r="J754" s="59" t="e">
        <x:f>HYPERLINK("https://www.youtube.com/results?search_query=The%20Crystal%20Pulled%20Her%20-%20Kamasa%20Awakens%20%7C%20ASHEN%20PATH%20Ep.4","Search")</x:f>
        <x:v>HYPERLINK is not implemented. linkLocation=https://www.youtube.com/results?search_query=The%20Crystal%20Pulled%20Her%20-%20Kamasa%20Awakens%20%7C%20ASHEN%20PATH%20Ep.4, friendlyName=Search</x:v>
      </x:c>
      <x:c r="K754" s="53" t="str">
        <x:v>No reliable canonical or Legends-era anchor is stated; user decision required.</x:v>
      </x:c>
      <x:c r="L754" s="76" t="str">
        <x:v>ASHEN PATH</x:v>
      </x:c>
      <x:c r="M754" s="76" t="str">
        <x:v>The Crystal Pulled Her - Kamasa Awakens | ASHEN PATH Ep.4</x:v>
      </x:c>
      <x:c r="N754" s="76"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754" s="76" t="str">
        <x:v>Below timeline — original fan continuity</x:v>
      </x:c>
      <x:c r="P754" s="76" t="str">
        <x:v>IMG_6382.PNG</x:v>
      </x:c>
      <x:c r="Q754" s="76" t="str">
        <x:v>Needs review</x:v>
      </x:c>
      <x:c r="R754" s="76" t="str">
        <x:v>High</x:v>
      </x:c>
      <x:c r="S754" s="76" t="str">
        <x:v>No reliable canonical or Legends-era anchor is stated; user decision required.</x:v>
      </x:c>
      <x:c r="T754" s="76" t="str">
        <x:v>Unique</x:v>
      </x:c>
    </x:row>
    <x:row r="755" s="23" customFormat="1" ht="36" customHeight="1">
      <x:c r="A755" s="49" t="b">
        <x:v>0</x:v>
      </x:c>
      <x:c r="B755" s="56" t="str">
        <x:v>FV-0399</x:v>
      </x:c>
      <x:c r="C755" s="53" t="str">
        <x:v>Review &amp; decide — original fan continuity</x:v>
      </x:c>
      <x:c r="D755" s="53" t="str">
        <x:v>The Emperor Kept His Word... Then The Widow Stepped In</x:v>
      </x:c>
      <x:c r="E755" s="53" t="str"/>
      <x:c r="F755" s="53" t="str">
        <x:v>August 22, 2026</x:v>
      </x:c>
      <x:c r="G755" s="53" t="str">
        <x:v>Fan-made / non-canon</x:v>
      </x:c>
      <x:c r="H755" s="53" t="str">
        <x:v>Fan video</x:v>
      </x:c>
      <x:c r="I755" s="53" t="str">
        <x:v>YouTube — search by title</x:v>
      </x:c>
      <x:c r="J755" s="59" t="e">
        <x:f>HYPERLINK("https://www.youtube.com/results?search_query=The%20Emperor%20Kept%20His%20Word...%20Then%20The%20Widow%20Stepped%20In","Search")</x:f>
        <x:v>HYPERLINK is not implemented. linkLocation=https://www.youtube.com/results?search_query=The%20Emperor%20Kept%20His%20Word...%20Then%20The%20Widow%20Stepped%20In, friendlyName=Search</x:v>
      </x:c>
      <x:c r="K755" s="53" t="str">
        <x:v>No reliable canonical or Legends-era anchor is stated; user decision required.</x:v>
      </x:c>
      <x:c r="L755" s="76" t="str">
        <x:v>The Widow</x:v>
      </x:c>
      <x:c r="M755" s="76" t="str">
        <x:v>The Emperor Kept His Word... Then The Widow Stepped In</x:v>
      </x:c>
      <x:c r="N755" s="76" t="str">
        <x:v>@§ Cash App: $brednew
© PayPal: @blainehenry688
The battle was over. The Jedi was defeated.
With nowhere left to run, he asked the Emperor one
final question:
“Are you going to kill me?”
The Emperor answered:
"No."
For one brief moment, the Jedi believed him.
Then the Emperor looked toward The Widow.</x:v>
      </x:c>
      <x:c r="O755" s="76" t="str">
        <x:v>Below timeline — original fan continuity</x:v>
      </x:c>
      <x:c r="P755" s="76" t="str">
        <x:v>IMG_6585.PNG, IMG_6767.PNG</x:v>
      </x:c>
      <x:c r="Q755" s="76" t="str">
        <x:v>Needs review</x:v>
      </x:c>
      <x:c r="R755" s="76" t="str">
        <x:v>High</x:v>
      </x:c>
      <x:c r="S755" s="76" t="str">
        <x:v>No reliable canonical or Legends-era anchor is stated; user decision required.</x:v>
      </x:c>
      <x:c r="T755" s="76" t="str">
        <x:v>Primary — DUP-006</x:v>
      </x:c>
    </x:row>
    <x:row r="756" s="23" customFormat="1" ht="36" customHeight="1">
      <x:c r="A756" s="49" t="b">
        <x:v>0</x:v>
      </x:c>
      <x:c r="B756" s="56" t="str">
        <x:v>FV-0516</x:v>
      </x:c>
      <x:c r="C756" s="53" t="str">
        <x:v>Review &amp; decide — original fan continuity</x:v>
      </x:c>
      <x:c r="D756" s="53" t="str">
        <x:v>The Fallen Apprentice Chose The Wrong Jedi</x:v>
      </x:c>
      <x:c r="E756" s="53" t="str"/>
      <x:c r="F756" s="53" t="str">
        <x:v>June 18, 2026</x:v>
      </x:c>
      <x:c r="G756" s="53" t="str">
        <x:v>Fan-made / non-canon</x:v>
      </x:c>
      <x:c r="H756" s="53" t="str">
        <x:v>Fan video</x:v>
      </x:c>
      <x:c r="I756" s="53" t="str">
        <x:v>YouTube — search by title</x:v>
      </x:c>
      <x:c r="J756" s="59" t="e">
        <x:f>HYPERLINK("https://www.youtube.com/results?search_query=The%20Fallen%20Apprentice%20Chose%20The%20Wrong%20Jedi","Search")</x:f>
        <x:v>HYPERLINK is not implemented. linkLocation=https://www.youtube.com/results?search_query=The%20Fallen%20Apprentice%20Chose%20The%20Wrong%20Jedi, friendlyName=Search</x:v>
      </x:c>
      <x:c r="K756" s="53" t="str">
        <x:v>No reliable canonical or Legends-era anchor is stated; user decision required.</x:v>
      </x:c>
      <x:c r="L756" s="76" t="str">
        <x:v>The Fallen Apprentice</x:v>
      </x:c>
      <x:c r="M756" s="76" t="str">
        <x:v>The Fallen Apprentice Chose The Wrong Jedi</x:v>
      </x:c>
      <x:c r="N756" s="76" t="str">
        <x:v>The Fallen Apprentice has hunted countless
enemies across forgotten kingdoms, but this time
he faces a Jedi unlike any he has encountered
before. Calm, precise, and impossible to predict,
she turns his own aggression against him in a duel
that changes everything.
« Enjoyed this adventure? Visit @blainehenry593
for more Jedi battles, legendary duels, and
cinematic stories.
How this was made
Made with Al
Sounds or visuals were altered or fully generated. Learn
more</x:v>
      </x:c>
      <x:c r="O756" s="76" t="str">
        <x:v>Below timeline — original fan continuity</x:v>
      </x:c>
      <x:c r="P756" s="76" t="str">
        <x:v>IMG_6705.PNG</x:v>
      </x:c>
      <x:c r="Q756" s="76" t="str">
        <x:v>Needs review</x:v>
      </x:c>
      <x:c r="R756" s="76" t="str">
        <x:v>High</x:v>
      </x:c>
      <x:c r="S756" s="76" t="str">
        <x:v>No reliable canonical or Legends-era anchor is stated; user decision required.</x:v>
      </x:c>
      <x:c r="T756" s="76" t="str">
        <x:v>Unique</x:v>
      </x:c>
    </x:row>
    <x:row r="757" s="23" customFormat="1" ht="36" customHeight="1">
      <x:c r="A757" s="49" t="b">
        <x:v>0</x:v>
      </x:c>
      <x:c r="B757" s="56" t="str">
        <x:v>FV-0507</x:v>
      </x:c>
      <x:c r="C757" s="53" t="str">
        <x:v>Review &amp; decide — original fan continuity</x:v>
      </x:c>
      <x:c r="D757" s="53" t="str">
        <x:v>The Fallen Apprentice Could Not Be Found *</x:v>
      </x:c>
      <x:c r="E757" s="53" t="str"/>
      <x:c r="F757" s="53" t="str">
        <x:v>June 17, 2026</x:v>
      </x:c>
      <x:c r="G757" s="53" t="str">
        <x:v>Fan-made / non-canon</x:v>
      </x:c>
      <x:c r="H757" s="53" t="str">
        <x:v>Fan video</x:v>
      </x:c>
      <x:c r="I757" s="53" t="str">
        <x:v>YouTube — search by title</x:v>
      </x:c>
      <x:c r="J757" s="59" t="e">
        <x:f>HYPERLINK("https://www.youtube.com/results?search_query=The%20Fallen%20Apprentice%20Could%20Not%20Be%20Found%20*","Search")</x:f>
        <x:v>HYPERLINK is not implemented. linkLocation=https://www.youtube.com/results?search_query=The%20Fallen%20Apprentice%20Could%20Not%20Be%20Found%20*, friendlyName=Search</x:v>
      </x:c>
      <x:c r="K757" s="53" t="str">
        <x:v>No reliable canonical or Legends-era anchor is stated; user decision required.</x:v>
      </x:c>
      <x:c r="L757" s="76" t="str">
        <x:v>The Fallen Apprentice</x:v>
      </x:c>
      <x:c r="M757" s="76" t="str">
        <x:v>The Fallen Apprentice Could Not Be Found *</x:v>
      </x:c>
      <x:c r="N757" s="76" t="str">
        <x:v>The Jedi Searched Everywhere... The Fallen
Apprentice Was Right Behind Him
Description:
A lone Jedi enters a forgotten kingdom shrouded in
fog, hunting the mysterious Fallen Apprentice. But
every time he finds him, the dark warrior is already
gone. High above the ruins, across ancient
courtyards, and hidden among towering statues, the
Fallen Apprentice turns the hunt into a deadly game.
Who is hunting whom?
™ Ancient ruins
™™ Legendary Force-speed
« The Fallen Apprentice returns
A mysterious Jedi encounter
Cinematic fantasy adventure</x:v>
      </x:c>
      <x:c r="O757" s="76" t="str">
        <x:v>Below timeline — original fan continuity</x:v>
      </x:c>
      <x:c r="P757" s="76" t="str">
        <x:v>IMG_6696.PNG</x:v>
      </x:c>
      <x:c r="Q757" s="76" t="str">
        <x:v>Needs review</x:v>
      </x:c>
      <x:c r="R757" s="76" t="str">
        <x:v>High</x:v>
      </x:c>
      <x:c r="S757" s="76" t="str">
        <x:v>No reliable canonical or Legends-era anchor is stated; user decision required.</x:v>
      </x:c>
      <x:c r="T757" s="76" t="str">
        <x:v>Unique</x:v>
      </x:c>
    </x:row>
    <x:row r="758" s="23" customFormat="1" ht="36" customHeight="1">
      <x:c r="A758" s="49" t="b">
        <x:v>0</x:v>
      </x:c>
      <x:c r="B758" s="56" t="str">
        <x:v>FV-0511</x:v>
      </x:c>
      <x:c r="C758" s="53" t="str">
        <x:v>Review &amp; decide — original fan continuity</x:v>
      </x:c>
      <x:c r="D758" s="53" t="str">
        <x:v>The Fallen Apprentice Found Something He Was Never Meant to See</x:v>
      </x:c>
      <x:c r="E758" s="53" t="str"/>
      <x:c r="F758" s="53" t="str">
        <x:v>June 18, 2026</x:v>
      </x:c>
      <x:c r="G758" s="53" t="str">
        <x:v>Fan-made / non-canon</x:v>
      </x:c>
      <x:c r="H758" s="53" t="str">
        <x:v>Fan video</x:v>
      </x:c>
      <x:c r="I758" s="53" t="str">
        <x:v>YouTube — search by title</x:v>
      </x:c>
      <x:c r="J758" s="59" t="e">
        <x:f>HYPERLINK("https://www.youtube.com/results?search_query=The%20Fallen%20Apprentice%20Found%20Something%20He%20Was%20Never%20Meant%20to%20See","Search")</x:f>
        <x:v>HYPERLINK is not implemented. linkLocation=https://www.youtube.com/results?search_query=The%20Fallen%20Apprentice%20Found%20Something%20He%20Was%20Never%20Meant%20to%20See, friendlyName=Search</x:v>
      </x:c>
      <x:c r="K758" s="53" t="str">
        <x:v>No reliable canonical or Legends-era anchor is stated; user decision required.</x:v>
      </x:c>
      <x:c r="L758" s="76" t="str">
        <x:v>The Fallen Apprentice</x:v>
      </x:c>
      <x:c r="M758" s="76" t="str">
        <x:v>The Fallen Apprentice Found Something He Was Never Meant to See</x:v>
      </x:c>
      <x:c r="N758" s="76" t="str">
        <x:v>The Fallen Apprentice was once a respected Jedi.
During a mission beneath an ancient kingdom, he
discovered a hidden chamber buried deep below
the temple ruins. Whatever he found there changed
him forever.
His faith was shattered. His path was broken.
The young Jedi who entered the temple never
returned the same.
Years later, the warrior once known as a Jedi
became the feared Fallen Apprentice—a relentless
hunter who walks the forgotten kingdoms of the
galaxy.</x:v>
      </x:c>
      <x:c r="O758" s="76" t="str">
        <x:v>Below timeline — original fan continuity</x:v>
      </x:c>
      <x:c r="P758" s="76" t="str">
        <x:v>IMG_6700.PNG</x:v>
      </x:c>
      <x:c r="Q758" s="76" t="str">
        <x:v>Needs review</x:v>
      </x:c>
      <x:c r="R758" s="76" t="str">
        <x:v>High</x:v>
      </x:c>
      <x:c r="S758" s="76" t="str">
        <x:v>No reliable canonical or Legends-era anchor is stated; user decision required.</x:v>
      </x:c>
      <x:c r="T758" s="76" t="str">
        <x:v>Unique</x:v>
      </x:c>
    </x:row>
    <x:row r="759" s="23" customFormat="1" ht="36" customHeight="1">
      <x:c r="A759" s="49" t="b">
        <x:v>0</x:v>
      </x:c>
      <x:c r="B759" s="56" t="str">
        <x:v>FV-0496</x:v>
      </x:c>
      <x:c r="C759" s="53" t="str">
        <x:v>Review &amp; decide — original fan continuity</x:v>
      </x:c>
      <x:c r="D759" s="53" t="str">
        <x:v>The Fallen Apprentice Was Already There</x:v>
      </x:c>
      <x:c r="E759" s="53" t="str"/>
      <x:c r="F759" s="53" t="str">
        <x:v>June 15, 2026</x:v>
      </x:c>
      <x:c r="G759" s="53" t="str">
        <x:v>Fan-made / non-canon</x:v>
      </x:c>
      <x:c r="H759" s="53" t="str">
        <x:v>Fan video</x:v>
      </x:c>
      <x:c r="I759" s="53" t="str">
        <x:v>YouTube — search by title</x:v>
      </x:c>
      <x:c r="J759" s="59" t="e">
        <x:f>HYPERLINK("https://www.youtube.com/results?search_query=The%20Fallen%20Apprentice%20Was%20Already%20There","Search")</x:f>
        <x:v>HYPERLINK is not implemented. linkLocation=https://www.youtube.com/results?search_query=The%20Fallen%20Apprentice%20Was%20Already%20There, friendlyName=Search</x:v>
      </x:c>
      <x:c r="K759" s="53" t="str">
        <x:v>No reliable canonical or Legends-era anchor is stated; user decision required.</x:v>
      </x:c>
      <x:c r="L759" s="76" t="str">
        <x:v>The Fallen Apprentice</x:v>
      </x:c>
      <x:c r="M759" s="76" t="str">
        <x:v>The Fallen Apprentice Was Already There</x:v>
      </x:c>
      <x:c r="N759" s="76" t="str">
        <x:v>A lone Jedi enters the fog-covered ruins of a
forgotten kingdom, unaware that he is being
watched. High above the ancient stones, the Fallen
Apprentice waits in silence. When the red blade
ignites, the hunt begins.
With a devastating leap from the ruins and a
terrifying burst of speed through the fog, the Fallen
Apprentice launches a relentless attack that pushes
the Jedi to his limits.
™ Ancient ruins. Deadly speed. A hunter who
never stopped searching.
Will the Jedi survive after crossing paths with the
Fallen Apprentice?
™ Enjoyed this adventure? Visit @blainehenry593</x:v>
      </x:c>
      <x:c r="O759" s="76" t="str">
        <x:v>Below timeline — original fan continuity</x:v>
      </x:c>
      <x:c r="P759" s="76" t="str">
        <x:v>IMG_6685.PNG</x:v>
      </x:c>
      <x:c r="Q759" s="76" t="str">
        <x:v>Needs review</x:v>
      </x:c>
      <x:c r="R759" s="76" t="str">
        <x:v>High</x:v>
      </x:c>
      <x:c r="S759" s="76" t="str">
        <x:v>No reliable canonical or Legends-era anchor is stated; user decision required.</x:v>
      </x:c>
      <x:c r="T759" s="76" t="str">
        <x:v>Unique</x:v>
      </x:c>
    </x:row>
    <x:row r="760" s="23" customFormat="1" ht="36" customHeight="1">
      <x:c r="A760" s="49" t="b">
        <x:v>0</x:v>
      </x:c>
      <x:c r="B760" s="56" t="str">
        <x:v>FV-0505</x:v>
      </x:c>
      <x:c r="C760" s="53" t="str">
        <x:v>Review &amp; decide — original fan continuity</x:v>
      </x:c>
      <x:c r="D760" s="53" t="str">
        <x:v>The Fallen Apprentice Was Already There</x:v>
      </x:c>
      <x:c r="E760" s="53" t="str"/>
      <x:c r="F760" s="53" t="str">
        <x:v>June 16, 2026</x:v>
      </x:c>
      <x:c r="G760" s="53" t="str">
        <x:v>Fan-made / non-canon</x:v>
      </x:c>
      <x:c r="H760" s="53" t="str">
        <x:v>Fan video</x:v>
      </x:c>
      <x:c r="I760" s="53" t="str">
        <x:v>YouTube — search by title</x:v>
      </x:c>
      <x:c r="J760" s="59" t="e">
        <x:f>HYPERLINK("https://www.youtube.com/results?search_query=The%20Fallen%20Apprentice%20Was%20Already%20There","Search")</x:f>
        <x:v>HYPERLINK is not implemented. linkLocation=https://www.youtube.com/results?search_query=The%20Fallen%20Apprentice%20Was%20Already%20There, friendlyName=Search</x:v>
      </x:c>
      <x:c r="K760" s="53" t="str">
        <x:v>No reliable canonical or Legends-era anchor is stated; user decision required.</x:v>
      </x:c>
      <x:c r="L760" s="76" t="str">
        <x:v>The Fallen Apprentice</x:v>
      </x:c>
      <x:c r="M760" s="76" t="str">
        <x:v>The Fallen Apprentice Was Already There</x:v>
      </x:c>
      <x:c r="N760" s="76" t="str">
        <x:v>lone Jedi enters a forgotten kingdom hidden
beneath dense fog. Ancient statues stand broken.
The ruins are silent.
Then two red lightsabers ignite high above.
The Fallen Apprentice has been waiting.
What follows is a relentless hunt through the
ancient kingdom as one of the most feared warriors
emerges from the mist.
™ Two red blades.
Hl Endless fog.
pig A kingdom that should have stayed forgotten.</x:v>
      </x:c>
      <x:c r="O760" s="76" t="str">
        <x:v>Below timeline — original fan continuity</x:v>
      </x:c>
      <x:c r="P760" s="76" t="str">
        <x:v>IMG_6694.PNG</x:v>
      </x:c>
      <x:c r="Q760" s="76" t="str">
        <x:v>Needs review</x:v>
      </x:c>
      <x:c r="R760" s="76" t="str">
        <x:v>High</x:v>
      </x:c>
      <x:c r="S760" s="76" t="str">
        <x:v>No reliable canonical or Legends-era anchor is stated; user decision required.</x:v>
      </x:c>
      <x:c r="T760" s="76" t="str">
        <x:v>Unique</x:v>
      </x:c>
    </x:row>
    <x:row r="761" s="23" customFormat="1" ht="36" customHeight="1">
      <x:c r="A761" s="49" t="b">
        <x:v>0</x:v>
      </x:c>
      <x:c r="B761" s="56" t="str">
        <x:v>FV-0544</x:v>
      </x:c>
      <x:c r="C761" s="53" t="str">
        <x:v>Review &amp; decide — original fan continuity</x:v>
      </x:c>
      <x:c r="D761" s="53" t="str">
        <x:v>The Fallen Apprentice Was Already Watching... | The Swamp Hunt</x:v>
      </x:c>
      <x:c r="E761" s="53" t="str"/>
      <x:c r="F761" s="53" t="str">
        <x:v>July 29, 2026</x:v>
      </x:c>
      <x:c r="G761" s="53" t="str">
        <x:v>Fan-made / non-canon</x:v>
      </x:c>
      <x:c r="H761" s="53" t="str">
        <x:v>Fan video</x:v>
      </x:c>
      <x:c r="I761" s="53" t="str">
        <x:v>YouTube — search by title</x:v>
      </x:c>
      <x:c r="J761" s="59" t="e">
        <x:f>HYPERLINK("https://www.youtube.com/results?search_query=The%20Fallen%20Apprentice%20Was%20Already%20Watching...%20%7C%20The%20Swamp%20Hunt","Search")</x:f>
        <x:v>HYPERLINK is not implemented. linkLocation=https://www.youtube.com/results?search_query=The%20Fallen%20Apprentice%20Was%20Already%20Watching...%20%7C%20The%20Swamp%20Hunt, friendlyName=Search</x:v>
      </x:c>
      <x:c r="K761" s="53" t="str">
        <x:v>No reliable canonical or Legends-era anchor is stated; user decision required.</x:v>
      </x:c>
      <x:c r="L761" s="76" t="str">
        <x:v>The Fallen Apprentice</x:v>
      </x:c>
      <x:c r="M761" s="76" t="str">
        <x:v>The Fallen Apprentice Was Already Watching... | The Swamp Hunt</x:v>
      </x:c>
      <x:c r="N761" s="76" t="str">
        <x:v>A heavily armed search team enters the swamp ona
dangerous mission: find the Fallen Apprentice
before it’s too late. But deep in the shadows, they
quickly realize they aren't the hunters anymore...
Who—or what—is watching them from the
darkness?
If you enjoy cinematic Jedi adventures, suspense,
and unforgettable original characters, Like,
Comment, and Subscribe for more.
© Watch exclusive members-only mini-movies on
Patreon:
https://www.patreon.com/
JediChroniclesbyUnleashed</x:v>
      </x:c>
      <x:c r="O761" s="76" t="str">
        <x:v>Below timeline — original fan continuity</x:v>
      </x:c>
      <x:c r="P761" s="76" t="str">
        <x:v>IMG_6733.PNG</x:v>
      </x:c>
      <x:c r="Q761" s="76" t="str">
        <x:v>Needs review</x:v>
      </x:c>
      <x:c r="R761" s="76" t="str">
        <x:v>High</x:v>
      </x:c>
      <x:c r="S761" s="76" t="str">
        <x:v>No reliable canonical or Legends-era anchor is stated; user decision required.</x:v>
      </x:c>
      <x:c r="T761" s="76" t="str">
        <x:v>Unique</x:v>
      </x:c>
    </x:row>
    <x:row r="762" s="23" customFormat="1" ht="36" customHeight="1">
      <x:c r="A762" s="49" t="b">
        <x:v>0</x:v>
      </x:c>
      <x:c r="B762" s="56" t="str">
        <x:v>FV-0524</x:v>
      </x:c>
      <x:c r="C762" s="53" t="str">
        <x:v>Review &amp; decide — original fan continuity</x:v>
      </x:c>
      <x:c r="D762" s="53" t="str">
        <x:v>The Fallen Apprentice Was Chosen | Part 4</x:v>
      </x:c>
      <x:c r="E762" s="53" t="str">
        <x:v>Part 4</x:v>
      </x:c>
      <x:c r="F762" s="53" t="str">
        <x:v>June 20, 2026</x:v>
      </x:c>
      <x:c r="G762" s="53" t="str">
        <x:v>Fan-made / non-canon</x:v>
      </x:c>
      <x:c r="H762" s="53" t="str">
        <x:v>Fan video</x:v>
      </x:c>
      <x:c r="I762" s="53" t="str">
        <x:v>YouTube — search by title</x:v>
      </x:c>
      <x:c r="J762" s="59" t="e">
        <x:f>HYPERLINK("https://www.youtube.com/results?search_query=The%20Fallen%20Apprentice%20Was%20Chosen%20%7C%20Part%204","Search")</x:f>
        <x:v>HYPERLINK is not implemented. linkLocation=https://www.youtube.com/results?search_query=The%20Fallen%20Apprentice%20Was%20Chosen%20%7C%20Part%204, friendlyName=Search</x:v>
      </x:c>
      <x:c r="K762" s="53" t="str">
        <x:v>No reliable canonical or Legends-era anchor is stated; user decision required.</x:v>
      </x:c>
      <x:c r="L762" s="76" t="str">
        <x:v>The Fallen Apprentice</x:v>
      </x:c>
      <x:c r="M762" s="76" t="str">
        <x:v>The Fallen Apprentice Was Chosen | Part 4</x:v>
      </x:c>
      <x:c r="N762" s="76" t="str">
        <x:v>Long before he became the most feared ruler in the
galaxy, the Emperor stood alone atop an ancient
mountain temple and looked beyond the present.
He saw kingdoms rise.
He saw civilizations fall.
He saw wars that had not yet begun.
While others admired the beauty of the world before
them, the Emperor was already looking far beyond
the horizon.
Some called it vision.
Some called it destiny.</x:v>
      </x:c>
      <x:c r="O762" s="76" t="str">
        <x:v>Below timeline — original fan continuity</x:v>
      </x:c>
      <x:c r="P762" s="76" t="str">
        <x:v>IMG_6713.PNG</x:v>
      </x:c>
      <x:c r="Q762" s="76" t="str">
        <x:v>Needs review</x:v>
      </x:c>
      <x:c r="R762" s="76" t="str">
        <x:v>High</x:v>
      </x:c>
      <x:c r="S762" s="76" t="str">
        <x:v>No reliable canonical or Legends-era anchor is stated; user decision required.</x:v>
      </x:c>
      <x:c r="T762" s="76" t="str">
        <x:v>Unique</x:v>
      </x:c>
    </x:row>
    <x:row r="763" s="23" customFormat="1" ht="36" customHeight="1">
      <x:c r="A763" s="49" t="b">
        <x:v>0</x:v>
      </x:c>
      <x:c r="B763" s="56" t="str">
        <x:v>FV-0574</x:v>
      </x:c>
      <x:c r="C763" s="53" t="str">
        <x:v>Review &amp; decide — original fan continuity</x:v>
      </x:c>
      <x:c r="D763" s="53" t="str">
        <x:v>The Fallen Apprentice Was Hiding UNDER the Transport @ é</x:v>
      </x:c>
      <x:c r="E763" s="53" t="str"/>
      <x:c r="F763" s="53" t="str">
        <x:v>August 22, 2026</x:v>
      </x:c>
      <x:c r="G763" s="53" t="str">
        <x:v>Fan-made / non-canon</x:v>
      </x:c>
      <x:c r="H763" s="53" t="str">
        <x:v>Fan video</x:v>
      </x:c>
      <x:c r="I763" s="53" t="str">
        <x:v>YouTube — search by title</x:v>
      </x:c>
      <x:c r="J763" s="59" t="e">
        <x:f>HYPERLINK("https://www.youtube.com/results?search_query=The%20Fallen%20Apprentice%20Was%20Hiding%20UNDER%20the%20Transport%20%40%20%C3%A9","Search")</x:f>
        <x:v>HYPERLINK is not implemented. linkLocation=https://www.youtube.com/results?search_query=The%20Fallen%20Apprentice%20Was%20Hiding%20UNDER%20the%20Transport%20%40%20%C3%A9, friendlyName=Search</x:v>
      </x:c>
      <x:c r="K763" s="53" t="str">
        <x:v>No reliable canonical or Legends-era anchor is stated; user decision required.</x:v>
      </x:c>
      <x:c r="L763" s="76" t="str">
        <x:v>The Fallen Apprentice</x:v>
      </x:c>
      <x:c r="M763" s="76" t="str">
        <x:v>The Fallen Apprentice Was Hiding UNDER the Transport @ é</x:v>
      </x:c>
      <x:c r="N763" s="76" t="str">
        <x:v>§38 Cash App: $brednew
© PayPal: @blainehenry688
Nobody looked underneath.
High above the canyon, a transport races across the
massive bridge—but the Fallen Apprentice is already
there, hanging beneath it as the ground disappears
thousands of feet below.
Then the red lightsaber ignites. é
Some warriors chase their enemies.
The Fallen Apprentice rides with them.
#FallenAvnprentice #StarWars #DarkSide</x:v>
      </x:c>
      <x:c r="O763" s="76" t="str">
        <x:v>Below timeline — original fan continuity</x:v>
      </x:c>
      <x:c r="P763" s="76" t="str">
        <x:v>IMG_6764.PNG</x:v>
      </x:c>
      <x:c r="Q763" s="76" t="str">
        <x:v>Needs review</x:v>
      </x:c>
      <x:c r="R763" s="76" t="str">
        <x:v>High</x:v>
      </x:c>
      <x:c r="S763" s="76" t="str">
        <x:v>No reliable canonical or Legends-era anchor is stated; user decision required.</x:v>
      </x:c>
      <x:c r="T763" s="76" t="str">
        <x:v>Unique</x:v>
      </x:c>
    </x:row>
    <x:row r="764" s="23" customFormat="1" ht="36" customHeight="1">
      <x:c r="A764" s="49" t="b">
        <x:v>0</x:v>
      </x:c>
      <x:c r="B764" s="56" t="str">
        <x:v>FV-0510</x:v>
      </x:c>
      <x:c r="C764" s="53" t="str">
        <x:v>Review &amp; decide — original fan continuity</x:v>
      </x:c>
      <x:c r="D764" s="53" t="str">
        <x:v>The Fallen Apprentice: How a Jedi Became a Hunter *</x:v>
      </x:c>
      <x:c r="E764" s="53" t="str"/>
      <x:c r="F764" s="53" t="str">
        <x:v>June 18, 2026</x:v>
      </x:c>
      <x:c r="G764" s="53" t="str">
        <x:v>Fan-made / non-canon</x:v>
      </x:c>
      <x:c r="H764" s="53" t="str">
        <x:v>Fan video</x:v>
      </x:c>
      <x:c r="I764" s="53" t="str">
        <x:v>YouTube — search by title</x:v>
      </x:c>
      <x:c r="J764" s="59" t="e">
        <x:f>HYPERLINK("https://www.youtube.com/results?search_query=The%20Fallen%20Apprentice%3A%20How%20a%20Jedi%20Became%20a%20Hunter%20*","Search")</x:f>
        <x:v>HYPERLINK is not implemented. linkLocation=https://www.youtube.com/results?search_query=The%20Fallen%20Apprentice%3A%20How%20a%20Jedi%20Became%20a%20Hunter%20*, friendlyName=Search</x:v>
      </x:c>
      <x:c r="K764" s="53" t="str">
        <x:v>No reliable canonical or Legends-era anchor is stated; user decision required.</x:v>
      </x:c>
      <x:c r="L764" s="76" t="str">
        <x:v>The Fallen Apprentice</x:v>
      </x:c>
      <x:c r="M764" s="76" t="str">
        <x:v>The Fallen Apprentice: How a Jedi Became a Hunter *</x:v>
      </x:c>
      <x:c r="N764" s="76" t="str">
        <x:v>Before he was feared across the ancient kingdoms,
he was a Jedi.
Trained to protect the innocent, the Fallen
Apprentice walked the same path as every young
warrior. But something changed. Betrayal, loss, and
anger slowly pulled him into the darkness.
Now he wanders forgotten worlds and ruined
kingdoms, hunting anyone brave enough to stand
against him. Armed with a crimson lightsaber and
unmatched determination, the Fallen Apprentice
has become one of the most dangerous warriors
alive.
But one question remains...</x:v>
      </x:c>
      <x:c r="O764" s="76" t="str">
        <x:v>Below timeline — original fan continuity</x:v>
      </x:c>
      <x:c r="P764" s="76" t="str">
        <x:v>IMG_6699.PNG</x:v>
      </x:c>
      <x:c r="Q764" s="76" t="str">
        <x:v>Needs review</x:v>
      </x:c>
      <x:c r="R764" s="76" t="str">
        <x:v>High</x:v>
      </x:c>
      <x:c r="S764" s="76" t="str">
        <x:v>No reliable canonical or Legends-era anchor is stated; user decision required.</x:v>
      </x:c>
      <x:c r="T764" s="76" t="str">
        <x:v>Unique</x:v>
      </x:c>
    </x:row>
    <x:row r="765" s="23" customFormat="1" ht="36" customHeight="1">
      <x:c r="A765" s="49" t="b">
        <x:v>0</x:v>
      </x:c>
      <x:c r="B765" s="56" t="str">
        <x:v>FV-0526</x:v>
      </x:c>
      <x:c r="C765" s="53" t="str">
        <x:v>Review &amp; decide — original fan continuity</x:v>
      </x:c>
      <x:c r="D765" s="53" t="str">
        <x:v>The First Sighting | Shadow: Part 2</x:v>
      </x:c>
      <x:c r="E765" s="53" t="str">
        <x:v>Part 2</x:v>
      </x:c>
      <x:c r="F765" s="53" t="str">
        <x:v>June 20, 2026</x:v>
      </x:c>
      <x:c r="G765" s="53" t="str">
        <x:v>Fan-made / non-canon</x:v>
      </x:c>
      <x:c r="H765" s="53" t="str">
        <x:v>Fan video</x:v>
      </x:c>
      <x:c r="I765" s="53" t="str">
        <x:v>YouTube — search by title</x:v>
      </x:c>
      <x:c r="J765" s="59" t="e">
        <x:f>HYPERLINK("https://www.youtube.com/results?search_query=The%20First%20Sighting%20%7C%20Shadow%3A%20Part%202","Search")</x:f>
        <x:v>HYPERLINK is not implemented. linkLocation=https://www.youtube.com/results?search_query=The%20First%20Sighting%20%7C%20Shadow%3A%20Part%202, friendlyName=Search</x:v>
      </x:c>
      <x:c r="K765" s="53" t="str">
        <x:v>No reliable canonical or Legends-era anchor is stated; user decision required.</x:v>
      </x:c>
      <x:c r="L765" s="76" t="str">
        <x:v>Shadow</x:v>
      </x:c>
      <x:c r="M765" s="76" t="str">
        <x:v>The First Sighting | Shadow: Part 2</x:v>
      </x:c>
      <x:c r="N765" s="76" t="str">
        <x:v>The legend of Shadow did not begin with a battle.
It began with a storm.
On a dark evening beneath the mountains, villagers
witnessed something impossible moving through
the clouds above their kingdom.
A figure dressed entirely in black.
Silent.
Unseen.
Untouched by the storm.
No one knew his name.</x:v>
      </x:c>
      <x:c r="O765" s="76" t="str">
        <x:v>Below timeline — original fan continuity</x:v>
      </x:c>
      <x:c r="P765" s="76" t="str">
        <x:v>IMG_6715.PNG</x:v>
      </x:c>
      <x:c r="Q765" s="76" t="str">
        <x:v>Needs review</x:v>
      </x:c>
      <x:c r="R765" s="76" t="str">
        <x:v>High</x:v>
      </x:c>
      <x:c r="S765" s="76" t="str">
        <x:v>Shares a title and publication date with another screenshot, but description differs | No reliable canonical or Legends-era anchor is stated; user decision required.</x:v>
      </x:c>
      <x:c r="T765" s="76" t="str">
        <x:v>Possible duplicate title/date — retained as separate video — POSS-DUP-004</x:v>
      </x:c>
    </x:row>
    <x:row r="766" s="23" customFormat="1" ht="36" customHeight="1">
      <x:c r="A766" s="49" t="b">
        <x:v>0</x:v>
      </x:c>
      <x:c r="B766" s="56" t="str">
        <x:v>FV-0527</x:v>
      </x:c>
      <x:c r="C766" s="53" t="str">
        <x:v>Review &amp; decide — original fan continuity</x:v>
      </x:c>
      <x:c r="D766" s="53" t="str">
        <x:v>The First Sighting | Shadow: Part 2</x:v>
      </x:c>
      <x:c r="E766" s="53" t="str">
        <x:v>Part 2</x:v>
      </x:c>
      <x:c r="F766" s="53" t="str">
        <x:v>June 20, 2026</x:v>
      </x:c>
      <x:c r="G766" s="53" t="str">
        <x:v>Fan-made / non-canon</x:v>
      </x:c>
      <x:c r="H766" s="53" t="str">
        <x:v>Fan video</x:v>
      </x:c>
      <x:c r="I766" s="53" t="str">
        <x:v>YouTube — search by title</x:v>
      </x:c>
      <x:c r="J766" s="59" t="e">
        <x:f>HYPERLINK("https://www.youtube.com/results?search_query=The%20First%20Sighting%20%7C%20Shadow%3A%20Part%202","Search")</x:f>
        <x:v>HYPERLINK is not implemented. linkLocation=https://www.youtube.com/results?search_query=The%20First%20Sighting%20%7C%20Shadow%3A%20Part%202, friendlyName=Search</x:v>
      </x:c>
      <x:c r="K766" s="53" t="str">
        <x:v>No reliable canonical or Legends-era anchor is stated; user decision required.</x:v>
      </x:c>
      <x:c r="L766" s="76" t="str">
        <x:v>Shadow</x:v>
      </x:c>
      <x:c r="M766" s="76" t="str">
        <x:v>The First Sighting | Shadow: Part 2</x:v>
      </x:c>
      <x:c r="N766" s="76" t="str">
        <x:v>The legend of Shadow did not begin with a battle.
It began with a sighting.
During a violent storm above the mountain
kingdoms, travelers witnessed something
impossible moving through the clouds.
A lone figure dressed entirely in black.
Silent.
Fearless.
Untouched by the storm.
No one knew his name.</x:v>
      </x:c>
      <x:c r="O766" s="76" t="str">
        <x:v>Below timeline — original fan continuity</x:v>
      </x:c>
      <x:c r="P766" s="76" t="str">
        <x:v>IMG_6716.PNG</x:v>
      </x:c>
      <x:c r="Q766" s="76" t="str">
        <x:v>Needs review</x:v>
      </x:c>
      <x:c r="R766" s="76" t="str">
        <x:v>High</x:v>
      </x:c>
      <x:c r="S766" s="76" t="str">
        <x:v>Shares a title and publication date with another screenshot, but description differs | No reliable canonical or Legends-era anchor is stated; user decision required.</x:v>
      </x:c>
      <x:c r="T766" s="76" t="str">
        <x:v>Possible duplicate title/date — retained as separate video — POSS-DUP-004</x:v>
      </x:c>
    </x:row>
    <x:row r="767" s="23" customFormat="1" ht="36" customHeight="1">
      <x:c r="A767" s="49" t="b">
        <x:v>0</x:v>
      </x:c>
      <x:c r="B767" s="56" t="str">
        <x:v>FV-0261</x:v>
      </x:c>
      <x:c r="C767" s="53" t="str">
        <x:v>Review &amp; decide — original fan continuity</x:v>
      </x:c>
      <x:c r="D767" s="53" t="str">
        <x:v>THE FORGE JEDI — HER FIRST TRUE STRIKE AWAKENED THE BLADE</x:v>
      </x:c>
      <x:c r="E767" s="53" t="str"/>
      <x:c r="F767" s="53" t="str">
        <x:v>September 5, 2026</x:v>
      </x:c>
      <x:c r="G767" s="53" t="str">
        <x:v>Fan-made / non-canon</x:v>
      </x:c>
      <x:c r="H767" s="53" t="str">
        <x:v>Fan video</x:v>
      </x:c>
      <x:c r="I767" s="53" t="str">
        <x:v>YouTube — search by title</x:v>
      </x:c>
      <x:c r="J767" s="59" t="e">
        <x:f>HYPERLINK("https://www.youtube.com/results?search_query=THE%20FORGE%20JEDI%20%E2%80%94%20HER%20FIRST%20TRUE%20STRIKE%20AWAKENED%20THE%20BLADE","Search")</x:f>
        <x:v>HYPERLINK is not implemented. linkLocation=https://www.youtube.com/results?search_query=THE%20FORGE%20JEDI%20%E2%80%94%20HER%20FIRST%20TRUE%20STRIKE%20AWAKENED%20THE%20BLADE, friendlyName=Search</x:v>
      </x:c>
      <x:c r="K767" s="53" t="str">
        <x:v>No reliable canonical or Legends-era anchor is stated; user decision required.</x:v>
      </x:c>
      <x:c r="L767" s="76" t="str"/>
      <x:c r="M767" s="76" t="str">
        <x:v>THE FORGE JEDI — HER FIRST TRUE STRIKE AWAKENED THE BLADE</x:v>
      </x:c>
      <x:c r="N767" s="76"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767" s="76" t="str">
        <x:v>Below timeline — original fan continuity</x:v>
      </x:c>
      <x:c r="P767" s="76" t="str">
        <x:v>IMG_6446.PNG</x:v>
      </x:c>
      <x:c r="Q767" s="76" t="str">
        <x:v>Needs review</x:v>
      </x:c>
      <x:c r="R767" s="76" t="str">
        <x:v>High</x:v>
      </x:c>
      <x:c r="S767" s="76" t="str">
        <x:v>No reliable canonical or Legends-era anchor is stated; user decision required.</x:v>
      </x:c>
      <x:c r="T767" s="76" t="str">
        <x:v>Unique</x:v>
      </x:c>
    </x:row>
    <x:row r="768" s="23" customFormat="1" ht="36" customHeight="1">
      <x:c r="A768" s="49" t="b">
        <x:v>0</x:v>
      </x:c>
      <x:c r="B768" s="56" t="str">
        <x:v>FV-0364</x:v>
      </x:c>
      <x:c r="C768" s="53" t="str">
        <x:v>Review &amp; decide — original fan continuity</x:v>
      </x:c>
      <x:c r="D768" s="53" t="str">
        <x:v>The Forge Jedi Created a Lightsaber That Chose Its Own Master</x:v>
      </x:c>
      <x:c r="E768" s="53" t="str"/>
      <x:c r="F768" s="53" t="str">
        <x:v>August 25, 2026</x:v>
      </x:c>
      <x:c r="G768" s="53" t="str">
        <x:v>Fan-made / non-canon</x:v>
      </x:c>
      <x:c r="H768" s="53" t="str">
        <x:v>Fan video</x:v>
      </x:c>
      <x:c r="I768" s="53" t="str">
        <x:v>YouTube — search by title</x:v>
      </x:c>
      <x:c r="J768" s="59" t="e">
        <x:f>HYPERLINK("https://www.youtube.com/results?search_query=The%20Forge%20Jedi%20Created%20a%20Lightsaber%20That%20Chose%20Its%20Own%20Master","Search")</x:f>
        <x:v>HYPERLINK is not implemented. linkLocation=https://www.youtube.com/results?search_query=The%20Forge%20Jedi%20Created%20a%20Lightsaber%20That%20Chose%20Its%20Own%20Master, friendlyName=Search</x:v>
      </x:c>
      <x:c r="K768" s="53" t="str">
        <x:v>No reliable canonical or Legends-era anchor is stated; user decision required.</x:v>
      </x:c>
      <x:c r="L768" s="76" t="str"/>
      <x:c r="M768" s="76" t="str">
        <x:v>The Forge Jedi Created a Lightsaber That Chose Its Own Master</x:v>
      </x:c>
      <x:c r="N768" s="76"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768" s="76" t="str">
        <x:v>Below timeline — original fan continuity</x:v>
      </x:c>
      <x:c r="P768" s="76" t="str">
        <x:v>IMG_6550.PNG</x:v>
      </x:c>
      <x:c r="Q768" s="76" t="str">
        <x:v>Needs review</x:v>
      </x:c>
      <x:c r="R768" s="76" t="str">
        <x:v>High</x:v>
      </x:c>
      <x:c r="S768" s="76" t="str">
        <x:v>No reliable canonical or Legends-era anchor is stated; user decision required.</x:v>
      </x:c>
      <x:c r="T768" s="76" t="str">
        <x:v>Unique</x:v>
      </x:c>
    </x:row>
    <x:row r="769" s="23" customFormat="1" ht="36" customHeight="1">
      <x:c r="A769" s="49" t="b">
        <x:v>0</x:v>
      </x:c>
      <x:c r="B769" s="56" t="str">
        <x:v>FV-0350</x:v>
      </x:c>
      <x:c r="C769" s="53" t="str">
        <x:v>Review &amp; decide — original fan continuity</x:v>
      </x:c>
      <x:c r="D769" s="53" t="str">
        <x:v>The Forge Jedi Was Given a Cracked Kyber Crystal...</x:v>
      </x:c>
      <x:c r="E769" s="53" t="str"/>
      <x:c r="F769" s="53" t="str">
        <x:v>August 26, 2026</x:v>
      </x:c>
      <x:c r="G769" s="53" t="str">
        <x:v>Fan-made / non-canon</x:v>
      </x:c>
      <x:c r="H769" s="53" t="str">
        <x:v>Fan video</x:v>
      </x:c>
      <x:c r="I769" s="53" t="str">
        <x:v>YouTube — search by title</x:v>
      </x:c>
      <x:c r="J769" s="59" t="e">
        <x:f>HYPERLINK("https://www.youtube.com/results?search_query=The%20Forge%20Jedi%20Was%20Given%20a%20Cracked%20Kyber%20Crystal...","Search")</x:f>
        <x:v>HYPERLINK is not implemented. linkLocation=https://www.youtube.com/results?search_query=The%20Forge%20Jedi%20Was%20Given%20a%20Cracked%20Kyber%20Crystal..., friendlyName=Search</x:v>
      </x:c>
      <x:c r="K769" s="53" t="str">
        <x:v>No reliable canonical or Legends-era anchor is stated; user decision required.</x:v>
      </x:c>
      <x:c r="L769" s="76" t="str"/>
      <x:c r="M769" s="76" t="str">
        <x:v>The Forge Jedi Was Given a Cracked Kyber Crystal...</x:v>
      </x:c>
      <x:c r="N769" s="76"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769" s="76" t="str">
        <x:v>Below timeline — original fan continuity</x:v>
      </x:c>
      <x:c r="P769" s="76" t="str">
        <x:v>IMG_6536.PNG</x:v>
      </x:c>
      <x:c r="Q769" s="76" t="str">
        <x:v>Needs review</x:v>
      </x:c>
      <x:c r="R769" s="76" t="str">
        <x:v>High</x:v>
      </x:c>
      <x:c r="S769" s="76" t="str">
        <x:v>No reliable canonical or Legends-era anchor is stated; user decision required.</x:v>
      </x:c>
      <x:c r="T769" s="76" t="str">
        <x:v>Unique</x:v>
      </x:c>
    </x:row>
    <x:row r="770" s="23" customFormat="1" ht="36" customHeight="1">
      <x:c r="A770" s="49" t="b">
        <x:v>0</x:v>
      </x:c>
      <x:c r="B770" s="56" t="str">
        <x:v>FV-0397</x:v>
      </x:c>
      <x:c r="C770" s="53" t="str">
        <x:v>Review &amp; decide — original fan continuity</x:v>
      </x:c>
      <x:c r="D770" s="53" t="str">
        <x:v>The Huntress on the Train</x:v>
      </x:c>
      <x:c r="E770" s="53" t="str"/>
      <x:c r="F770" s="53" t="str">
        <x:v>August 22, 2026</x:v>
      </x:c>
      <x:c r="G770" s="53" t="str">
        <x:v>Fan-made / non-canon</x:v>
      </x:c>
      <x:c r="H770" s="53" t="str">
        <x:v>Fan video</x:v>
      </x:c>
      <x:c r="I770" s="53" t="str">
        <x:v>YouTube — search by title</x:v>
      </x:c>
      <x:c r="J770" s="59" t="e">
        <x:f>HYPERLINK("https://www.youtube.com/results?search_query=The%20Huntress%20on%20the%20Train","Search")</x:f>
        <x:v>HYPERLINK is not implemented. linkLocation=https://www.youtube.com/results?search_query=The%20Huntress%20on%20the%20Train, friendlyName=Search</x:v>
      </x:c>
      <x:c r="K770" s="53" t="str">
        <x:v>No reliable canonical or Legends-era anchor is stated; user decision required.</x:v>
      </x:c>
      <x:c r="L770" s="76" t="str"/>
      <x:c r="M770" s="76" t="str">
        <x:v>The Huntress on the Train</x:v>
      </x:c>
      <x:c r="N770" s="76" t="str">
        <x:v>3 Cash App: $brednew
© PayPal: @blainehenry688
The Huntress races across the top of a speeding
train with her blue and green lightsabers blazing.
One wrong move and it's over.
But slowing down was never an option.
#TheHuntress #Lightsaber #Jedi #Cinematic
#StarWars
How this was made
Made with Al
Sounds or visuals were altered or fully generated. Learn</x:v>
      </x:c>
      <x:c r="O770" s="76" t="str">
        <x:v>Below timeline — original fan continuity</x:v>
      </x:c>
      <x:c r="P770" s="76" t="str">
        <x:v>IMG_6583.PNG</x:v>
      </x:c>
      <x:c r="Q770" s="76" t="str">
        <x:v>Needs review</x:v>
      </x:c>
      <x:c r="R770" s="76" t="str">
        <x:v>High</x:v>
      </x:c>
      <x:c r="S770" s="76" t="str">
        <x:v>No reliable canonical or Legends-era anchor is stated; user decision required.</x:v>
      </x:c>
      <x:c r="T770" s="76" t="str">
        <x:v>Unique</x:v>
      </x:c>
    </x:row>
    <x:row r="771" s="23" customFormat="1" ht="36" customHeight="1">
      <x:c r="A771" s="49" t="b">
        <x:v>0</x:v>
      </x:c>
      <x:c r="B771" s="56" t="str">
        <x:v>FV-0388</x:v>
      </x:c>
      <x:c r="C771" s="53" t="str">
        <x:v>Review &amp; decide — original fan continuity</x:v>
      </x:c>
      <x:c r="D771" s="53" t="str">
        <x:v>The Huntress Will Return | Nothing Can Stop Her</x:v>
      </x:c>
      <x:c r="E771" s="53" t="str"/>
      <x:c r="F771" s="53" t="str">
        <x:v>August 23, 2026</x:v>
      </x:c>
      <x:c r="G771" s="53" t="str">
        <x:v>Fan-made / non-canon</x:v>
      </x:c>
      <x:c r="H771" s="53" t="str">
        <x:v>Fan video</x:v>
      </x:c>
      <x:c r="I771" s="53" t="str">
        <x:v>YouTube — search by title</x:v>
      </x:c>
      <x:c r="J771" s="59" t="e">
        <x:f>HYPERLINK("https://www.youtube.com/results?search_query=The%20Huntress%20Will%20Return%20%7C%20Nothing%20Can%20Stop%20Her","Search")</x:f>
        <x:v>HYPERLINK is not implemented. linkLocation=https://www.youtube.com/results?search_query=The%20Huntress%20Will%20Return%20%7C%20Nothing%20Can%20Stop%20Her, friendlyName=Search</x:v>
      </x:c>
      <x:c r="K771" s="53" t="str">
        <x:v>No reliable canonical or Legends-era anchor is stated; user decision required.</x:v>
      </x:c>
      <x:c r="L771" s="76" t="str"/>
      <x:c r="M771" s="76" t="str">
        <x:v>The Huntress Will Return | Nothing Can Stop Her</x:v>
      </x:c>
      <x:c r="N771" s="76" t="str">
        <x:v>3 Cash App: $brednew
© PayPal: @blainehenry688
They opened fire.
The Huntress kept coming.
With her signature BLUE and GREEN lightsabers,
she charges straight through a storm of blaster fire
without slowing down.
And this battle isn't the end.
THE HUNTRESS WILL RETURN.
#TheHuntress #Jedi #Lightsaber #StarWars
#StarWarsLore #Cinematic</x:v>
      </x:c>
      <x:c r="O771" s="76" t="str">
        <x:v>Below timeline — original fan continuity</x:v>
      </x:c>
      <x:c r="P771" s="76" t="str">
        <x:v>IMG_6574.PNG</x:v>
      </x:c>
      <x:c r="Q771" s="76" t="str">
        <x:v>Needs review</x:v>
      </x:c>
      <x:c r="R771" s="76" t="str">
        <x:v>High</x:v>
      </x:c>
      <x:c r="S771" s="76" t="str">
        <x:v>No reliable canonical or Legends-era anchor is stated; user decision required.</x:v>
      </x:c>
      <x:c r="T771" s="76" t="str">
        <x:v>Unique</x:v>
      </x:c>
    </x:row>
    <x:row r="772" s="23" customFormat="1" ht="36" customHeight="1">
      <x:c r="A772" s="49" t="b">
        <x:v>0</x:v>
      </x:c>
      <x:c r="B772" s="56" t="str">
        <x:v>FV-0391</x:v>
      </x:c>
      <x:c r="C772" s="53" t="str">
        <x:v>Review &amp; decide — original fan continuity</x:v>
      </x:c>
      <x:c r="D772" s="53" t="str">
        <x:v>The Huntress: When Hope Falls... Legends Rise</x:v>
      </x:c>
      <x:c r="E772" s="53" t="str"/>
      <x:c r="F772" s="53" t="str">
        <x:v>August 23, 2026</x:v>
      </x:c>
      <x:c r="G772" s="53" t="str">
        <x:v>Fan-made / non-canon</x:v>
      </x:c>
      <x:c r="H772" s="53" t="str">
        <x:v>Fan video</x:v>
      </x:c>
      <x:c r="I772" s="53" t="str">
        <x:v>YouTube — search by title</x:v>
      </x:c>
      <x:c r="J772" s="59" t="e">
        <x:f>HYPERLINK("https://www.youtube.com/results?search_query=The%20Huntress%3A%20When%20Hope%20Falls...%20Legends%20Rise","Search")</x:f>
        <x:v>HYPERLINK is not implemented. linkLocation=https://www.youtube.com/results?search_query=The%20Huntress%3A%20When%20Hope%20Falls...%20Legends%20Rise, friendlyName=Search</x:v>
      </x:c>
      <x:c r="K772" s="53" t="str">
        <x:v>No reliable canonical or Legends-era anchor is stated; user decision required.</x:v>
      </x:c>
      <x:c r="L772" s="76" t="str"/>
      <x:c r="M772" s="76" t="str">
        <x:v>The Huntress: When Hope Falls... Legends Rise</x:v>
      </x:c>
      <x:c r="N772" s="76" t="str">
        <x:v>3 Cash App: $brednew
© PayPal: @blainehenry688
The city is falling. Chaos has taken the streets.
Everyone is running from the danger.
Except the Huntress.
With her signature BLUE and GREEN lightsabers,
she moves straight into the fight. When everything
begins to collapse, some warriors don’t retreat.
When hope falls... legends rise.
#TheHuntress #Jedi #Lightsaber #StarWars
#StarWarsLore #Cinematic</x:v>
      </x:c>
      <x:c r="O772" s="76" t="str">
        <x:v>Below timeline — original fan continuity</x:v>
      </x:c>
      <x:c r="P772" s="76" t="str">
        <x:v>IMG_6577.PNG</x:v>
      </x:c>
      <x:c r="Q772" s="76" t="str">
        <x:v>Needs review</x:v>
      </x:c>
      <x:c r="R772" s="76" t="str">
        <x:v>High</x:v>
      </x:c>
      <x:c r="S772" s="76" t="str">
        <x:v>No reliable canonical or Legends-era anchor is stated; user decision required.</x:v>
      </x:c>
      <x:c r="T772" s="76" t="str">
        <x:v>Unique</x:v>
      </x:c>
    </x:row>
    <x:row r="773" s="23" customFormat="1" ht="36" customHeight="1">
      <x:c r="A773" s="49" t="b">
        <x:v>0</x:v>
      </x:c>
      <x:c r="B773" s="56" t="str">
        <x:v>FV-0417</x:v>
      </x:c>
      <x:c r="C773" s="53" t="str">
        <x:v>Review &amp; decide — original fan continuity</x:v>
      </x:c>
      <x:c r="D773" s="53" t="str">
        <x:v>THE JEDI ENTERED THE WRONG KINGDOM x@</x:v>
      </x:c>
      <x:c r="E773" s="53" t="str"/>
      <x:c r="F773" s="53" t="str">
        <x:v>May 31, 2026</x:v>
      </x:c>
      <x:c r="G773" s="53" t="str">
        <x:v>Fan-made / non-canon</x:v>
      </x:c>
      <x:c r="H773" s="53" t="str">
        <x:v>Fan video</x:v>
      </x:c>
      <x:c r="I773" s="53" t="str">
        <x:v>YouTube — search by title</x:v>
      </x:c>
      <x:c r="J773" s="59" t="e">
        <x:f>HYPERLINK("https://www.youtube.com/results?search_query=THE%20JEDI%20ENTERED%20THE%20WRONG%20KINGDOM%20x%40","Search")</x:f>
        <x:v>HYPERLINK is not implemented. linkLocation=https://www.youtube.com/results?search_query=THE%20JEDI%20ENTERED%20THE%20WRONG%20KINGDOM%20x%40, friendlyName=Search</x:v>
      </x:c>
      <x:c r="K773" s="53" t="str">
        <x:v>No reliable canonical or Legends-era anchor is stated; user decision required.</x:v>
      </x:c>
      <x:c r="L773" s="76" t="str"/>
      <x:c r="M773" s="76" t="str">
        <x:v>THE JEDI ENTERED THE WRONG KINGDOM x@</x:v>
      </x:c>
      <x:c r="N773" s="76" t="str">
        <x:v>A lone Jedi steps into an ancient forgotten
kingdom... and awakens something that should have
stayed buried. What started as a simple exploration
becomes a fight for survival against a towering
armored beast hidden within the ruins.
Will the Jedi escape... or become another lost
legend?
#VoidProtocol #Jedi #FantasyWorld
#AncientKingdom #MonsterHunter
#LightsaberBattle #SciFiShorts #EpicBattle
#DarkFantasy #CreatureAttack #Cinematic
#AlIShortFilm #ViralShorts #Adventure
#FantasyAction
¥ VOID PROTOCOL W</x:v>
      </x:c>
      <x:c r="O773" s="76" t="str">
        <x:v>Below timeline — original fan continuity</x:v>
      </x:c>
      <x:c r="P773" s="76" t="str">
        <x:v>IMG_6603.PNG</x:v>
      </x:c>
      <x:c r="Q773" s="76" t="str">
        <x:v>Needs review</x:v>
      </x:c>
      <x:c r="R773" s="76" t="str">
        <x:v>High</x:v>
      </x:c>
      <x:c r="S773" s="76" t="str">
        <x:v>No reliable canonical or Legends-era anchor is stated; user decision required.</x:v>
      </x:c>
      <x:c r="T773" s="76" t="str">
        <x:v>Unique</x:v>
      </x:c>
    </x:row>
    <x:row r="774" s="23" customFormat="1" ht="36" customHeight="1">
      <x:c r="A774" s="49" t="b">
        <x:v>0</x:v>
      </x:c>
      <x:c r="B774" s="56" t="str">
        <x:v>FV-0321</x:v>
      </x:c>
      <x:c r="C774" s="53" t="str">
        <x:v>Review &amp; decide — original fan continuity</x:v>
      </x:c>
      <x:c r="D774" s="53" t="str">
        <x:v>The Jedi Order Has a Code... So Does He 😳🔵 | Corin Vale</x:v>
      </x:c>
      <x:c r="E774" s="53" t="str"/>
      <x:c r="F774" s="53" t="str">
        <x:v>August 29, 2026</x:v>
      </x:c>
      <x:c r="G774" s="53" t="str">
        <x:v>Fan-made / non-canon</x:v>
      </x:c>
      <x:c r="H774" s="53" t="str">
        <x:v>Fan video</x:v>
      </x:c>
      <x:c r="I774" s="53" t="str">
        <x:v>YouTube — search by title</x:v>
      </x:c>
      <x:c r="J774" s="59" t="e">
        <x:f>HYPERLINK("https://www.youtube.com/results?search_query=The%20Jedi%20Order%20Has%20a%20Code...%20So%20Does%20He%20%F0%9F%98%B3%F0%9F%94%B5%20%7C%20Corin%20Vale","Search")</x:f>
        <x:v>HYPERLINK is not implemented. linkLocation=https://www.youtube.com/results?search_query=The%20Jedi%20Order%20Has%20a%20Code...%20So%20Does%20He%20%F0%9F%98%B3%F0%9F%94%B5%20%7C%20Corin%20Vale, friendlyName=Search</x:v>
      </x:c>
      <x:c r="K774" s="53" t="str">
        <x:v>No reliable canonical or Legends-era anchor is stated; user decision required.</x:v>
      </x:c>
      <x:c r="L774" s="76" t="str"/>
      <x:c r="M774" s="76" t="str">
        <x:v>The Jedi Order Has a Code... So Does He 😳🔵 | Corin Vale</x:v>
      </x:c>
      <x:c r="N774" s="76"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774" s="76" t="str">
        <x:v>Below timeline — original fan continuity</x:v>
      </x:c>
      <x:c r="P774" s="76" t="str">
        <x:v>IMG_6507.PNG</x:v>
      </x:c>
      <x:c r="Q774" s="76" t="str">
        <x:v>Needs review</x:v>
      </x:c>
      <x:c r="R774" s="76" t="str">
        <x:v>High</x:v>
      </x:c>
      <x:c r="S774" s="76" t="str">
        <x:v>No reliable canonical or Legends-era anchor is stated; user decision required.</x:v>
      </x:c>
      <x:c r="T774" s="76" t="str">
        <x:v>Unique</x:v>
      </x:c>
    </x:row>
    <x:row r="775" s="23" customFormat="1" ht="36" customHeight="1">
      <x:c r="A775" s="49" t="b">
        <x:v>0</x:v>
      </x:c>
      <x:c r="B775" s="56" t="str">
        <x:v>FV-0537</x:v>
      </x:c>
      <x:c r="C775" s="53" t="str">
        <x:v>Review &amp; decide — original fan continuity</x:v>
      </x:c>
      <x:c r="D775" s="53" t="str">
        <x:v>THE ROBOT JEDI DETECTED SOMETHING IMPOSSIBLE</x:v>
      </x:c>
      <x:c r="E775" s="53" t="str"/>
      <x:c r="F775" s="53" t="str">
        <x:v>June 22, 2026</x:v>
      </x:c>
      <x:c r="G775" s="53" t="str">
        <x:v>Fan-made / non-canon</x:v>
      </x:c>
      <x:c r="H775" s="53" t="str">
        <x:v>Fan video</x:v>
      </x:c>
      <x:c r="I775" s="53" t="str">
        <x:v>YouTube — search by title</x:v>
      </x:c>
      <x:c r="J775" s="59" t="e">
        <x:f>HYPERLINK("https://www.youtube.com/results?search_query=THE%20ROBOT%20JEDI%20DETECTED%20SOMETHING%20IMPOSSIBLE","Search")</x:f>
        <x:v>HYPERLINK is not implemented. linkLocation=https://www.youtube.com/results?search_query=THE%20ROBOT%20JEDI%20DETECTED%20SOMETHING%20IMPOSSIBLE, friendlyName=Search</x:v>
      </x:c>
      <x:c r="K775" s="53" t="str">
        <x:v>No reliable canonical or Legends-era anchor is stated; user decision required.</x:v>
      </x:c>
      <x:c r="L775" s="76" t="str"/>
      <x:c r="M775" s="76" t="str">
        <x:v>THE ROBOT JEDI DETECTED SOMETHING IMPOSSIBLE</x:v>
      </x:c>
      <x:c r="N775" s="76" t="str">
        <x:v>The Robot Jedi's sensors detected a signal that
should not exist.
Over 2,000 years old.
Still active.
Drawn to a forgotten temple hidden deep within an
ancient canyon, he follows the mysterious
transmission into the darkness.
What he finds inside changes everything.
Ancient doors awaken.
Long-forgotten systems come online.</x:v>
      </x:c>
      <x:c r="O775" s="76" t="str">
        <x:v>Below timeline — original fan continuity</x:v>
      </x:c>
      <x:c r="P775" s="76" t="str">
        <x:v>IMG_6726.PNG</x:v>
      </x:c>
      <x:c r="Q775" s="76" t="str">
        <x:v>Needs review</x:v>
      </x:c>
      <x:c r="R775" s="76" t="str">
        <x:v>High</x:v>
      </x:c>
      <x:c r="S775" s="76" t="str">
        <x:v>No reliable canonical or Legends-era anchor is stated; user decision required.</x:v>
      </x:c>
      <x:c r="T775" s="76" t="str">
        <x:v>Unique</x:v>
      </x:c>
    </x:row>
    <x:row r="776" s="23" customFormat="1" ht="36" customHeight="1">
      <x:c r="A776" s="49" t="b">
        <x:v>0</x:v>
      </x:c>
      <x:c r="B776" s="56" t="str">
        <x:v>FV-0536</x:v>
      </x:c>
      <x:c r="C776" s="53" t="str">
        <x:v>Review &amp; decide — original fan continuity</x:v>
      </x:c>
      <x:c r="D776" s="53" t="str">
        <x:v>THE ROBOT JEDI RECEIVED A DISTRESS SIGNAL *</x:v>
      </x:c>
      <x:c r="E776" s="53" t="str"/>
      <x:c r="F776" s="53" t="str">
        <x:v>June 22, 2026</x:v>
      </x:c>
      <x:c r="G776" s="53" t="str">
        <x:v>Fan-made / non-canon</x:v>
      </x:c>
      <x:c r="H776" s="53" t="str">
        <x:v>Fan video</x:v>
      </x:c>
      <x:c r="I776" s="53" t="str">
        <x:v>YouTube — search by title</x:v>
      </x:c>
      <x:c r="J776" s="59" t="e">
        <x:f>HYPERLINK("https://www.youtube.com/results?search_query=THE%20ROBOT%20JEDI%20RECEIVED%20A%20DISTRESS%20SIGNAL%20*","Search")</x:f>
        <x:v>HYPERLINK is not implemented. linkLocation=https://www.youtube.com/results?search_query=THE%20ROBOT%20JEDI%20RECEIVED%20A%20DISTRESS%20SIGNAL%20*, friendlyName=Search</x:v>
      </x:c>
      <x:c r="K776" s="53" t="str">
        <x:v>No reliable canonical or Legends-era anchor is stated; user decision required.</x:v>
      </x:c>
      <x:c r="L776" s="76" t="str"/>
      <x:c r="M776" s="76" t="str">
        <x:v>THE ROBOT JEDI RECEIVED A DISTRESS SIGNAL *</x:v>
      </x:c>
      <x:c r="N776" s="76" t="str">
        <x:v>An ancient distress signal suddenly appeared in the
Robot Jedi's vision.
His glowing blue eyes scanned the transmission.
Threat detected.
Civilians in danger.
Without hesitation, the Robot Jedi activated his
lightsaber and answered the call.
Armed with advanced sensors, ancient knowledge,
and unwavering courage, he travels where others
cannot to protect those who cannot protect
themselves.</x:v>
      </x:c>
      <x:c r="O776" s="76" t="str">
        <x:v>Below timeline — original fan continuity</x:v>
      </x:c>
      <x:c r="P776" s="76" t="str">
        <x:v>IMG_6725.PNG</x:v>
      </x:c>
      <x:c r="Q776" s="76" t="str">
        <x:v>Needs review</x:v>
      </x:c>
      <x:c r="R776" s="76" t="str">
        <x:v>High</x:v>
      </x:c>
      <x:c r="S776" s="76" t="str">
        <x:v>No reliable canonical or Legends-era anchor is stated; user decision required.</x:v>
      </x:c>
      <x:c r="T776" s="76" t="str">
        <x:v>Unique</x:v>
      </x:c>
    </x:row>
    <x:row r="777" s="23" customFormat="1" ht="36" customHeight="1">
      <x:c r="A777" s="49" t="b">
        <x:v>0</x:v>
      </x:c>
      <x:c r="B777" s="56" t="str">
        <x:v>FV-0512</x:v>
      </x:c>
      <x:c r="C777" s="53" t="str">
        <x:v>Review &amp; decide — original fan continuity</x:v>
      </x:c>
      <x:c r="D777" s="53" t="str">
        <x:v>The Secret That Created The Fallen Apprentice</x:v>
      </x:c>
      <x:c r="E777" s="53" t="str"/>
      <x:c r="F777" s="53" t="str">
        <x:v>June 18, 2026</x:v>
      </x:c>
      <x:c r="G777" s="53" t="str">
        <x:v>Fan-made / non-canon</x:v>
      </x:c>
      <x:c r="H777" s="53" t="str">
        <x:v>Fan video</x:v>
      </x:c>
      <x:c r="I777" s="53" t="str">
        <x:v>YouTube — search by title</x:v>
      </x:c>
      <x:c r="J777" s="59" t="e">
        <x:f>HYPERLINK("https://www.youtube.com/results?search_query=The%20Secret%20That%20Created%20The%20Fallen%20Apprentice","Search")</x:f>
        <x:v>HYPERLINK is not implemented. linkLocation=https://www.youtube.com/results?search_query=The%20Secret%20That%20Created%20The%20Fallen%20Apprentice, friendlyName=Search</x:v>
      </x:c>
      <x:c r="K777" s="53" t="str">
        <x:v>No reliable canonical or Legends-era anchor is stated; user decision required.</x:v>
      </x:c>
      <x:c r="L777" s="76" t="str">
        <x:v>The Fallen Apprentice</x:v>
      </x:c>
      <x:c r="M777" s="76" t="str">
        <x:v>The Secret That Created The Fallen Apprentice</x:v>
      </x:c>
      <x:c r="N777" s="76" t="str">
        <x:v>For years, the truth remained buried beneath the
ancient kingdom.
Deep within a forgotten chamber, the young Jedi
Apprentice uncovered records of a terrible past—
wars, betrayal, and secrets hidden from generation
to generation.
Everything he believed was suddenly called into
question.
The discovery shattered his faith and planted the
first seeds of darkness in his heart.
This was the moment that changed history.
This was the moment the Fallen Anpvrentice beaqan</x:v>
      </x:c>
      <x:c r="O777" s="76" t="str">
        <x:v>Below timeline — original fan continuity</x:v>
      </x:c>
      <x:c r="P777" s="76" t="str">
        <x:v>IMG_6701.PNG</x:v>
      </x:c>
      <x:c r="Q777" s="76" t="str">
        <x:v>Needs review</x:v>
      </x:c>
      <x:c r="R777" s="76" t="str">
        <x:v>High</x:v>
      </x:c>
      <x:c r="S777" s="76" t="str">
        <x:v>No reliable canonical or Legends-era anchor is stated; user decision required.</x:v>
      </x:c>
      <x:c r="T777" s="76" t="str">
        <x:v>Unique</x:v>
      </x:c>
    </x:row>
    <x:row r="778" s="23" customFormat="1" ht="36" customHeight="1">
      <x:c r="A778" s="49" t="b">
        <x:v>0</x:v>
      </x:c>
      <x:c r="B778" s="56" t="str">
        <x:v>FV-0375</x:v>
      </x:c>
      <x:c r="C778" s="53" t="str">
        <x:v>Review &amp; decide — original fan continuity</x:v>
      </x:c>
      <x:c r="D778" s="53" t="str">
        <x:v>The Silver Jedi | A Lightsaber Few Have Ever Seen</x:v>
      </x:c>
      <x:c r="E778" s="53" t="str"/>
      <x:c r="F778" s="53" t="str">
        <x:v>August 24, 2026</x:v>
      </x:c>
      <x:c r="G778" s="53" t="str">
        <x:v>Fan-made / non-canon</x:v>
      </x:c>
      <x:c r="H778" s="53" t="str">
        <x:v>Fan video</x:v>
      </x:c>
      <x:c r="I778" s="53" t="str">
        <x:v>YouTube — search by title</x:v>
      </x:c>
      <x:c r="J778" s="59" t="e">
        <x:f>HYPERLINK("https://www.youtube.com/results?search_query=The%20Silver%20Jedi%20%7C%20A%20Lightsaber%20Few%20Have%20Ever%20Seen","Search")</x:f>
        <x:v>HYPERLINK is not implemented. linkLocation=https://www.youtube.com/results?search_query=The%20Silver%20Jedi%20%7C%20A%20Lightsaber%20Few%20Have%20Ever%20Seen, friendlyName=Search</x:v>
      </x:c>
      <x:c r="K778" s="53" t="str">
        <x:v>No reliable canonical or Legends-era anchor is stated; user decision required.</x:v>
      </x:c>
      <x:c r="L778" s="76" t="str"/>
      <x:c r="M778" s="76" t="str">
        <x:v>The Silver Jedi | A Lightsaber Few Have Ever Seen</x:v>
      </x:c>
      <x:c r="N778" s="76" t="str">
        <x:v>i Cash App: $brednew
© PayPal: @blainehenry688
“What color?”
"Watch."
A blade ignites unlike the colors most warriors
recognize — brilliant, cold, and unmistakably
SILVER.
Even the dark warrior has never seen one.
But the Silver Jedi has.
And this is only the beginning.</x:v>
      </x:c>
      <x:c r="O778" s="76" t="str">
        <x:v>Below timeline — original fan continuity</x:v>
      </x:c>
      <x:c r="P778" s="76" t="str">
        <x:v>IMG_6561.PNG</x:v>
      </x:c>
      <x:c r="Q778" s="76" t="str">
        <x:v>Needs review</x:v>
      </x:c>
      <x:c r="R778" s="76" t="str">
        <x:v>High</x:v>
      </x:c>
      <x:c r="S778" s="76" t="str">
        <x:v>No reliable canonical or Legends-era anchor is stated; user decision required.</x:v>
      </x:c>
      <x:c r="T778" s="76" t="str">
        <x:v>Unique</x:v>
      </x:c>
    </x:row>
    <x:row r="779" s="23" customFormat="1" ht="36" customHeight="1">
      <x:c r="A779" s="49" t="b">
        <x:v>0</x:v>
      </x:c>
      <x:c r="B779" s="56" t="str">
        <x:v>FV-0374</x:v>
      </x:c>
      <x:c r="C779" s="53" t="str">
        <x:v>Review &amp; decide — original fan continuity</x:v>
      </x:c>
      <x:c r="D779" s="53" t="str">
        <x:v>The Silver Jedi Can See What a Lightsaber Remembers</x:v>
      </x:c>
      <x:c r="E779" s="53" t="str"/>
      <x:c r="F779" s="53" t="str">
        <x:v>August 24, 2026</x:v>
      </x:c>
      <x:c r="G779" s="53" t="str">
        <x:v>Fan-made / non-canon</x:v>
      </x:c>
      <x:c r="H779" s="53" t="str">
        <x:v>Fan video</x:v>
      </x:c>
      <x:c r="I779" s="53" t="str">
        <x:v>YouTube — search by title</x:v>
      </x:c>
      <x:c r="J779" s="59" t="e">
        <x:f>HYPERLINK("https://www.youtube.com/results?search_query=The%20Silver%20Jedi%20Can%20See%20What%20a%20Lightsaber%20Remembers","Search")</x:f>
        <x:v>HYPERLINK is not implemented. linkLocation=https://www.youtube.com/results?search_query=The%20Silver%20Jedi%20Can%20See%20What%20a%20Lightsaber%20Remembers, friendlyName=Search</x:v>
      </x:c>
      <x:c r="K779" s="53" t="str">
        <x:v>No reliable canonical or Legends-era anchor is stated; user decision required.</x:v>
      </x:c>
      <x:c r="L779" s="76" t="str"/>
      <x:c r="M779" s="76" t="str">
        <x:v>The Silver Jedi Can See What a Lightsaber Remembers</x:v>
      </x:c>
      <x:c r="N779" s="76"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779" s="76" t="str">
        <x:v>Below timeline — original fan continuity</x:v>
      </x:c>
      <x:c r="P779" s="76" t="str">
        <x:v>IMG_6560.PNG</x:v>
      </x:c>
      <x:c r="Q779" s="76" t="str">
        <x:v>Needs review</x:v>
      </x:c>
      <x:c r="R779" s="76" t="str">
        <x:v>High</x:v>
      </x:c>
      <x:c r="S779" s="76" t="str">
        <x:v>No reliable canonical or Legends-era anchor is stated; user decision required.</x:v>
      </x:c>
      <x:c r="T779" s="76" t="str">
        <x:v>Unique</x:v>
      </x:c>
    </x:row>
    <x:row r="780" s="23" customFormat="1" ht="36" customHeight="1">
      <x:c r="A780" s="49" t="b">
        <x:v>0</x:v>
      </x:c>
      <x:c r="B780" s="56" t="str">
        <x:v>FV-0297</x:v>
      </x:c>
      <x:c r="C780" s="53" t="str">
        <x:v>Review &amp; decide — original fan continuity</x:v>
      </x:c>
      <x:c r="D780" s="53" t="str">
        <x:v>The Silver Jedi Can See What Happened Here... ⚔️ | Force Echo</x:v>
      </x:c>
      <x:c r="E780" s="53" t="str"/>
      <x:c r="F780" s="53" t="str">
        <x:v>September 1, 2026</x:v>
      </x:c>
      <x:c r="G780" s="53" t="str">
        <x:v>Fan-made / non-canon</x:v>
      </x:c>
      <x:c r="H780" s="53" t="str">
        <x:v>Fan video</x:v>
      </x:c>
      <x:c r="I780" s="53" t="str">
        <x:v>YouTube — search by title</x:v>
      </x:c>
      <x:c r="J780" s="59" t="e">
        <x:f>HYPERLINK("https://www.youtube.com/results?search_query=The%20Silver%20Jedi%20Can%20See%20What%20Happened%20Here...%20%E2%9A%94%EF%B8%8F%20%7C%20Force%20Echo","Search")</x:f>
        <x:v>HYPERLINK is not implemented. linkLocation=https://www.youtube.com/results?search_query=The%20Silver%20Jedi%20Can%20See%20What%20Happened%20Here...%20%E2%9A%94%EF%B8%8F%20%7C%20Force%20Echo, friendlyName=Search</x:v>
      </x:c>
      <x:c r="K780" s="53" t="str">
        <x:v>No reliable canonical or Legends-era anchor is stated; user decision required.</x:v>
      </x:c>
      <x:c r="L780" s="76" t="str"/>
      <x:c r="M780" s="76" t="str">
        <x:v>The Silver Jedi Can See What Happened Here... ⚔️ | Force Echo</x:v>
      </x:c>
      <x:c r="N780" s="76"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780" s="76" t="str">
        <x:v>Below timeline — original fan continuity</x:v>
      </x:c>
      <x:c r="P780" s="76" t="str">
        <x:v>IMG_6483.PNG</x:v>
      </x:c>
      <x:c r="Q780" s="76" t="str">
        <x:v>Needs review</x:v>
      </x:c>
      <x:c r="R780" s="76" t="str">
        <x:v>High</x:v>
      </x:c>
      <x:c r="S780" s="76" t="str">
        <x:v>No reliable canonical or Legends-era anchor is stated; user decision required.</x:v>
      </x:c>
      <x:c r="T780" s="76" t="str">
        <x:v>Unique</x:v>
      </x:c>
    </x:row>
    <x:row r="781" s="23" customFormat="1" ht="36" customHeight="1">
      <x:c r="A781" s="49" t="b">
        <x:v>0</x:v>
      </x:c>
      <x:c r="B781" s="56" t="str">
        <x:v>FV-0108</x:v>
      </x:c>
      <x:c r="C781" s="53" t="str">
        <x:v>Review &amp; decide — original fan continuity</x:v>
      </x:c>
      <x:c r="D781" s="53" t="str">
        <x:v>The Widow — Part 2 | Lightning Has Strings</x:v>
      </x:c>
      <x:c r="E781" s="53" t="str">
        <x:v>Part 2</x:v>
      </x:c>
      <x:c r="F781" s="53" t="str">
        <x:v>October 3, 2026</x:v>
      </x:c>
      <x:c r="G781" s="53" t="str">
        <x:v>Fan-made / non-canon</x:v>
      </x:c>
      <x:c r="H781" s="53" t="str">
        <x:v>Fan video</x:v>
      </x:c>
      <x:c r="I781" s="53" t="str">
        <x:v>YouTube — search by title</x:v>
      </x:c>
      <x:c r="J781" s="59" t="e">
        <x:f>HYPERLINK("https://www.youtube.com/results?search_query=The%20Widow%20%E2%80%94%20Part%202%20%7C%20Lightning%20Has%20Strings","Search")</x:f>
        <x:v>HYPERLINK is not implemented. linkLocation=https://www.youtube.com/results?search_query=The%20Widow%20%E2%80%94%20Part%202%20%7C%20Lightning%20Has%20Strings, friendlyName=Search</x:v>
      </x:c>
      <x:c r="K781" s="53" t="str">
        <x:v>No reliable canonical or Legends-era anchor is stated; user decision required.</x:v>
      </x:c>
      <x:c r="L781" s="76" t="str">
        <x:v>The Widow</x:v>
      </x:c>
      <x:c r="M781" s="76" t="str">
        <x:v>The Widow — Part 2 | Lightning Has Strings</x:v>
      </x:c>
      <x:c r="N781" s="76" t="str">
        <x:v>Every red thread leads back to her—and every smile
means someone's already trapped.
The Widow returns with her crimson lightsaber and
crackling lightning threads, turning an ambush into
a lesson in control.
“Pull harder.”
#TheWidow #DarkSide #SithInspired
#StarWarsInspired #}UNLEASHED
Original character in an unofficial Star Wars-
inspired cinematic. Star Wars trademarks belong to
their respective owners.
Support the channel: Cash Anno - PavPal</x:v>
      </x:c>
      <x:c r="O781" s="76" t="str">
        <x:v>Below timeline — original fan continuity</x:v>
      </x:c>
      <x:c r="P781" s="76" t="str">
        <x:v>IMG_6291.PNG</x:v>
      </x:c>
      <x:c r="Q781" s="76" t="str">
        <x:v>Needs review</x:v>
      </x:c>
      <x:c r="R781" s="76" t="str">
        <x:v>High</x:v>
      </x:c>
      <x:c r="S781" s="76" t="str">
        <x:v>No reliable canonical or Legends-era anchor is stated; user decision required.</x:v>
      </x:c>
      <x:c r="T781" s="76" t="str">
        <x:v>Unique</x:v>
      </x:c>
    </x:row>
    <x:row r="782" s="23" customFormat="1" ht="36" customHeight="1">
      <x:c r="A782" s="49" t="b">
        <x:v>0</x:v>
      </x:c>
      <x:c r="B782" s="56" t="str">
        <x:v>FV-0258</x:v>
      </x:c>
      <x:c r="C782" s="53" t="str">
        <x:v>Review &amp; decide — original fan continuity</x:v>
      </x:c>
      <x:c r="D782" s="53" t="str">
        <x:v>THE WIDOW — THEY GUARDED HIS THRONE... SHE TOOK IT ANYWAY</x:v>
      </x:c>
      <x:c r="E782" s="53" t="str"/>
      <x:c r="F782" s="53" t="str">
        <x:v>September 5, 2026</x:v>
      </x:c>
      <x:c r="G782" s="53" t="str">
        <x:v>Fan-made / non-canon</x:v>
      </x:c>
      <x:c r="H782" s="53" t="str">
        <x:v>Fan video</x:v>
      </x:c>
      <x:c r="I782" s="53" t="str">
        <x:v>YouTube — search by title</x:v>
      </x:c>
      <x:c r="J782" s="59" t="e">
        <x:f>HYPERLINK("https://www.youtube.com/results?search_query=THE%20WIDOW%20%E2%80%94%20THEY%20GUARDED%20HIS%20THRONE...%20SHE%20TOOK%20IT%20ANYWAY","Search")</x:f>
        <x:v>HYPERLINK is not implemented. linkLocation=https://www.youtube.com/results?search_query=THE%20WIDOW%20%E2%80%94%20THEY%20GUARDED%20HIS%20THRONE...%20SHE%20TOOK%20IT%20ANYWAY, friendlyName=Search</x:v>
      </x:c>
      <x:c r="K782" s="53" t="str">
        <x:v>No reliable canonical or Legends-era anchor is stated; user decision required.</x:v>
      </x:c>
      <x:c r="L782" s="76" t="str">
        <x:v>The Widow</x:v>
      </x:c>
      <x:c r="M782" s="76" t="str">
        <x:v>THE WIDOW — THEY GUARDED HIS THRONE... SHE TOOK IT ANYWAY</x:v>
      </x:c>
      <x:c r="N782" s="76" t="str">
        <x:v>An armored warlord waits upon his throne,
protected by an entire guard.
Then the Widow walks through the rain—alone.
Her crimson blade tears through their weapons. Her
hypnotic defense destroys the warlord’s final attack.
Seconds later, the ruler who believed himself
untouchable is on his knees.
He asks her what she is.
Her answer: “The consequence.”
Original cinematic concept by Blaine Henry |
Unleashed</x:v>
      </x:c>
      <x:c r="O782" s="76" t="str">
        <x:v>Below timeline — original fan continuity</x:v>
      </x:c>
      <x:c r="P782" s="76" t="str">
        <x:v>IMG_6443.PNG</x:v>
      </x:c>
      <x:c r="Q782" s="76" t="str">
        <x:v>Needs review</x:v>
      </x:c>
      <x:c r="R782" s="76" t="str">
        <x:v>High</x:v>
      </x:c>
      <x:c r="S782" s="76" t="str">
        <x:v>No reliable canonical or Legends-era anchor is stated; user decision required.</x:v>
      </x:c>
      <x:c r="T782" s="76" t="str">
        <x:v>Unique</x:v>
      </x:c>
    </x:row>
    <x:row r="783" s="23" customFormat="1" ht="36" customHeight="1">
      <x:c r="A783" s="49" t="b">
        <x:v>0</x:v>
      </x:c>
      <x:c r="B783" s="56" t="str">
        <x:v>FV-0352</x:v>
      </x:c>
      <x:c r="C783" s="53" t="str">
        <x:v>Review &amp; decide — original fan continuity</x:v>
      </x:c>
      <x:c r="D783" s="53" t="str">
        <x:v>THE WIDOW — You Mistook Beauty for Weakness</x:v>
      </x:c>
      <x:c r="E783" s="53" t="str"/>
      <x:c r="F783" s="53" t="str">
        <x:v>August 26, 2026</x:v>
      </x:c>
      <x:c r="G783" s="53" t="str">
        <x:v>Fan-made / non-canon</x:v>
      </x:c>
      <x:c r="H783" s="53" t="str">
        <x:v>Fan video</x:v>
      </x:c>
      <x:c r="I783" s="53" t="str">
        <x:v>YouTube — search by title</x:v>
      </x:c>
      <x:c r="J783" s="59" t="e">
        <x:f>HYPERLINK("https://www.youtube.com/results?search_query=THE%20WIDOW%20%E2%80%94%20You%20Mistook%20Beauty%20for%20Weakness","Search")</x:f>
        <x:v>HYPERLINK is not implemented. linkLocation=https://www.youtube.com/results?search_query=THE%20WIDOW%20%E2%80%94%20You%20Mistook%20Beauty%20for%20Weakness, friendlyName=Search</x:v>
      </x:c>
      <x:c r="K783" s="53" t="str">
        <x:v>No reliable canonical or Legends-era anchor is stated; user decision required.</x:v>
      </x:c>
      <x:c r="L783" s="76" t="str">
        <x:v>The Widow</x:v>
      </x:c>
      <x:c r="M783" s="76" t="str">
        <x:v>THE WIDOW — You Mistook Beauty for Weakness</x:v>
      </x:c>
      <x:c r="N783" s="76" t="str">
        <x:v>Cash App: $brednew
PayPal: @blainehenry688
She doesn't look like the most dangerous person in
the room.
That's the mistake.
Beautiful. Calm. Almost harmless at first glance. But
when the door closes behind you, the Widow
doesn’t need to raise her voice—or draw a weapon.
By then, it's already too late.
#TheWidow #JediUnleashed #DarkSide #Cinematic
#StarWars</x:v>
      </x:c>
      <x:c r="O783" s="76" t="str">
        <x:v>Below timeline — original fan continuity</x:v>
      </x:c>
      <x:c r="P783" s="76" t="str">
        <x:v>IMG_6538.PNG</x:v>
      </x:c>
      <x:c r="Q783" s="76" t="str">
        <x:v>Needs review</x:v>
      </x:c>
      <x:c r="R783" s="76" t="str">
        <x:v>High</x:v>
      </x:c>
      <x:c r="S783" s="76" t="str">
        <x:v>No reliable canonical or Legends-era anchor is stated; user decision required.</x:v>
      </x:c>
      <x:c r="T783" s="76" t="str">
        <x:v>Unique</x:v>
      </x:c>
    </x:row>
    <x:row r="784" s="23" customFormat="1" ht="36" customHeight="1">
      <x:c r="A784" s="49" t="b">
        <x:v>0</x:v>
      </x:c>
      <x:c r="B784" s="56" t="str">
        <x:v>FV-0358</x:v>
      </x:c>
      <x:c r="C784" s="53" t="str">
        <x:v>Review &amp; decide — original fan continuity</x:v>
      </x:c>
      <x:c r="D784" s="53" t="str">
        <x:v>The Widow Jumps Off a Skyscraper — And Hunts Him on the Way Down</x:v>
      </x:c>
      <x:c r="E784" s="53" t="str"/>
      <x:c r="F784" s="53" t="str">
        <x:v>August 25, 2026</x:v>
      </x:c>
      <x:c r="G784" s="53" t="str">
        <x:v>Fan-made / non-canon</x:v>
      </x:c>
      <x:c r="H784" s="53" t="str">
        <x:v>Fan video</x:v>
      </x:c>
      <x:c r="I784" s="53" t="str">
        <x:v>YouTube — search by title</x:v>
      </x:c>
      <x:c r="J784" s="59" t="e">
        <x:f>HYPERLINK("https://www.youtube.com/results?search_query=The%20Widow%20Jumps%20Off%20a%20Skyscraper%20%E2%80%94%20And%20Hunts%20Him%20on%20the%20Way%20Down","Search")</x:f>
        <x:v>HYPERLINK is not implemented. linkLocation=https://www.youtube.com/results?search_query=The%20Widow%20Jumps%20Off%20a%20Skyscraper%20%E2%80%94%20And%20Hunts%20Him%20on%20the%20Way%20Down, friendlyName=Search</x:v>
      </x:c>
      <x:c r="K784" s="53" t="str">
        <x:v>No reliable canonical or Legends-era anchor is stated; user decision required.</x:v>
      </x:c>
      <x:c r="L784" s="76" t="str">
        <x:v>The Widow</x:v>
      </x:c>
      <x:c r="M784" s="76" t="str">
        <x:v>The Widow Jumps Off a Skyscraper — And Hunts Him on the Way Down</x:v>
      </x:c>
      <x:c r="N784" s="76" t="str">
        <x:v>YouTube Description
Cash App: $brednew | PayPal: @blainehenry688
He thought escaping over the edge of a skyscraper
would stop the Widow.
So she stepped off after him. “&gt;
Thousands of feet above the city, the Widow
unleashes her Shadow Threads in a completely
different way—swinging through a collapsing tower,
redirecting herself through open air, and turning a
deadly fall into her hunting ground.
And when her target finally falls?</x:v>
      </x:c>
      <x:c r="O784" s="76" t="str">
        <x:v>Below timeline — original fan continuity</x:v>
      </x:c>
      <x:c r="P784" s="76" t="str">
        <x:v>IMG_6544.PNG</x:v>
      </x:c>
      <x:c r="Q784" s="76" t="str">
        <x:v>Needs review</x:v>
      </x:c>
      <x:c r="R784" s="76" t="str">
        <x:v>High</x:v>
      </x:c>
      <x:c r="S784" s="76" t="str">
        <x:v>No reliable canonical or Legends-era anchor is stated; user decision required.</x:v>
      </x:c>
      <x:c r="T784" s="76" t="str">
        <x:v>Unique</x:v>
      </x:c>
    </x:row>
    <x:row r="785" s="23" customFormat="1" ht="36" customHeight="1">
      <x:c r="A785" s="49" t="b">
        <x:v>0</x:v>
      </x:c>
      <x:c r="B785" s="56" t="str">
        <x:v>FV-0348</x:v>
      </x:c>
      <x:c r="C785" s="53" t="str">
        <x:v>Review &amp; decide — original fan continuity</x:v>
      </x:c>
      <x:c r="D785" s="53" t="str">
        <x:v>The Widow Only Needed One Thread *</x:v>
      </x:c>
      <x:c r="E785" s="53" t="str"/>
      <x:c r="F785" s="53" t="str">
        <x:v>August 26, 2026</x:v>
      </x:c>
      <x:c r="G785" s="53" t="str">
        <x:v>Fan-made / non-canon</x:v>
      </x:c>
      <x:c r="H785" s="53" t="str">
        <x:v>Fan video</x:v>
      </x:c>
      <x:c r="I785" s="53" t="str">
        <x:v>YouTube — search by title</x:v>
      </x:c>
      <x:c r="J785" s="59" t="e">
        <x:f>HYPERLINK("https://www.youtube.com/results?search_query=The%20Widow%20Only%20Needed%20One%20Thread%20*","Search")</x:f>
        <x:v>HYPERLINK is not implemented. linkLocation=https://www.youtube.com/results?search_query=The%20Widow%20Only%20Needed%20One%20Thread%20*, friendlyName=Search</x:v>
      </x:c>
      <x:c r="K785" s="53" t="str">
        <x:v>No reliable canonical or Legends-era anchor is stated; user decision required.</x:v>
      </x:c>
      <x:c r="L785" s="76" t="str">
        <x:v>The Widow</x:v>
      </x:c>
      <x:c r="M785" s="76" t="str">
        <x:v>The Widow Only Needed One Thread *</x:v>
      </x:c>
      <x:c r="N785" s="76" t="str">
        <x:v>Cash App: $brednew
PayPal: @blainehenry688
He had one chance to return what he stole.
The Widow didn't chase him.
She didn't need to.
One Shadow Thread was enough. % @
Welcome to Jedi Unleashed.
Al Disclosure &amp; Creator Statement:
This video contains Al-generated visuals created
from my original concepts, scripting, direction,
editing, and creative production. This is
transformative fan-made entertainment and is not
official franchise footage.</x:v>
      </x:c>
      <x:c r="O785" s="76" t="str">
        <x:v>Below timeline — original fan continuity</x:v>
      </x:c>
      <x:c r="P785" s="76" t="str">
        <x:v>IMG_6534.PNG</x:v>
      </x:c>
      <x:c r="Q785" s="76" t="str">
        <x:v>Needs review</x:v>
      </x:c>
      <x:c r="R785" s="76" t="str">
        <x:v>High</x:v>
      </x:c>
      <x:c r="S785" s="76" t="str">
        <x:v>No reliable canonical or Legends-era anchor is stated; user decision required.</x:v>
      </x:c>
      <x:c r="T785" s="76" t="str">
        <x:v>Unique</x:v>
      </x:c>
    </x:row>
    <x:row r="786" s="23" customFormat="1" ht="36" customHeight="1">
      <x:c r="A786" s="49" t="b">
        <x:v>0</x:v>
      </x:c>
      <x:c r="B786" s="56" t="str">
        <x:v>FV-0559</x:v>
      </x:c>
      <x:c r="C786" s="53" t="str">
        <x:v>Review &amp; decide — original fan continuity</x:v>
      </x:c>
      <x:c r="D786" s="53" t="str">
        <x:v>They Surrounded the Huntress — That Was Their Mistake</x:v>
      </x:c>
      <x:c r="E786" s="53" t="str"/>
      <x:c r="F786" s="53" t="str">
        <x:v>August 20, 2026</x:v>
      </x:c>
      <x:c r="G786" s="53" t="str">
        <x:v>Fan-made / non-canon</x:v>
      </x:c>
      <x:c r="H786" s="53" t="str">
        <x:v>Fan video</x:v>
      </x:c>
      <x:c r="I786" s="53" t="str">
        <x:v>YouTube — search by title</x:v>
      </x:c>
      <x:c r="J786" s="59" t="e">
        <x:f>HYPERLINK("https://www.youtube.com/results?search_query=They%20Surrounded%20the%20Huntress%20%E2%80%94%20That%20Was%20Their%20Mistake","Search")</x:f>
        <x:v>HYPERLINK is not implemented. linkLocation=https://www.youtube.com/results?search_query=They%20Surrounded%20the%20Huntress%20%E2%80%94%20That%20Was%20Their%20Mistake, friendlyName=Search</x:v>
      </x:c>
      <x:c r="K786" s="53" t="str">
        <x:v>No reliable canonical or Legends-era anchor is stated; user decision required.</x:v>
      </x:c>
      <x:c r="L786" s="76" t="str"/>
      <x:c r="M786" s="76" t="str">
        <x:v>They Surrounded the Huntress — That Was Their Mistake</x:v>
      </x:c>
      <x:c r="N786" s="76" t="str">
        <x:v>i Cash App: $brednew
© PayPal: @blainehenry688
é SUPPORT THE CHANNEL @&amp;
Even 5¢, 10¢, 25¢, or $1 helps us continue creating
these cinematic stories and building this universe.
The Huntress walks straight into a battlefield
crawling with enemy soldiers.
Outnumbered and surrounded, she doesn't retreat.
She draws her lightsabers and stands her ground as
another Jedi joins the fight beside her.
For most warriors, being surrounded means you're</x:v>
      </x:c>
      <x:c r="O786" s="76" t="str">
        <x:v>Below timeline — original fan continuity</x:v>
      </x:c>
      <x:c r="P786" s="76" t="str">
        <x:v>IMG_6749.PNG</x:v>
      </x:c>
      <x:c r="Q786" s="76" t="str">
        <x:v>Needs review</x:v>
      </x:c>
      <x:c r="R786" s="76" t="str">
        <x:v>High</x:v>
      </x:c>
      <x:c r="S786" s="76" t="str">
        <x:v>No reliable canonical or Legends-era anchor is stated; user decision required.</x:v>
      </x:c>
      <x:c r="T786" s="76" t="str">
        <x:v>Unique</x:v>
      </x:c>
    </x:row>
    <x:row r="787" s="23" customFormat="1" ht="36" customHeight="1">
      <x:c r="A787" s="49" t="b">
        <x:v>0</x:v>
      </x:c>
      <x:c r="B787" s="56" t="str">
        <x:v>FV-0249</x:v>
      </x:c>
      <x:c r="C787" s="53" t="str">
        <x:v>Review &amp; decide — original fan continuity</x:v>
      </x:c>
      <x:c r="D787" s="53" t="str">
        <x:v>They Thought the Robot Jedi Was Destroyed... Then His Eyes Lit Up</x:v>
      </x:c>
      <x:c r="E787" s="53" t="str"/>
      <x:c r="F787" s="53" t="str">
        <x:v>September 7, 2026</x:v>
      </x:c>
      <x:c r="G787" s="53" t="str">
        <x:v>Fan-made / non-canon</x:v>
      </x:c>
      <x:c r="H787" s="53" t="str">
        <x:v>Fan video</x:v>
      </x:c>
      <x:c r="I787" s="53" t="str">
        <x:v>YouTube — search by title</x:v>
      </x:c>
      <x:c r="J787" s="59" t="e">
        <x:f>HYPERLINK("https://www.youtube.com/results?search_query=They%20Thought%20the%20Robot%20Jedi%20Was%20Destroyed...%20Then%20His%20Eyes%20Lit%20Up","Search")</x:f>
        <x:v>HYPERLINK is not implemented. linkLocation=https://www.youtube.com/results?search_query=They%20Thought%20the%20Robot%20Jedi%20Was%20Destroyed...%20Then%20His%20Eyes%20Lit%20Up, friendlyName=Search</x:v>
      </x:c>
      <x:c r="K787" s="53" t="str">
        <x:v>No reliable canonical or Legends-era anchor is stated; user decision required.</x:v>
      </x:c>
      <x:c r="L787" s="76" t="str"/>
      <x:c r="M787" s="76" t="str">
        <x:v>They Thought the Robot Jedi Was Destroyed... Then His Eyes Lit Up</x:v>
      </x:c>
      <x:c r="N787" s="76" t="str">
        <x:v>The enemy found TJ-9 scattered across the temple
floor and declared the Robot Jedi eliminated.
Then his blue optics activated.
Piece by piece, the ancient mechanical Guardian
rebuilt himself, reclaimed his lightsaber, and
demonstrated why you should never underestimate
a Jedi made of steel.
Would you watch a complete Robot Jedi series?
Created using generative Al.
Concept, creative direction, and production by
Blaine Henry.
#RobotJedi #Jedi #Lightsaber #ScienceFiction</x:v>
      </x:c>
      <x:c r="O787" s="76" t="str">
        <x:v>Below timeline — original fan continuity</x:v>
      </x:c>
      <x:c r="P787" s="76" t="str">
        <x:v>IMG_6432.PNG</x:v>
      </x:c>
      <x:c r="Q787" s="76" t="str">
        <x:v>Needs review</x:v>
      </x:c>
      <x:c r="R787" s="76" t="str">
        <x:v>High</x:v>
      </x:c>
      <x:c r="S787" s="76" t="str">
        <x:v>No reliable canonical or Legends-era anchor is stated; user decision required.</x:v>
      </x:c>
      <x:c r="T787" s="76" t="str">
        <x:v>Unique</x:v>
      </x:c>
    </x:row>
    <x:row r="788" s="23" customFormat="1" ht="36" customHeight="1">
      <x:c r="A788" s="49" t="b">
        <x:v>0</x:v>
      </x:c>
      <x:c r="B788" s="56" t="str">
        <x:v>FV-0551</x:v>
      </x:c>
      <x:c r="C788" s="53" t="str">
        <x:v>Review &amp; decide — original fan continuity</x:v>
      </x:c>
      <x:c r="D788" s="53" t="str">
        <x:v>They Thought They Had the Widow Surrounded... They Were Wrong</x:v>
      </x:c>
      <x:c r="E788" s="53" t="str"/>
      <x:c r="F788" s="53" t="str">
        <x:v>August 20, 2026</x:v>
      </x:c>
      <x:c r="G788" s="53" t="str">
        <x:v>Fan-made / non-canon</x:v>
      </x:c>
      <x:c r="H788" s="53" t="str">
        <x:v>Fan video</x:v>
      </x:c>
      <x:c r="I788" s="53" t="str">
        <x:v>YouTube — search by title</x:v>
      </x:c>
      <x:c r="J788" s="59" t="e">
        <x:f>HYPERLINK("https://www.youtube.com/results?search_query=They%20Thought%20They%20Had%20the%20Widow%20Surrounded...%20They%20Were%20Wrong","Search")</x:f>
        <x:v>HYPERLINK is not implemented. linkLocation=https://www.youtube.com/results?search_query=They%20Thought%20They%20Had%20the%20Widow%20Surrounded...%20They%20Were%20Wrong, friendlyName=Search</x:v>
      </x:c>
      <x:c r="K788" s="53" t="str">
        <x:v>No reliable canonical or Legends-era anchor is stated; user decision required.</x:v>
      </x:c>
      <x:c r="L788" s="76" t="str">
        <x:v>The Widow</x:v>
      </x:c>
      <x:c r="M788" s="76" t="str">
        <x:v>They Thought They Had the Widow Surrounded... They Were Wrong</x:v>
      </x:c>
      <x:c r="N788" s="76" t="str">
        <x:v>The Widow walks into the chamber knowing exactly
what is waiting for her.
Armed men surround her, weapons ready—but there
is no fear in those icy-blue eyes. No hesitation. Just
that quiet smile that tells you she already knows
how this ends.
They thought they were closing a trap around the
Widow.
They never realized she was the trap.
The Widow continues to prove that sometimes the
most dangerous presence in the room is the
calmest one.</x:v>
      </x:c>
      <x:c r="O788" s="76" t="str">
        <x:v>Below timeline — original fan continuity</x:v>
      </x:c>
      <x:c r="P788" s="76" t="str">
        <x:v>IMG_6741.PNG</x:v>
      </x:c>
      <x:c r="Q788" s="76" t="str">
        <x:v>Needs review</x:v>
      </x:c>
      <x:c r="R788" s="76" t="str">
        <x:v>High</x:v>
      </x:c>
      <x:c r="S788" s="76" t="str">
        <x:v>No reliable canonical or Legends-era anchor is stated; user decision required.</x:v>
      </x:c>
      <x:c r="T788" s="76" t="str">
        <x:v>Unique</x:v>
      </x:c>
    </x:row>
    <x:row r="789" s="23" customFormat="1" ht="36" customHeight="1">
      <x:c r="A789" s="49" t="b">
        <x:v>0</x:v>
      </x:c>
      <x:c r="B789" s="56" t="str">
        <x:v>FV-0552</x:v>
      </x:c>
      <x:c r="C789" s="53" t="str">
        <x:v>Review &amp; decide — original fan continuity</x:v>
      </x:c>
      <x:c r="D789" s="53" t="str">
        <x:v>Two Jedi Cornered the Widow — That Was Their First Mistake</x:v>
      </x:c>
      <x:c r="E789" s="53" t="str"/>
      <x:c r="F789" s="53" t="str">
        <x:v>August 20, 2026</x:v>
      </x:c>
      <x:c r="G789" s="53" t="str">
        <x:v>Fan-made / non-canon</x:v>
      </x:c>
      <x:c r="H789" s="53" t="str">
        <x:v>Fan video</x:v>
      </x:c>
      <x:c r="I789" s="53" t="str">
        <x:v>YouTube — search by title</x:v>
      </x:c>
      <x:c r="J789" s="59" t="e">
        <x:f>HYPERLINK("https://www.youtube.com/results?search_query=Two%20Jedi%20Cornered%20the%20Widow%20%E2%80%94%20That%20Was%20Their%20First%20Mistake","Search")</x:f>
        <x:v>HYPERLINK is not implemented. linkLocation=https://www.youtube.com/results?search_query=Two%20Jedi%20Cornered%20the%20Widow%20%E2%80%94%20That%20Was%20Their%20First%20Mistake, friendlyName=Search</x:v>
      </x:c>
      <x:c r="K789" s="53" t="str">
        <x:v>No reliable canonical or Legends-era anchor is stated; user decision required.</x:v>
      </x:c>
      <x:c r="L789" s="76" t="str">
        <x:v>The Widow</x:v>
      </x:c>
      <x:c r="M789" s="76" t="str">
        <x:v>Two Jedi Cornered the Widow — That Was Their First Mistake</x:v>
      </x:c>
      <x:c r="N789" s="76" t="str">
        <x:v>SS Cash App: $brednew
© PayPal: @blainehenry688
SUPPORT THE CHANNEL &amp;
Even 5¢, 10¢, 25¢, or $1 helps us continue creating
these cinematic stories. Thank you to everybody
supporting what we're building.
Two Jedi have the Widow exactly where they want
her—or so they think.
Blue and green lightsabers surround her inside the
ancient corridor. There is nowhere to run, and both
Jedi believe they have the advantage.
But the Widow doesn't panic.</x:v>
      </x:c>
      <x:c r="O789" s="76" t="str">
        <x:v>Below timeline — original fan continuity</x:v>
      </x:c>
      <x:c r="P789" s="76" t="str">
        <x:v>IMG_6742.PNG</x:v>
      </x:c>
      <x:c r="Q789" s="76" t="str">
        <x:v>Needs review</x:v>
      </x:c>
      <x:c r="R789" s="76" t="str">
        <x:v>High</x:v>
      </x:c>
      <x:c r="S789" s="76" t="str">
        <x:v>No reliable canonical or Legends-era anchor is stated; user decision required.</x:v>
      </x:c>
      <x:c r="T789" s="76" t="str">
        <x:v>Unique</x:v>
      </x:c>
    </x:row>
    <x:row r="790" s="23" customFormat="1" ht="36" customHeight="1">
      <x:c r="A790" s="49" t="b">
        <x:v>0</x:v>
      </x:c>
      <x:c r="B790" s="56" t="str">
        <x:v>FV-0407</x:v>
      </x:c>
      <x:c r="C790" s="53" t="str">
        <x:v>Review &amp; decide — original fan continuity</x:v>
      </x:c>
      <x:c r="D790" s="53" t="str">
        <x:v>VOID PROTOCOL-— Refinery OF Fire</x:v>
      </x:c>
      <x:c r="E790" s="53" t="str"/>
      <x:c r="F790" s="53" t="str">
        <x:v>May 12, 2026</x:v>
      </x:c>
      <x:c r="G790" s="53" t="str">
        <x:v>Fan-made / non-canon</x:v>
      </x:c>
      <x:c r="H790" s="53" t="str">
        <x:v>Fan video</x:v>
      </x:c>
      <x:c r="I790" s="53" t="str">
        <x:v>YouTube — search by title</x:v>
      </x:c>
      <x:c r="J790" s="59" t="e">
        <x:f>HYPERLINK("https://www.youtube.com/results?search_query=VOID%20PROTOCOL-%E2%80%94%20Refinery%20OF%20Fire","Search")</x:f>
        <x:v>HYPERLINK is not implemented. linkLocation=https://www.youtube.com/results?search_query=VOID%20PROTOCOL-%E2%80%94%20Refinery%20OF%20Fire, friendlyName=Search</x:v>
      </x:c>
      <x:c r="K790" s="53" t="str">
        <x:v>No reliable canonical or Legends-era anchor is stated; user decision required.</x:v>
      </x:c>
      <x:c r="L790" s="76" t="str"/>
      <x:c r="M790" s="76" t="str">
        <x:v>VOID PROTOCOL-— Refinery OF Fire</x:v>
      </x:c>
      <x:c r="N790" s="76" t="str">
        <x:v>High above a burning city, a hooded Jedi stands
alone on a rooftop while flames consume the town
below. Smoke fills the sky. Emergency lights flicker
through the streets as fire spreads across the
buildings around them.
From the opposite side of the rooftop, the Red Dark
Warrior emerges through the smoke and ignites a
glowing red blade. The rooftop duel begins instantly
— realistic close-range combat, heavy sparks,
aggressive strikes, and cinematic movement with
the entire city collapsing around them.
Every clash lights up the smoke-filled skyline as
blue and red energy collide over the burning town.
Who survives the rooftop battle?
Ga oat tw ttle eee</x:v>
      </x:c>
      <x:c r="O790" s="76" t="str">
        <x:v>Below timeline — original fan continuity</x:v>
      </x:c>
      <x:c r="P790" s="76" t="str">
        <x:v>IMG_6593.PNG</x:v>
      </x:c>
      <x:c r="Q790" s="76" t="str">
        <x:v>Needs review</x:v>
      </x:c>
      <x:c r="R790" s="76" t="str">
        <x:v>High</x:v>
      </x:c>
      <x:c r="S790" s="76" t="str">
        <x:v>No reliable canonical or Legends-era anchor is stated; user decision required.</x:v>
      </x:c>
      <x:c r="T790" s="76" t="str">
        <x:v>Unique</x:v>
      </x:c>
    </x:row>
    <x:row r="791" s="23" customFormat="1" ht="36" customHeight="1">
      <x:c r="A791" s="49" t="b">
        <x:v>0</x:v>
      </x:c>
      <x:c r="B791" s="56" t="str">
        <x:v>FV-0404</x:v>
      </x:c>
      <x:c r="C791" s="53" t="str">
        <x:v>Review &amp; decide — original fan continuity</x:v>
      </x:c>
      <x:c r="D791" s="53" t="str">
        <x:v>VOID PROTOCOL: Guardian Falls to the Sith Lord</x:v>
      </x:c>
      <x:c r="E791" s="53" t="str"/>
      <x:c r="F791" s="53" t="str">
        <x:v>May 9, 2026</x:v>
      </x:c>
      <x:c r="G791" s="53" t="str">
        <x:v>Fan-made / non-canon</x:v>
      </x:c>
      <x:c r="H791" s="53" t="str">
        <x:v>Fan video</x:v>
      </x:c>
      <x:c r="I791" s="53" t="str">
        <x:v>YouTube — search by title</x:v>
      </x:c>
      <x:c r="J791" s="59" t="e">
        <x:f>HYPERLINK("https://www.youtube.com/results?search_query=VOID%20PROTOCOL%3A%20Guardian%20Falls%20to%20the%20Sith%20Lord","Search")</x:f>
        <x:v>HYPERLINK is not implemented. linkLocation=https://www.youtube.com/results?search_query=VOID%20PROTOCOL%3A%20Guardian%20Falls%20to%20the%20Sith%20Lord, friendlyName=Search</x:v>
      </x:c>
      <x:c r="K791" s="53" t="str">
        <x:v>No reliable canonical or Legends-era anchor is stated; user decision required.</x:v>
      </x:c>
      <x:c r="L791" s="76" t="str"/>
      <x:c r="M791" s="76" t="str">
        <x:v>VOID PROTOCOL: Guardian Falls to the Sith Lord</x:v>
      </x:c>
      <x:c r="N791" s="76" t="str">
        <x:v>The Guardian stood his ground... but the Sith Lord
came prepared. *
Inside a dark industrial fortress, a lone Guardian
clashes against an unstoppable dark force ina
brutal lightsaber duel filled with sparks, heavy
impacts, and cinematic tension. Every strike feels
real as the battle turns deadly fast.
One mistake changes everything.
© VOID PROTOCOL reaches beyond the galaxy:
India ## Brazil B Germany a= Philippines be
Mexico ® United Kingdom 3 Canada
Australia = Worldwide @
Hyper-real cinematic combat
Dark sci-fi atmosphere</x:v>
      </x:c>
      <x:c r="O791" s="76" t="str">
        <x:v>Below timeline — original fan continuity</x:v>
      </x:c>
      <x:c r="P791" s="76" t="str">
        <x:v>IMG_6590.PNG</x:v>
      </x:c>
      <x:c r="Q791" s="76" t="str">
        <x:v>Needs review</x:v>
      </x:c>
      <x:c r="R791" s="76" t="str">
        <x:v>High</x:v>
      </x:c>
      <x:c r="S791" s="76" t="str">
        <x:v>No reliable canonical or Legends-era anchor is stated; user decision required.</x:v>
      </x:c>
      <x:c r="T791" s="76" t="str">
        <x:v>Unique</x:v>
      </x:c>
    </x:row>
    <x:row r="792" s="23" customFormat="1" ht="36" customHeight="1">
      <x:c r="A792" s="49" t="b">
        <x:v>0</x:v>
      </x:c>
      <x:c r="B792" s="56" t="str">
        <x:v>FV-0403</x:v>
      </x:c>
      <x:c r="C792" s="53" t="str">
        <x:v>Review &amp; decide — original fan continuity</x:v>
      </x:c>
      <x:c r="D792" s="53" t="str">
        <x:v>VOID PROTOCOL: Hooded Jedi vs Sith Lord</x:v>
      </x:c>
      <x:c r="E792" s="53" t="str"/>
      <x:c r="F792" s="53" t="str">
        <x:v>May 7, 2026</x:v>
      </x:c>
      <x:c r="G792" s="53" t="str">
        <x:v>Fan-made / non-canon</x:v>
      </x:c>
      <x:c r="H792" s="53" t="str">
        <x:v>Fan video</x:v>
      </x:c>
      <x:c r="I792" s="53" t="str">
        <x:v>YouTube — search by title</x:v>
      </x:c>
      <x:c r="J792" s="59" t="e">
        <x:f>HYPERLINK("https://www.youtube.com/results?search_query=VOID%20PROTOCOL%3A%20Hooded%20Jedi%20vs%20Sith%20Lord","Search")</x:f>
        <x:v>HYPERLINK is not implemented. linkLocation=https://www.youtube.com/results?search_query=VOID%20PROTOCOL%3A%20Hooded%20Jedi%20vs%20Sith%20Lord, friendlyName=Search</x:v>
      </x:c>
      <x:c r="K792" s="53" t="str">
        <x:v>No reliable canonical or Legends-era anchor is stated; user decision required.</x:v>
      </x:c>
      <x:c r="L792" s="76" t="str"/>
      <x:c r="M792" s="76" t="str">
        <x:v>VOID PROTOCOL: Hooded Jedi vs Sith Lord</x:v>
      </x:c>
      <x:c r="N792" s="76" t="str">
        <x:v>A hooded Jedi enters a rain-soaked industrial
battlefield and faces a terrifying red-faced dark
warrior in a brutal close-range lightsaber duel.
Sparks, steam, smoke, and heavy rain collide as the
fight escalates toward a violent final execution.
Hyper-real cinematic combat
@ Dark industrial atmosphere
(@ Grounded lightsaber realism
© VOID PROTOCOL live-action universe
Who should the Jedi face next?
#VoidProtocol #Jedi #Lightsaber #SciFi #Cinematic
#DarkWarrior #ActionShorts #StarWarsInspired
#EpicBattle #BlaineHenry593</x:v>
      </x:c>
      <x:c r="O792" s="76" t="str">
        <x:v>Below timeline — original fan continuity</x:v>
      </x:c>
      <x:c r="P792" s="76" t="str">
        <x:v>IMG_6589.PNG</x:v>
      </x:c>
      <x:c r="Q792" s="76" t="str">
        <x:v>Needs review</x:v>
      </x:c>
      <x:c r="R792" s="76" t="str">
        <x:v>High</x:v>
      </x:c>
      <x:c r="S792" s="76" t="str">
        <x:v>No reliable canonical or Legends-era anchor is stated; user decision required.</x:v>
      </x:c>
      <x:c r="T792" s="76" t="str">
        <x:v>Unique</x:v>
      </x:c>
    </x:row>
    <x:row r="793" s="23" customFormat="1" ht="36" customHeight="1">
      <x:c r="A793" s="49" t="b">
        <x:v>0</x:v>
      </x:c>
      <x:c r="B793" s="56" t="str">
        <x:v>FV-0427</x:v>
      </x:c>
      <x:c r="C793" s="53" t="str">
        <x:v>Review &amp; decide — era not stated</x:v>
      </x:c>
      <x:c r="D793" s="53" t="str">
        <x:v>⚔️ The Jedi Entered the Wrong Kingdom</x:v>
      </x:c>
      <x:c r="E793" s="53" t="str"/>
      <x:c r="F793" s="53" t="str">
        <x:v>June 6, 2026</x:v>
      </x:c>
      <x:c r="G793" s="53" t="str">
        <x:v>Fan-made / non-canon</x:v>
      </x:c>
      <x:c r="H793" s="53" t="str">
        <x:v>Fan video</x:v>
      </x:c>
      <x:c r="I793" s="53" t="str">
        <x:v>YouTube — search by title</x:v>
      </x:c>
      <x:c r="J793" s="59" t="e">
        <x:f>HYPERLINK("https://www.youtube.com/results?search_query=%E2%9A%94%EF%B8%8F%20The%20Jedi%20Entered%20the%20Wrong%20Kingdom","Search")</x:f>
        <x:v>HYPERLINK is not implemented. linkLocation=https://www.youtube.com/results?search_query=%E2%9A%94%EF%B8%8F%20The%20Jedi%20Entered%20the%20Wrong%20Kingdom, friendlyName=Search</x:v>
      </x:c>
      <x:c r="K793" s="53" t="str">
        <x:v>Generic/original Jedi, Sith, creature, or Emperor story without a dependable era anchor.</x:v>
      </x:c>
      <x:c r="L793" s="76" t="str"/>
      <x:c r="M793" s="76" t="str">
        <x:v>⚔️ The Jedi Entered the Wrong Kingdom</x:v>
      </x:c>
      <x:c r="N793" s="76" t="str">
        <x:v>A lone Jedi ventures into a forgotten kingdom
hidden deep beyond the mountains. What begins as
a simple journey quickly turns into a fight for
survival when an unknown beast emerges from the
ancient ruins.
With nowhere to run, the Jedi must rely on skill,
courage, and the Force to face a creature unlike
anything he has encountered before.
@ Epic lightsaber combat
thy Ancient lost kingdom
@ Mysterious unknown beast
4 Cinematic fantasy action
Who wins this battle—the Jedi or the beast?
#JediVsBeast #SciFiShorts #FantasyAction</x:v>
      </x:c>
      <x:c r="O793" s="76" t="str">
        <x:v>Below timeline — era not stated</x:v>
      </x:c>
      <x:c r="P793" s="76" t="str">
        <x:v>IMG_6613.PNG</x:v>
      </x:c>
      <x:c r="Q793" s="76" t="str">
        <x:v>Needs review</x:v>
      </x:c>
      <x:c r="R793" s="76" t="str">
        <x:v>High</x:v>
      </x:c>
      <x:c r="S793" s="76" t="str">
        <x:v>Generic/original Jedi, Sith, creature, or Emperor story without a dependable era anchor.</x:v>
      </x:c>
      <x:c r="T793" s="76" t="str">
        <x:v>Unique</x:v>
      </x:c>
    </x:row>
    <x:row r="794" s="23" customFormat="1" ht="36" customHeight="1">
      <x:c r="A794" s="49" t="b">
        <x:v>0</x:v>
      </x:c>
      <x:c r="B794" s="56" t="str">
        <x:v>FV-0447</x:v>
      </x:c>
      <x:c r="C794" s="53" t="str">
        <x:v>Review &amp; decide — era not stated</x:v>
      </x:c>
      <x:c r="D794" s="53" t="str">
        <x:v>⚔️ The Jedi Entered the Wrong Kingdom</x:v>
      </x:c>
      <x:c r="E794" s="53" t="str"/>
      <x:c r="F794" s="53" t="str">
        <x:v>June 11, 2026</x:v>
      </x:c>
      <x:c r="G794" s="53" t="str">
        <x:v>Fan-made / non-canon</x:v>
      </x:c>
      <x:c r="H794" s="53" t="str">
        <x:v>Fan video</x:v>
      </x:c>
      <x:c r="I794" s="53" t="str">
        <x:v>YouTube — search by title</x:v>
      </x:c>
      <x:c r="J794" s="59" t="e">
        <x:f>HYPERLINK("https://www.youtube.com/results?search_query=%E2%9A%94%EF%B8%8F%20The%20Jedi%20Entered%20the%20Wrong%20Kingdom","Search")</x:f>
        <x:v>HYPERLINK is not implemented. linkLocation=https://www.youtube.com/results?search_query=%E2%9A%94%EF%B8%8F%20The%20Jedi%20Entered%20the%20Wrong%20Kingdom, friendlyName=Search</x:v>
      </x:c>
      <x:c r="K794" s="53" t="str">
        <x:v>Generic/original Jedi, Sith, creature, or Emperor story without a dependable era anchor.</x:v>
      </x:c>
      <x:c r="L794" s="76" t="str"/>
      <x:c r="M794" s="76" t="str">
        <x:v>⚔️ The Jedi Entered the Wrong Kingdom</x:v>
      </x:c>
      <x:c r="N794" s="76" t="str">
        <x:v>The kingdom had been abandoned for centuries...
but something was still guarding it.
A lone Jedi discovers an ancient realm hidden
beyond the mountains and awakens a colossal
guardian that should have remained buried forever.
Who wins this battle?
#StarWars #Jedi #Lightsaber #Fantasy #EpicBattle
#SciFi #Adventure #Shorts #Unleashed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x:v>
      </x:c>
      <x:c r="O794" s="76" t="str">
        <x:v>Below timeline — era not stated</x:v>
      </x:c>
      <x:c r="P794" s="76" t="str">
        <x:v>IMG_6633.PNG</x:v>
      </x:c>
      <x:c r="Q794" s="76" t="str">
        <x:v>Needs review</x:v>
      </x:c>
      <x:c r="R794" s="76" t="str">
        <x:v>High</x:v>
      </x:c>
      <x:c r="S794" s="76" t="str">
        <x:v>Generic/original Jedi, Sith, creature, or Emperor story without a dependable era anchor.</x:v>
      </x:c>
      <x:c r="T794" s="76" t="str">
        <x:v>Unique</x:v>
      </x:c>
    </x:row>
    <x:row r="795" s="23" customFormat="1" ht="36" customHeight="1">
      <x:c r="A795" s="49" t="b">
        <x:v>0</x:v>
      </x:c>
      <x:c r="B795" s="56" t="str">
        <x:v>FV-0445</x:v>
      </x:c>
      <x:c r="C795" s="53" t="str">
        <x:v>Review &amp; decide — era not stated</x:v>
      </x:c>
      <x:c r="D795" s="53" t="str">
        <x:v>⚔️ The Jedi Walked Into the Wrong World</x:v>
      </x:c>
      <x:c r="E795" s="53" t="str"/>
      <x:c r="F795" s="53" t="str">
        <x:v>June 11, 2026</x:v>
      </x:c>
      <x:c r="G795" s="53" t="str">
        <x:v>Fan-made / non-canon</x:v>
      </x:c>
      <x:c r="H795" s="53" t="str">
        <x:v>Fan video</x:v>
      </x:c>
      <x:c r="I795" s="53" t="str">
        <x:v>YouTube — search by title</x:v>
      </x:c>
      <x:c r="J795" s="59" t="e">
        <x:f>HYPERLINK("https://www.youtube.com/results?search_query=%E2%9A%94%EF%B8%8F%20The%20Jedi%20Walked%20Into%20the%20Wrong%20World","Search")</x:f>
        <x:v>HYPERLINK is not implemented. linkLocation=https://www.youtube.com/results?search_query=%E2%9A%94%EF%B8%8F%20The%20Jedi%20Walked%20Into%20the%20Wrong%20World, friendlyName=Search</x:v>
      </x:c>
      <x:c r="K795" s="53" t="str">
        <x:v>Generic/original Jedi, Sith, creature, or Emperor story without a dependable era anchor.</x:v>
      </x:c>
      <x:c r="L795" s="76" t="str"/>
      <x:c r="M795" s="76" t="str">
        <x:v>⚔️ The Jedi Walked Into the Wrong World</x:v>
      </x:c>
      <x:c r="N795" s="76" t="str">
        <x:v>A lone Jedi arrives in a forgotten realm hidden
beyond the known galaxy. Ancient ruins, towering
statues, and a terrifying creature guard secrets that
should have remained buried forever. What begins
as a simple journey quickly becomes a fight for
survival.
Will the Force be enough in a world where nothing
follows the rules?
#StarWars #Jedi #Lightsaber #SciFi #Fantasy
#EpicBattle #ForceUser #Cinematic #Adventure
#Shorts #Unleashed
© ORIGINAL STORY - Al CINEMATIC
PRODUCTION
This adventure was developed as an original story</x:v>
      </x:c>
      <x:c r="O795" s="76" t="str">
        <x:v>Below timeline — era not stated</x:v>
      </x:c>
      <x:c r="P795" s="76" t="str">
        <x:v>IMG_6631.PNG</x:v>
      </x:c>
      <x:c r="Q795" s="76" t="str">
        <x:v>Needs review</x:v>
      </x:c>
      <x:c r="R795" s="76" t="str">
        <x:v>High</x:v>
      </x:c>
      <x:c r="S795" s="76" t="str">
        <x:v>Generic/original Jedi, Sith, creature, or Emperor story without a dependable era anchor.</x:v>
      </x:c>
      <x:c r="T795" s="76" t="str">
        <x:v>Unique</x:v>
      </x:c>
    </x:row>
    <x:row r="796" s="23" customFormat="1" ht="36" customHeight="1">
      <x:c r="A796" s="49" t="b">
        <x:v>0</x:v>
      </x:c>
      <x:c r="B796" s="56" t="str">
        <x:v>FV-0485</x:v>
      </x:c>
      <x:c r="C796" s="53" t="str">
        <x:v>Review &amp; decide — era not stated</x:v>
      </x:c>
      <x:c r="D796" s="53" t="str">
        <x:v>🎯 Legendary Jedi Accuracy | Every Shot Counted</x:v>
      </x:c>
      <x:c r="E796" s="53" t="str"/>
      <x:c r="F796" s="53" t="str">
        <x:v>June 15, 2026</x:v>
      </x:c>
      <x:c r="G796" s="53" t="str">
        <x:v>Fan-made / non-canon</x:v>
      </x:c>
      <x:c r="H796" s="53" t="str">
        <x:v>Fan video</x:v>
      </x:c>
      <x:c r="I796" s="53" t="str">
        <x:v>YouTube — search by title</x:v>
      </x:c>
      <x:c r="J796" s="59" t="e">
        <x:f>HYPERLINK("https://www.youtube.com/results?search_query=%F0%9F%8E%AF%20Legendary%20Jedi%20Accuracy%20%7C%20Every%20Shot%20Counted","Search")</x:f>
        <x:v>HYPERLINK is not implemented. linkLocation=https://www.youtube.com/results?search_query=%F0%9F%8E%AF%20Legendary%20Jedi%20Accuracy%20%7C%20Every%20Shot%20Counted, friendlyName=Search</x:v>
      </x:c>
      <x:c r="K796" s="53" t="str">
        <x:v>Generic/original Jedi, Sith, creature, or Emperor story without a dependable era anchor.</x:v>
      </x:c>
      <x:c r="L796" s="76" t="str"/>
      <x:c r="M796" s="76" t="str">
        <x:v>🎯 Legendary Jedi Accuracy | Every Shot Counted</x:v>
      </x:c>
      <x:c r="N796" s="76" t="str">
        <x:v>A legendary Jedi faces a swarm of high-speed
attack drones and misses nothing. With perfect
timing, razor-sharp focus, and unmatched
lightsaber precision, every strike lands exactly
where it needs to.
@ Legendary accuracy
% Lightning-fast reactions
@ Drone assault
™ Precision lightsaber combat
Some Jedi are powerful. Others are precise. This
one is both.
#StarWars #Jedi #Lightsaber #JediMaster
#LegendaryJedi #JediAccuracy #ForceUser #SciFi
#EpicBattle #Shorts #YouTUubeShorts</x:v>
      </x:c>
      <x:c r="O796" s="76" t="str">
        <x:v>Below timeline — era not stated</x:v>
      </x:c>
      <x:c r="P796" s="76" t="str">
        <x:v>IMG_6674.PNG</x:v>
      </x:c>
      <x:c r="Q796" s="76" t="str">
        <x:v>Needs review</x:v>
      </x:c>
      <x:c r="R796" s="76" t="str">
        <x:v>High</x:v>
      </x:c>
      <x:c r="S796" s="76" t="str">
        <x:v>Generic/original Jedi, Sith, creature, or Emperor story without a dependable era anchor.</x:v>
      </x:c>
      <x:c r="T796" s="76" t="str">
        <x:v>Unique</x:v>
      </x:c>
    </x:row>
    <x:row r="797" s="23" customFormat="1" ht="36" customHeight="1">
      <x:c r="A797" s="49" t="b">
        <x:v>0</x:v>
      </x:c>
      <x:c r="B797" s="56" t="str">
        <x:v>FV-0468</x:v>
      </x:c>
      <x:c r="C797" s="53" t="str">
        <x:v>Review &amp; decide — era not stated</x:v>
      </x:c>
      <x:c r="D797" s="53" t="str">
        <x:v>🏜️ The Dune Stalker Never Saw Him Coming ⚔️</x:v>
      </x:c>
      <x:c r="E797" s="53" t="str"/>
      <x:c r="F797" s="53" t="str">
        <x:v>June 13, 2026</x:v>
      </x:c>
      <x:c r="G797" s="53" t="str">
        <x:v>Fan-made / non-canon</x:v>
      </x:c>
      <x:c r="H797" s="53" t="str">
        <x:v>Fan video</x:v>
      </x:c>
      <x:c r="I797" s="53" t="str">
        <x:v>YouTube — search by title</x:v>
      </x:c>
      <x:c r="J797" s="59" t="e">
        <x:f>HYPERLINK("https://www.youtube.com/results?search_query=%F0%9F%8F%9C%EF%B8%8F%20The%20Dune%20Stalker%20Never%20Saw%20Him%20Coming%20%E2%9A%94%EF%B8%8F","Search")</x:f>
        <x:v>HYPERLINK is not implemented. linkLocation=https://www.youtube.com/results?search_query=%F0%9F%8F%9C%EF%B8%8F%20The%20Dune%20Stalker%20Never%20Saw%20Him%20Coming%20%E2%9A%94%EF%B8%8F, friendlyName=Search</x:v>
      </x:c>
      <x:c r="K797" s="53" t="str">
        <x:v>Generic/original Jedi, Sith, creature, or Emperor story without a dependable era anchor.</x:v>
      </x:c>
      <x:c r="L797" s="76" t="str"/>
      <x:c r="M797" s="76" t="str">
        <x:v>🏜️ The Dune Stalker Never Saw Him Coming ⚔️</x:v>
      </x:c>
      <x:c r="N797" s="76" t="str">
        <x:v>A legendary Jedi enters the ancient desert ruins
and awakens a creature that has ruled the dunes for
centuries. What happens next is a display of speed,
precision, and mastery that the Dune Stalker never
expected.
™ Blazing lightsaber combat
% Ancient desert kingdom
4 Incredible Jedi reflexes
@ Epic creature battle
© The Dune Stalker awakens
How this was made</x:v>
      </x:c>
      <x:c r="O797" s="76" t="str">
        <x:v>Below timeline — era not stated</x:v>
      </x:c>
      <x:c r="P797" s="76" t="str">
        <x:v>IMG_6657.PNG</x:v>
      </x:c>
      <x:c r="Q797" s="76" t="str">
        <x:v>Needs review</x:v>
      </x:c>
      <x:c r="R797" s="76" t="str">
        <x:v>High</x:v>
      </x:c>
      <x:c r="S797" s="76" t="str">
        <x:v>Generic/original Jedi, Sith, creature, or Emperor story without a dependable era anchor.</x:v>
      </x:c>
      <x:c r="T797" s="76" t="str">
        <x:v>Unique</x:v>
      </x:c>
    </x:row>
    <x:row r="798" s="23" customFormat="1" ht="36" customHeight="1">
      <x:c r="A798" s="49" t="b">
        <x:v>0</x:v>
      </x:c>
      <x:c r="B798" s="56" t="str">
        <x:v>FV-0490</x:v>
      </x:c>
      <x:c r="C798" s="53" t="str">
        <x:v>Review &amp; decide — era not stated</x:v>
      </x:c>
      <x:c r="D798" s="53" t="str">
        <x:v>🐊 The Swamp Beast Chose The Wrong Jedi</x:v>
      </x:c>
      <x:c r="E798" s="53" t="str"/>
      <x:c r="F798" s="53" t="str">
        <x:v>June 15, 2026</x:v>
      </x:c>
      <x:c r="G798" s="53" t="str">
        <x:v>Fan-made / non-canon</x:v>
      </x:c>
      <x:c r="H798" s="53" t="str">
        <x:v>Fan video</x:v>
      </x:c>
      <x:c r="I798" s="53" t="str">
        <x:v>YouTube — search by title</x:v>
      </x:c>
      <x:c r="J798" s="59" t="e">
        <x:f>HYPERLINK("https://www.youtube.com/results?search_query=%F0%9F%90%8A%20The%20Swamp%20Beast%20Chose%20The%20Wrong%20Jedi","Search")</x:f>
        <x:v>HYPERLINK is not implemented. linkLocation=https://www.youtube.com/results?search_query=%F0%9F%90%8A%20The%20Swamp%20Beast%20Chose%20The%20Wrong%20Jedi, friendlyName=Search</x:v>
      </x:c>
      <x:c r="K798" s="53" t="str">
        <x:v>Generic/original Jedi, Sith, creature, or Emperor story without a dependable era anchor.</x:v>
      </x:c>
      <x:c r="L798" s="76" t="str"/>
      <x:c r="M798" s="76" t="str">
        <x:v>🐊 The Swamp Beast Chose The Wrong Jedi</x:v>
      </x:c>
      <x:c r="N798" s="76" t="str">
        <x:v>lone Jedi enters a forgotten swamp kingdom hidden
beneath thick fog and dark waters. Waiting below
the surface is a terrifying swamp beast that has
ruled these waters for years.
What follows is a fast, brutal battle between
legendary skill and monstrous strength.
« Legendary Jedi warrior
Humanoid swamp beast
4 Force-speed escape
Bl Fog-covered swamp kingdom
@ Realistic lightsaber combat
The beast thought it owned the swamp... until the
Jedi arrived.
#StarWars #Jedi #Lightsaber #SwampBeast</x:v>
      </x:c>
      <x:c r="O798" s="76" t="str">
        <x:v>Below timeline — era not stated</x:v>
      </x:c>
      <x:c r="P798" s="76" t="str">
        <x:v>IMG_6679.PNG</x:v>
      </x:c>
      <x:c r="Q798" s="76" t="str">
        <x:v>Needs review</x:v>
      </x:c>
      <x:c r="R798" s="76" t="str">
        <x:v>High</x:v>
      </x:c>
      <x:c r="S798" s="76" t="str">
        <x:v>Generic/original Jedi, Sith, creature, or Emperor story without a dependable era anchor.</x:v>
      </x:c>
      <x:c r="T798" s="76" t="str">
        <x:v>Unique</x:v>
      </x:c>
    </x:row>
    <x:row r="799" s="23" customFormat="1" ht="36" customHeight="1">
      <x:c r="A799" s="49" t="b">
        <x:v>0</x:v>
      </x:c>
      <x:c r="B799" s="56" t="str">
        <x:v>FV-0491</x:v>
      </x:c>
      <x:c r="C799" s="53" t="str">
        <x:v>Review &amp; decide — era not stated</x:v>
      </x:c>
      <x:c r="D799" s="53" t="str">
        <x:v>🐊 The Swamp King Chose The Wrong Jedi</x:v>
      </x:c>
      <x:c r="E799" s="53" t="str"/>
      <x:c r="F799" s="53" t="str">
        <x:v>June 15, 2026</x:v>
      </x:c>
      <x:c r="G799" s="53" t="str">
        <x:v>Fan-made / non-canon</x:v>
      </x:c>
      <x:c r="H799" s="53" t="str">
        <x:v>Fan video</x:v>
      </x:c>
      <x:c r="I799" s="53" t="str">
        <x:v>YouTube — search by title</x:v>
      </x:c>
      <x:c r="J799" s="59" t="e">
        <x:f>HYPERLINK("https://www.youtube.com/results?search_query=%F0%9F%90%8A%20The%20Swamp%20King%20Chose%20The%20Wrong%20Jedi","Search")</x:f>
        <x:v>HYPERLINK is not implemented. linkLocation=https://www.youtube.com/results?search_query=%F0%9F%90%8A%20The%20Swamp%20King%20Chose%20The%20Wrong%20Jedi, friendlyName=Search</x:v>
      </x:c>
      <x:c r="K799" s="53" t="str">
        <x:v>Generic/original Jedi, Sith, creature, or Emperor story without a dependable era anchor.</x:v>
      </x:c>
      <x:c r="L799" s="76" t="str"/>
      <x:c r="M799" s="76" t="str">
        <x:v>🐊 The Swamp King Chose The Wrong Jedi</x:v>
      </x:c>
      <x:c r="N799" s="76" t="str">
        <x:v>Deep within a forgotten swamp kingdom, an ancient
ruler awakens.
Armed with a bone club and protected by years of
battle, the Swamp King believes no warrior can
challenge him. Then a lone Jedi arrives.
™™ Legendary Jedi combat
® Ancient Swamp King
4 Force-speed movement
Bl Fog-covered kingdom
@ Realistic lightsaber battle
Some creatures rule the swamp. Others become
legends.
#StarWars #Jedi #Lightsaber #SwampkKing
#SwampBeast #LegendaryJedi #EpicBattle #SciFi</x:v>
      </x:c>
      <x:c r="O799" s="76" t="str">
        <x:v>Below timeline — era not stated</x:v>
      </x:c>
      <x:c r="P799" s="76" t="str">
        <x:v>IMG_6680.PNG</x:v>
      </x:c>
      <x:c r="Q799" s="76" t="str">
        <x:v>Needs review</x:v>
      </x:c>
      <x:c r="R799" s="76" t="str">
        <x:v>High</x:v>
      </x:c>
      <x:c r="S799" s="76" t="str">
        <x:v>Generic/original Jedi, Sith, creature, or Emperor story without a dependable era anchor.</x:v>
      </x:c>
      <x:c r="T799" s="76" t="str">
        <x:v>Unique</x:v>
      </x:c>
    </x:row>
    <x:row r="800" s="23" customFormat="1" ht="36" customHeight="1">
      <x:c r="A800" s="49" t="b">
        <x:v>0</x:v>
      </x:c>
      <x:c r="B800" s="56" t="str">
        <x:v>FV-0477</x:v>
      </x:c>
      <x:c r="C800" s="53" t="str">
        <x:v>Review &amp; decide — era not stated</x:v>
      </x:c>
      <x:c r="D800" s="53" t="str">
        <x:v>👁️ Legendary Jedi Awareness | Nothing Escapes a Jedi</x:v>
      </x:c>
      <x:c r="E800" s="53" t="str"/>
      <x:c r="F800" s="53" t="str">
        <x:v>June 14, 2026</x:v>
      </x:c>
      <x:c r="G800" s="53" t="str">
        <x:v>Fan-made / non-canon</x:v>
      </x:c>
      <x:c r="H800" s="53" t="str">
        <x:v>Fan video</x:v>
      </x:c>
      <x:c r="I800" s="53" t="str">
        <x:v>YouTube — search by title</x:v>
      </x:c>
      <x:c r="J800" s="59" t="e">
        <x:f>HYPERLINK("https://www.youtube.com/results?search_query=%F0%9F%91%81%EF%B8%8F%20Legendary%20Jedi%20Awareness%20%7C%20Nothing%20Escapes%20a%20Jedi","Search")</x:f>
        <x:v>HYPERLINK is not implemented. linkLocation=https://www.youtube.com/results?search_query=%F0%9F%91%81%EF%B8%8F%20Legendary%20Jedi%20Awareness%20%7C%20Nothing%20Escapes%20a%20Jedi, friendlyName=Search</x:v>
      </x:c>
      <x:c r="K800" s="53" t="str">
        <x:v>Generic/original Jedi, Sith, creature, or Emperor story without a dependable era anchor.</x:v>
      </x:c>
      <x:c r="L800" s="76" t="str"/>
      <x:c r="M800" s="76" t="str">
        <x:v>👁️ Legendary Jedi Awareness | Nothing Escapes a Jedi</x:v>
      </x:c>
      <x:c r="N800" s="76" t="str">
        <x:v>A legendary Jedi walks through an ancient canyon,
but danger is everywhere. Hidden predators strike
from the shadows, yet every attack is anticipated
before it happens. Calm, focused, and completely
aware of his surroundings, the Jedi proves that true
power begins with awareness.
Can anything surprise a Jedi?
™ Subscribe for more legendary Jedi adventures
and epic battles.
#Jedi #LegendaryJedi #JediAwareness #Lightsaber
#ForceUser #SciFi #Fantasy #EpicBattle #Cinematic
#Shorts #MayTheForceBeWithYou
#StarWarsInspired</x:v>
      </x:c>
      <x:c r="O800" s="76" t="str">
        <x:v>Below timeline — era not stated</x:v>
      </x:c>
      <x:c r="P800" s="76" t="str">
        <x:v>IMG_6666.PNG</x:v>
      </x:c>
      <x:c r="Q800" s="76" t="str">
        <x:v>Needs review</x:v>
      </x:c>
      <x:c r="R800" s="76" t="str">
        <x:v>High</x:v>
      </x:c>
      <x:c r="S800" s="76" t="str">
        <x:v>Generic/original Jedi, Sith, creature, or Emperor story without a dependable era anchor.</x:v>
      </x:c>
      <x:c r="T800" s="76" t="str">
        <x:v>Unique</x:v>
      </x:c>
    </x:row>
    <x:row r="801" s="23" customFormat="1" ht="36" customHeight="1">
      <x:c r="A801" s="49" t="b">
        <x:v>0</x:v>
      </x:c>
      <x:c r="B801" s="56" t="str">
        <x:v>FV-0429</x:v>
      </x:c>
      <x:c r="C801" s="53" t="str">
        <x:v>Review &amp; decide — era not stated</x:v>
      </x:c>
      <x:c r="D801" s="53" t="str">
        <x:v>🦖 The Jedi Entered the Wrong World... Again ⚔️</x:v>
      </x:c>
      <x:c r="E801" s="53" t="str"/>
      <x:c r="F801" s="53" t="str">
        <x:v>June 7, 2026</x:v>
      </x:c>
      <x:c r="G801" s="53" t="str">
        <x:v>Fan-made / non-canon</x:v>
      </x:c>
      <x:c r="H801" s="53" t="str">
        <x:v>Fan video</x:v>
      </x:c>
      <x:c r="I801" s="53" t="str">
        <x:v>YouTube — search by title</x:v>
      </x:c>
      <x:c r="J801" s="59" t="e">
        <x:f>HYPERLINK("https://www.youtube.com/results?search_query=%F0%9F%A6%96%20The%20Jedi%20Entered%20the%20Wrong%20World...%20Again%20%E2%9A%94%EF%B8%8F","Search")</x:f>
        <x:v>HYPERLINK is not implemented. linkLocation=https://www.youtube.com/results?search_query=%F0%9F%A6%96%20The%20Jedi%20Entered%20the%20Wrong%20World...%20Again%20%E2%9A%94%EF%B8%8F, friendlyName=Search</x:v>
      </x:c>
      <x:c r="K801" s="53" t="str">
        <x:v>Generic/original Jedi, Sith, creature, or Emperor story without a dependable era anchor.</x:v>
      </x:c>
      <x:c r="L801" s="76" t="str"/>
      <x:c r="M801" s="76" t="str">
        <x:v>🦖 The Jedi Entered the Wrong World... Again ⚔️</x:v>
      </x:c>
      <x:c r="N801" s="76" t="str">
        <x:v>A lone Jedi finds himself stranded in a forgotten
world where ancient predators still rule the land.
What begins as a quiet journey through a
mysterious valley quickly turns into a fight for
survival when a massive Tyrannosaurus Rex
emerges from the shadows. Can the Force
overcome one of history's greatest hunters?
#Jedi #TyrannosaurusRex #Dinosaur #SciFi
#Adventure #EpicBattle #Lightsaber #Shorts
#StarWarsFan #Cinematic #ViralShorts #Action
#Fantasy #CreatureEncounter #Unleashed
This video is an original Al-assisted production
created, directed, and edited by Blaine Henry. The
concept, story, characters, scene direction, action</x:v>
      </x:c>
      <x:c r="O801" s="76" t="str">
        <x:v>Below timeline — era not stated</x:v>
      </x:c>
      <x:c r="P801" s="76" t="str">
        <x:v>IMG_6615.PNG</x:v>
      </x:c>
      <x:c r="Q801" s="76" t="str">
        <x:v>Needs review</x:v>
      </x:c>
      <x:c r="R801" s="76" t="str">
        <x:v>High</x:v>
      </x:c>
      <x:c r="S801" s="76" t="str">
        <x:v>Shares a title and publication date with another screenshot, but description differs | Generic/original Jedi, Sith, creature, or Emperor story without a dependable era anchor.</x:v>
      </x:c>
      <x:c r="T801" s="76" t="str">
        <x:v>Possible duplicate title/date — retained as separate video — POSS-DUP-001</x:v>
      </x:c>
    </x:row>
    <x:row r="802" s="23" customFormat="1" ht="36" customHeight="1">
      <x:c r="A802" s="49" t="b">
        <x:v>0</x:v>
      </x:c>
      <x:c r="B802" s="56" t="str">
        <x:v>FV-0460</x:v>
      </x:c>
      <x:c r="C802" s="53" t="str">
        <x:v>Review &amp; decide — era not stated</x:v>
      </x:c>
      <x:c r="D802" s="53" t="str">
        <x:v>🚪 The Gate Beneath Manaan Finally Opened</x:v>
      </x:c>
      <x:c r="E802" s="53" t="str"/>
      <x:c r="F802" s="53" t="str">
        <x:v>June 13, 2026</x:v>
      </x:c>
      <x:c r="G802" s="53" t="str">
        <x:v>Fan-made / non-canon</x:v>
      </x:c>
      <x:c r="H802" s="53" t="str">
        <x:v>Fan video</x:v>
      </x:c>
      <x:c r="I802" s="53" t="str">
        <x:v>YouTube — search by title</x:v>
      </x:c>
      <x:c r="J802" s="59" t="e">
        <x:f>HYPERLINK("https://www.youtube.com/results?search_query=%F0%9F%9A%AA%20The%20Gate%20Beneath%20Manaan%20Finally%20Opened","Search")</x:f>
        <x:v>HYPERLINK is not implemented. linkLocation=https://www.youtube.com/results?search_query=%F0%9F%9A%AA%20The%20Gate%20Beneath%20Manaan%20Finally%20Opened, friendlyName=Search</x:v>
      </x:c>
      <x:c r="K802" s="53" t="str">
        <x:v>Generic/original Jedi, Sith, creature, or Emperor story without a dependable era anchor.</x:v>
      </x:c>
      <x:c r="L802" s="76" t="str"/>
      <x:c r="M802" s="76" t="str">
        <x:v>🚪 The Gate Beneath Manaan Finally Opened</x:v>
      </x:c>
      <x:c r="N802" s="76" t="str">
        <x:v>For thousands of years, an ancient gate rested
undisturbed beneath the oceans of Manaan. When
a lone Jedi unlocks its forgotten mechanism, a
hidden kingdom is revealed—and an ancient
guardian rises to stop him. Some secrets were
buried for a reason.
&amp; Ancient ruins
™ Legendary Jedi combat
@ Force-speed reflexes
™ Lightsaber mastery
fff The lost world beneath Manaan
#StarWars #Jedi #Manaan #Lightsaber #SciFi
#Fantasy #VoidProtocol #Shorts</x:v>
      </x:c>
      <x:c r="O802" s="76" t="str">
        <x:v>Below timeline — era not stated</x:v>
      </x:c>
      <x:c r="P802" s="76" t="str">
        <x:v>IMG_6649.PNG</x:v>
      </x:c>
      <x:c r="Q802" s="76" t="str">
        <x:v>Needs review</x:v>
      </x:c>
      <x:c r="R802" s="76" t="str">
        <x:v>High</x:v>
      </x:c>
      <x:c r="S802" s="76" t="str">
        <x:v>Generic/original Jedi, Sith, creature, or Emperor story without a dependable era anchor.</x:v>
      </x:c>
      <x:c r="T802" s="76" t="str">
        <x:v>Unique</x:v>
      </x:c>
    </x:row>
    <x:row r="803" s="23" customFormat="1" ht="36" customHeight="1">
      <x:c r="A803" s="49" t="b">
        <x:v>0</x:v>
      </x:c>
      <x:c r="B803" s="56" t="str">
        <x:v>FV-0479</x:v>
      </x:c>
      <x:c r="C803" s="53" t="str">
        <x:v>Review &amp; decide — era not stated</x:v>
      </x:c>
      <x:c r="D803" s="53" t="str">
        <x:v>🛡️ Legendary Jedi Endurance | The Jedi Refused to Fall</x:v>
      </x:c>
      <x:c r="E803" s="53" t="str"/>
      <x:c r="F803" s="53" t="str">
        <x:v>June 14, 2026</x:v>
      </x:c>
      <x:c r="G803" s="53" t="str">
        <x:v>Fan-made / non-canon</x:v>
      </x:c>
      <x:c r="H803" s="53" t="str">
        <x:v>Fan video</x:v>
      </x:c>
      <x:c r="I803" s="53" t="str">
        <x:v>YouTube — search by title</x:v>
      </x:c>
      <x:c r="J803" s="59" t="e">
        <x:f>HYPERLINK("https://www.youtube.com/results?search_query=%F0%9F%9B%A1%EF%B8%8F%20Legendary%20Jedi%20Endurance%20%7C%20The%20Jedi%20Refused%20to%20Fall","Search")</x:f>
        <x:v>HYPERLINK is not implemented. linkLocation=https://www.youtube.com/results?search_query=%F0%9F%9B%A1%EF%B8%8F%20Legendary%20Jedi%20Endurance%20%7C%20The%20Jedi%20Refused%20to%20Fall, friendlyName=Search</x:v>
      </x:c>
      <x:c r="K803" s="53" t="str">
        <x:v>Generic/original Jedi, Sith, creature, or Emperor story without a dependable era anchor.</x:v>
      </x:c>
      <x:c r="L803" s="76" t="str"/>
      <x:c r="M803" s="76" t="str">
        <x:v>🛡️ Legendary Jedi Endurance | The Jedi Refused to Fall</x:v>
      </x:c>
      <x:c r="N803" s="76" t="str">
        <x:v>A massive beast unleashes everything it has, but
this Jedi refuses to stay down. Through pain,
exhaustion, and overwhelming odds, he keeps
moving forward. True strength isn’t about power—
it's about endurance.
How long could you last against a relentless enemy?
« Follow for more legendary Jedi adventures,
ancient beasts, and cinematic battles.
#Jedi #LegendaryJedi #JediEndurance #Lightsaber
#ForceUser #EpicBattle #SciFi #Fantasy #Cinematic
#Shorts #MayTheForceBeWithYou #JediMaster</x:v>
      </x:c>
      <x:c r="O803" s="76" t="str">
        <x:v>Below timeline — era not stated</x:v>
      </x:c>
      <x:c r="P803" s="76" t="str">
        <x:v>IMG_6668.PNG</x:v>
      </x:c>
      <x:c r="Q803" s="76" t="str">
        <x:v>Needs review</x:v>
      </x:c>
      <x:c r="R803" s="76" t="str">
        <x:v>High</x:v>
      </x:c>
      <x:c r="S803" s="76" t="str">
        <x:v>Generic/original Jedi, Sith, creature, or Emperor story without a dependable era anchor.</x:v>
      </x:c>
      <x:c r="T803" s="76" t="str">
        <x:v>Unique</x:v>
      </x:c>
    </x:row>
    <x:row r="804" s="23" customFormat="1" ht="36" customHeight="1">
      <x:c r="A804" s="49" t="b">
        <x:v>0</x:v>
      </x:c>
      <x:c r="B804" s="56" t="str">
        <x:v>FV-0413</x:v>
      </x:c>
      <x:c r="C804" s="53" t="str">
        <x:v>Review &amp; decide — era not stated</x:v>
      </x:c>
      <x:c r="D804" s="53" t="str">
        <x:v>🟢🟢 Twin Green Jedi Entered the Wrong Kingdom</x:v>
      </x:c>
      <x:c r="E804" s="53" t="str"/>
      <x:c r="F804" s="53" t="str">
        <x:v>May 29, 2026</x:v>
      </x:c>
      <x:c r="G804" s="53" t="str">
        <x:v>Fan-made / non-canon</x:v>
      </x:c>
      <x:c r="H804" s="53" t="str">
        <x:v>Fan video</x:v>
      </x:c>
      <x:c r="I804" s="53" t="str">
        <x:v>YouTube — search by title</x:v>
      </x:c>
      <x:c r="J804" s="59" t="e">
        <x:f>HYPERLINK("https://www.youtube.com/results?search_query=%F0%9F%9F%A2%F0%9F%9F%A2%20Twin%20Green%20Jedi%20Entered%20the%20Wrong%20Kingdom","Search")</x:f>
        <x:v>HYPERLINK is not implemented. linkLocation=https://www.youtube.com/results?search_query=%F0%9F%9F%A2%F0%9F%9F%A2%20Twin%20Green%20Jedi%20Entered%20the%20Wrong%20Kingdom, friendlyName=Search</x:v>
      </x:c>
      <x:c r="K804" s="53" t="str">
        <x:v>Generic/original Jedi, Sith, creature, or Emperor story without a dependable era anchor.</x:v>
      </x:c>
      <x:c r="L804" s="76" t="str"/>
      <x:c r="M804" s="76" t="str">
        <x:v>🟢🟢 Twin Green Jedi Entered the Wrong Kingdom</x:v>
      </x:c>
      <x:c r="N804" s="76" t="str">
        <x:v>Deep within a forgotten kingdom, the Twin Green
Jedi comes face to face with an ancient giant that
has guarded these ruins for centuries.
Armed with two green lightsabers and nowhere to
run, the Jedi must rely on speed, skill, and precision
against a towering enemy built for war.
™ One Jedi
@® Twin green lightsabers
@ Ancient kingdom guardian
2 Dark fantasy realism
Some worlds were forgotten for a reason.
#VoidProtocol #TwinGreenJedi #WrongKingdom
#AncientKinadom #DarkFantasv #Jedilnspired</x:v>
      </x:c>
      <x:c r="O804" s="76" t="str">
        <x:v>Below timeline — era not stated</x:v>
      </x:c>
      <x:c r="P804" s="76" t="str">
        <x:v>IMG_6599.PNG</x:v>
      </x:c>
      <x:c r="Q804" s="76" t="str">
        <x:v>Needs review</x:v>
      </x:c>
      <x:c r="R804" s="76" t="str">
        <x:v>High</x:v>
      </x:c>
      <x:c r="S804" s="76" t="str">
        <x:v>Generic/original Jedi, Sith, creature, or Emperor story without a dependable era anchor.</x:v>
      </x:c>
      <x:c r="T804" s="76" t="str">
        <x:v>Unique</x:v>
      </x:c>
    </x:row>
    <x:row r="805" s="23" customFormat="1" ht="36" customHeight="1">
      <x:c r="A805" s="49" t="b">
        <x:v>0</x:v>
      </x:c>
      <x:c r="B805" s="56" t="str">
        <x:v>FV-0414</x:v>
      </x:c>
      <x:c r="C805" s="53" t="str">
        <x:v>Review &amp; decide — era not stated</x:v>
      </x:c>
      <x:c r="D805" s="53" t="str">
        <x:v>🟢🟢 Twin Green Jedi Entered the Wrong World</x:v>
      </x:c>
      <x:c r="E805" s="53" t="str"/>
      <x:c r="F805" s="53" t="str">
        <x:v>May 30, 2026</x:v>
      </x:c>
      <x:c r="G805" s="53" t="str">
        <x:v>Fan-made / non-canon</x:v>
      </x:c>
      <x:c r="H805" s="53" t="str">
        <x:v>Fan video</x:v>
      </x:c>
      <x:c r="I805" s="53" t="str">
        <x:v>YouTube — search by title</x:v>
      </x:c>
      <x:c r="J805" s="59" t="e">
        <x:f>HYPERLINK("https://www.youtube.com/results?search_query=%F0%9F%9F%A2%F0%9F%9F%A2%20Twin%20Green%20Jedi%20Entered%20the%20Wrong%20World","Search")</x:f>
        <x:v>HYPERLINK is not implemented. linkLocation=https://www.youtube.com/results?search_query=%F0%9F%9F%A2%F0%9F%9F%A2%20Twin%20Green%20Jedi%20Entered%20the%20Wrong%20World, friendlyName=Search</x:v>
      </x:c>
      <x:c r="K805" s="53" t="str">
        <x:v>Generic/original Jedi, Sith, creature, or Emperor story without a dependable era anchor.</x:v>
      </x:c>
      <x:c r="L805" s="76" t="str"/>
      <x:c r="M805" s="76" t="str">
        <x:v>🟢🟢 Twin Green Jedi Entered the Wrong World</x:v>
      </x:c>
      <x:c r="N805" s="76" t="str">
        <x:v>A lone Jedi wielding twin green lightsabers
discovers a forgotten world hidden beyond the
known galaxy. What waits there isn’t an army... it’s
something far worse. Ancient beasts emerge from
the ruins, and the Jedi must fight for survival
against creatures never meant to be found.
™ Twin Green Jedi vs Unknown Beast
§ Forbidden World Encounter
é Ancient Ruins - Dark Secrets - Epic Battle
99 Would you enter this world?
#VoidProtocol #TwinGreenJedi #JediVsMonster
#UnknownWorld #SciFiShorts #FantasyWorld
#LightsaberBattle #CinematicShorts #EpicFight
#StarWarsInspired #AncientBeast #ViralShorts</x:v>
      </x:c>
      <x:c r="O805" s="76" t="str">
        <x:v>Below timeline — era not stated</x:v>
      </x:c>
      <x:c r="P805" s="76" t="str">
        <x:v>IMG_6600.PNG</x:v>
      </x:c>
      <x:c r="Q805" s="76" t="str">
        <x:v>Needs review</x:v>
      </x:c>
      <x:c r="R805" s="76" t="str">
        <x:v>High</x:v>
      </x:c>
      <x:c r="S805" s="76" t="str">
        <x:v>Generic/original Jedi, Sith, creature, or Emperor story without a dependable era anchor.</x:v>
      </x:c>
      <x:c r="T805" s="76" t="str">
        <x:v>Unique</x:v>
      </x:c>
    </x:row>
    <x:row r="806" s="23" customFormat="1" ht="36" customHeight="1">
      <x:c r="A806" s="49" t="b">
        <x:v>0</x:v>
      </x:c>
      <x:c r="B806" s="56" t="str">
        <x:v>FV-0487</x:v>
      </x:c>
      <x:c r="C806" s="53" t="str">
        <x:v>Review &amp; decide — era not stated</x:v>
      </x:c>
      <x:c r="D806" s="53" t="str">
        <x:v>4 Emperor Defeated | The Jedi Refused To Fall</x:v>
      </x:c>
      <x:c r="E806" s="53" t="str"/>
      <x:c r="F806" s="53" t="str">
        <x:v>June 15, 2026</x:v>
      </x:c>
      <x:c r="G806" s="53" t="str">
        <x:v>Fan-made / non-canon</x:v>
      </x:c>
      <x:c r="H806" s="53" t="str">
        <x:v>Fan video</x:v>
      </x:c>
      <x:c r="I806" s="53" t="str">
        <x:v>YouTube — search by title</x:v>
      </x:c>
      <x:c r="J806" s="59" t="e">
        <x:f>HYPERLINK("https://www.youtube.com/results?search_query=4%20Emperor%20Defeated%20%7C%20The%20Jedi%20Refused%20To%20Fall","Search")</x:f>
        <x:v>HYPERLINK is not implemented. linkLocation=https://www.youtube.com/results?search_query=4%20Emperor%20Defeated%20%7C%20The%20Jedi%20Refused%20To%20Fall, friendlyName=Search</x:v>
      </x:c>
      <x:c r="K806" s="53" t="str">
        <x:v>Generic/original Jedi, Sith, creature, or Emperor story without a dependable era anchor.</x:v>
      </x:c>
      <x:c r="L806" s="76" t="str"/>
      <x:c r="M806" s="76" t="str">
        <x:v>4 Emperor Defeated | The Jedi Refused To Fall</x:v>
      </x:c>
      <x:c r="N806" s="76" t="str">
        <x:v>The Emperor expected another easy victory.
Instead, he faced a Jedi whose skill, determination,
and mastery of the Force turned the battle into a
legendary duel. As lightning tears across the sky
and blades clash through the storm, one warrior
refuses to surrender.
4 Force lightning unleashed
™ Epic lightsaber duel
@ Storm-soaked ancient ruins
@ Legendary Jedi warrior
@ One final decisive strike
The Emperor entered the battle confident. He left
defeated.</x:v>
      </x:c>
      <x:c r="O806" s="76" t="str">
        <x:v>Below timeline — era not stated</x:v>
      </x:c>
      <x:c r="P806" s="76" t="str">
        <x:v>IMG_6676.PNG</x:v>
      </x:c>
      <x:c r="Q806" s="76" t="str">
        <x:v>Needs review</x:v>
      </x:c>
      <x:c r="R806" s="76" t="str">
        <x:v>High</x:v>
      </x:c>
      <x:c r="S806" s="76" t="str">
        <x:v>Generic/original Jedi, Sith, creature, or Emperor story without a dependable era anchor.</x:v>
      </x:c>
      <x:c r="T806" s="76" t="str">
        <x:v>Unique</x:v>
      </x:c>
    </x:row>
    <x:row r="807" s="23" customFormat="1" ht="36" customHeight="1">
      <x:c r="A807" s="49" t="b">
        <x:v>0</x:v>
      </x:c>
      <x:c r="B807" s="56" t="str">
        <x:v>FV-0476</x:v>
      </x:c>
      <x:c r="C807" s="53" t="str">
        <x:v>Review &amp; decide — era not stated</x:v>
      </x:c>
      <x:c r="D807" s="53" t="str">
        <x:v>4 Legendary Jedi Agility | Impossible to Hit</x:v>
      </x:c>
      <x:c r="E807" s="53" t="str"/>
      <x:c r="F807" s="53" t="str">
        <x:v>June 14, 2026</x:v>
      </x:c>
      <x:c r="G807" s="53" t="str">
        <x:v>Fan-made / non-canon</x:v>
      </x:c>
      <x:c r="H807" s="53" t="str">
        <x:v>Fan video</x:v>
      </x:c>
      <x:c r="I807" s="53" t="str">
        <x:v>YouTube — search by title</x:v>
      </x:c>
      <x:c r="J807" s="59" t="e">
        <x:f>HYPERLINK("https://www.youtube.com/results?search_query=4%20Legendary%20Jedi%20Agility%20%7C%20Impossible%20to%20Hit","Search")</x:f>
        <x:v>HYPERLINK is not implemented. linkLocation=https://www.youtube.com/results?search_query=4%20Legendary%20Jedi%20Agility%20%7C%20Impossible%20to%20Hit, friendlyName=Search</x:v>
      </x:c>
      <x:c r="K807" s="53" t="str">
        <x:v>Generic/original Jedi, Sith, creature, or Emperor story without a dependable era anchor.</x:v>
      </x:c>
      <x:c r="L807" s="76" t="str"/>
      <x:c r="M807" s="76" t="str">
        <x:v>4 Legendary Jedi Agility | Impossible to Hit</x:v>
      </x:c>
      <x:c r="N807" s="76" t="str">
        <x:v>A legendary Jedi faces a massive beast on a
crumbling canyon bridge. With incredible balance,
precision footwork, and lightning-fast agility, every
attack is avoided by inches before the Jedi delivers
a decisive finishing strike.
Can agility be just as powerful as strength?
« Like, subscribe, and follow for more legendary
Jedi adventures.
#Jedi #StarWarsInspired #LegendaryJedi
#JediAgility #Lightsaber #SciFi #Fantasy
#ForceUser #EpicBattle #Cinematic #Shorts
#MayTheForceBeWithYou</x:v>
      </x:c>
      <x:c r="O807" s="76" t="str">
        <x:v>Below timeline — era not stated</x:v>
      </x:c>
      <x:c r="P807" s="76" t="str">
        <x:v>IMG_6665.PNG</x:v>
      </x:c>
      <x:c r="Q807" s="76" t="str">
        <x:v>Needs review</x:v>
      </x:c>
      <x:c r="R807" s="76" t="str">
        <x:v>High</x:v>
      </x:c>
      <x:c r="S807" s="76" t="str">
        <x:v>Generic/original Jedi, Sith, creature, or Emperor story without a dependable era anchor.</x:v>
      </x:c>
      <x:c r="T807" s="76" t="str">
        <x:v>Unique</x:v>
      </x:c>
    </x:row>
    <x:row r="808" s="23" customFormat="1" ht="36" customHeight="1">
      <x:c r="A808" s="49" t="b">
        <x:v>0</x:v>
      </x:c>
      <x:c r="B808" s="56" t="str">
        <x:v>FV-0483</x:v>
      </x:c>
      <x:c r="C808" s="53" t="str">
        <x:v>Review &amp; decide — era not stated</x:v>
      </x:c>
      <x:c r="D808" s="53" t="str">
        <x:v>4 Legendary Jedi Focus | Calm Under Impossible Pressure</x:v>
      </x:c>
      <x:c r="E808" s="53" t="str"/>
      <x:c r="F808" s="53" t="str">
        <x:v>June 15, 2026</x:v>
      </x:c>
      <x:c r="G808" s="53" t="str">
        <x:v>Fan-made / non-canon</x:v>
      </x:c>
      <x:c r="H808" s="53" t="str">
        <x:v>Fan video</x:v>
      </x:c>
      <x:c r="I808" s="53" t="str">
        <x:v>YouTube — search by title</x:v>
      </x:c>
      <x:c r="J808" s="59" t="e">
        <x:f>HYPERLINK("https://www.youtube.com/results?search_query=4%20Legendary%20Jedi%20Focus%20%7C%20Calm%20Under%20Impossible%20Pressure","Search")</x:f>
        <x:v>HYPERLINK is not implemented. linkLocation=https://www.youtube.com/results?search_query=4%20Legendary%20Jedi%20Focus%20%7C%20Calm%20Under%20Impossible%20Pressure, friendlyName=Search</x:v>
      </x:c>
      <x:c r="K808" s="53" t="str">
        <x:v>Generic/original Jedi, Sith, creature, or Emperor story without a dependable era anchor.</x:v>
      </x:c>
      <x:c r="L808" s="76" t="str"/>
      <x:c r="M808" s="76" t="str">
        <x:v>4 Legendary Jedi Focus | Calm Under Impossible Pressure</x:v>
      </x:c>
      <x:c r="N808" s="76" t="str">
        <x:v>Surrounded. Outnumbered. Under fire.
A legendary Jedi demonstrates the ultimate weapon
—not strength, not speed, but absolute focus. As
blaster bolts rain down and enemies close in from
every direction, he remains perfectly calm, waiting
for the exact moment to strike.
Only a true Jedi Master can stay this focused when
chaos surrounds him.
#Jedi #StarWarsinspired #LegendaryJedi
#JediFocus #Lightsaber #SciFi #ForceUser
#JediMaster #EpicShorts #VoidProtocol #Shorts</x:v>
      </x:c>
      <x:c r="O808" s="76" t="str">
        <x:v>Below timeline — era not stated</x:v>
      </x:c>
      <x:c r="P808" s="76" t="str">
        <x:v>IMG_6672.PNG</x:v>
      </x:c>
      <x:c r="Q808" s="76" t="str">
        <x:v>Needs review</x:v>
      </x:c>
      <x:c r="R808" s="76" t="str">
        <x:v>High</x:v>
      </x:c>
      <x:c r="S808" s="76" t="str">
        <x:v>Generic/original Jedi, Sith, creature, or Emperor story without a dependable era anchor.</x:v>
      </x:c>
      <x:c r="T808" s="76" t="str">
        <x:v>Unique</x:v>
      </x:c>
    </x:row>
    <x:row r="809" s="23" customFormat="1" ht="36" customHeight="1">
      <x:c r="A809" s="49" t="b">
        <x:v>0</x:v>
      </x:c>
      <x:c r="B809" s="56" t="str">
        <x:v>FV-0462</x:v>
      </x:c>
      <x:c r="C809" s="53" t="str">
        <x:v>Review &amp; decide — era not stated</x:v>
      </x:c>
      <x:c r="D809" s="53" t="str">
        <x:v>4 Legendary Jedi Reflexes</x:v>
      </x:c>
      <x:c r="E809" s="53" t="str"/>
      <x:c r="F809" s="53" t="str">
        <x:v>June 13, 2026</x:v>
      </x:c>
      <x:c r="G809" s="53" t="str">
        <x:v>Fan-made / non-canon</x:v>
      </x:c>
      <x:c r="H809" s="53" t="str">
        <x:v>Fan video</x:v>
      </x:c>
      <x:c r="I809" s="53" t="str">
        <x:v>YouTube — search by title</x:v>
      </x:c>
      <x:c r="J809" s="59" t="e">
        <x:f>HYPERLINK("https://www.youtube.com/results?search_query=4%20Legendary%20Jedi%20Reflexes","Search")</x:f>
        <x:v>HYPERLINK is not implemented. linkLocation=https://www.youtube.com/results?search_query=4%20Legendary%20Jedi%20Reflexes, friendlyName=Search</x:v>
      </x:c>
      <x:c r="K809" s="53" t="str">
        <x:v>Generic/original Jedi, Sith, creature, or Emperor story without a dependable era anchor.</x:v>
      </x:c>
      <x:c r="L809" s="76" t="str"/>
      <x:c r="M809" s="76" t="str">
        <x:v>4 Legendary Jedi Reflexes</x:v>
      </x:c>
      <x:c r="N809" s="76" t="str">
        <x:v>A Jedi's greatest weapon isn't speed—it’'s knowing
exactly what happens before it happens. Hidden
traps, flying projectiles, and multiple attackers are
no match for legendary Jedi reflexes.
4 Impossible reaction speed
« Precision lightsaber mastery
fl Ancient temple dangers
Legendary Jedi skills
#StarWars #Jedi #Lightsaber #SciFi #Fantasy
#Shorts
This video is an original Al-assisted production
created, directed, and edited by Blaine Henry. The
concept, story, characters, scene direction, action
choreography, and creative decisions were
developed specifically for this channel. Al tools</x:v>
      </x:c>
      <x:c r="O809" s="76" t="str">
        <x:v>Below timeline — era not stated</x:v>
      </x:c>
      <x:c r="P809" s="76" t="str">
        <x:v>IMG_6651.PNG</x:v>
      </x:c>
      <x:c r="Q809" s="76" t="str">
        <x:v>Needs review</x:v>
      </x:c>
      <x:c r="R809" s="76" t="str">
        <x:v>High</x:v>
      </x:c>
      <x:c r="S809" s="76" t="str">
        <x:v>Generic/original Jedi, Sith, creature, or Emperor story without a dependable era anchor.</x:v>
      </x:c>
      <x:c r="T809" s="76" t="str">
        <x:v>Unique</x:v>
      </x:c>
    </x:row>
    <x:row r="810" s="23" customFormat="1" ht="36" customHeight="1">
      <x:c r="A810" s="49" t="b">
        <x:v>0</x:v>
      </x:c>
      <x:c r="B810" s="56" t="str">
        <x:v>FV-0484</x:v>
      </x:c>
      <x:c r="C810" s="53" t="str">
        <x:v>Review &amp; decide — era not stated</x:v>
      </x:c>
      <x:c r="D810" s="53" t="str">
        <x:v>4 Legendary Jedi Speed | Too Fast To Hit</x:v>
      </x:c>
      <x:c r="E810" s="53" t="str"/>
      <x:c r="F810" s="53" t="str">
        <x:v>June 15, 2026</x:v>
      </x:c>
      <x:c r="G810" s="53" t="str">
        <x:v>Fan-made / non-canon</x:v>
      </x:c>
      <x:c r="H810" s="53" t="str">
        <x:v>Fan video</x:v>
      </x:c>
      <x:c r="I810" s="53" t="str">
        <x:v>YouTube — search by title</x:v>
      </x:c>
      <x:c r="J810" s="59" t="e">
        <x:f>HYPERLINK("https://www.youtube.com/results?search_query=4%20Legendary%20Jedi%20Speed%20%7C%20Too%20Fast%20To%20Hit","Search")</x:f>
        <x:v>HYPERLINK is not implemented. linkLocation=https://www.youtube.com/results?search_query=4%20Legendary%20Jedi%20Speed%20%7C%20Too%20Fast%20To%20Hit, friendlyName=Search</x:v>
      </x:c>
      <x:c r="K810" s="53" t="str">
        <x:v>Generic/original Jedi, Sith, creature, or Emperor story without a dependable era anchor.</x:v>
      </x:c>
      <x:c r="L810" s="76" t="str"/>
      <x:c r="M810" s="76" t="str">
        <x:v>4 Legendary Jedi Speed | Too Fast To Hit</x:v>
      </x:c>
      <x:c r="N810" s="76" t="str">
        <x:v>A legendary Jedi pushes Force Speed to its
absolute limit. Every strike, dodge, and movement
happens in the blink of an eye as a powerful enemy
discovers that some Jedi are simply impossible to
catch.
@ Superhuman reflexes
4 Blinding Force Speed
™ Cinematic lightsaber action
Legendary Jedi abilities
Who is the fastest Jedi you've ever seen?
#StarWars #Jedi #Lightsaber #JediMaster
#ForceSpeed #SciFi #EpicBattle #Shorts
#YouTubeShorts #LegendaryJedi #VoidProtocol</x:v>
      </x:c>
      <x:c r="O810" s="76" t="str">
        <x:v>Below timeline — era not stated</x:v>
      </x:c>
      <x:c r="P810" s="76" t="str">
        <x:v>IMG_6673.PNG</x:v>
      </x:c>
      <x:c r="Q810" s="76" t="str">
        <x:v>Needs review</x:v>
      </x:c>
      <x:c r="R810" s="76" t="str">
        <x:v>High</x:v>
      </x:c>
      <x:c r="S810" s="76" t="str">
        <x:v>Generic/original Jedi, Sith, creature, or Emperor story without a dependable era anchor.</x:v>
      </x:c>
      <x:c r="T810" s="76" t="str">
        <x:v>Unique</x:v>
      </x:c>
    </x:row>
    <x:row r="811" s="23" customFormat="1" ht="36" customHeight="1">
      <x:c r="A811" s="49" t="b">
        <x:v>0</x:v>
      </x:c>
      <x:c r="B811" s="56" t="str">
        <x:v>FV-0461</x:v>
      </x:c>
      <x:c r="C811" s="53" t="str">
        <x:v>Review &amp; decide — era not stated</x:v>
      </x:c>
      <x:c r="D811" s="53" t="str">
        <x:v>4 The Drowned Throne of Manaan</x:v>
      </x:c>
      <x:c r="E811" s="53" t="str"/>
      <x:c r="F811" s="53" t="str">
        <x:v>June 13, 2026</x:v>
      </x:c>
      <x:c r="G811" s="53" t="str">
        <x:v>Fan-made / non-canon</x:v>
      </x:c>
      <x:c r="H811" s="53" t="str">
        <x:v>Fan video</x:v>
      </x:c>
      <x:c r="I811" s="53" t="str">
        <x:v>YouTube — search by title</x:v>
      </x:c>
      <x:c r="J811" s="59" t="e">
        <x:f>HYPERLINK("https://www.youtube.com/results?search_query=4%20The%20Drowned%20Throne%20of%20Manaan","Search")</x:f>
        <x:v>HYPERLINK is not implemented. linkLocation=https://www.youtube.com/results?search_query=4%20The%20Drowned%20Throne%20of%20Manaan, friendlyName=Search</x:v>
      </x:c>
      <x:c r="K811" s="53" t="str">
        <x:v>Generic/original Jedi, Sith, creature, or Emperor story without a dependable era anchor.</x:v>
      </x:c>
      <x:c r="L811" s="76" t="str"/>
      <x:c r="M811" s="76" t="str">
        <x:v>4 The Drowned Throne of Manaan</x:v>
      </x:c>
      <x:c r="N811" s="76" t="str">
        <x:v>Beyond the ancient gate beneath Manaan lies a
forgotten throne room untouched for thousands of
years. As a lone Jedi ventures deeper into the lost
kingdom, an ancient ruler awakens to defend what
was never
meant to be found.
§&amp; Hidden beneath the oceans of Manaan
a A forgotten king returns
Legendary Jedi combat
#@ Force-speed reflexes
ffl Secrets buried by time
#StarWars #Jedi #Manaan #Lightsaber #SciFi
#Fantasy #VoidProtocol #Shorts
This video is an original Al-assisted production
created, directed, and edited by Blaine Henry. The</x:v>
      </x:c>
      <x:c r="O811" s="76" t="str">
        <x:v>Below timeline — era not stated</x:v>
      </x:c>
      <x:c r="P811" s="76" t="str">
        <x:v>IMG_6650.PNG</x:v>
      </x:c>
      <x:c r="Q811" s="76" t="str">
        <x:v>Needs review</x:v>
      </x:c>
      <x:c r="R811" s="76" t="str">
        <x:v>High</x:v>
      </x:c>
      <x:c r="S811" s="76" t="str">
        <x:v>Generic/original Jedi, Sith, creature, or Emperor story without a dependable era anchor.</x:v>
      </x:c>
      <x:c r="T811" s="76" t="str">
        <x:v>Unique</x:v>
      </x:c>
    </x:row>
    <x:row r="812" s="23" customFormat="1" ht="36" customHeight="1">
      <x:c r="A812" s="49" t="b">
        <x:v>0</x:v>
      </x:c>
      <x:c r="B812" s="56" t="str">
        <x:v>FV-0504</x:v>
      </x:c>
      <x:c r="C812" s="53" t="str">
        <x:v>Review &amp; decide — era not stated</x:v>
      </x:c>
      <x:c r="D812" s="53" t="str">
        <x:v>4 The Emperor Chose The Wrong Jedi</x:v>
      </x:c>
      <x:c r="E812" s="53" t="str"/>
      <x:c r="F812" s="53" t="str">
        <x:v>June 16, 2026</x:v>
      </x:c>
      <x:c r="G812" s="53" t="str">
        <x:v>Fan-made / non-canon</x:v>
      </x:c>
      <x:c r="H812" s="53" t="str">
        <x:v>Fan video</x:v>
      </x:c>
      <x:c r="I812" s="53" t="str">
        <x:v>YouTube — search by title</x:v>
      </x:c>
      <x:c r="J812" s="59" t="e">
        <x:f>HYPERLINK("https://www.youtube.com/results?search_query=4%20The%20Emperor%20Chose%20The%20Wrong%20Jedi","Search")</x:f>
        <x:v>HYPERLINK is not implemented. linkLocation=https://www.youtube.com/results?search_query=4%20The%20Emperor%20Chose%20The%20Wrong%20Jedi, friendlyName=Search</x:v>
      </x:c>
      <x:c r="K812" s="53" t="str">
        <x:v>Generic/original Jedi, Sith, creature, or Emperor story without a dependable era anchor.</x:v>
      </x:c>
      <x:c r="L812" s="76" t="str"/>
      <x:c r="M812" s="76" t="str">
        <x:v>4 The Emperor Chose The Wrong Jedi</x:v>
      </x:c>
      <x:c r="N812" s="76" t="str">
        <x:v>A lone Jedi enters an ancient throne room and
comes face to face with the most feared ruler in the
galaxy. Force lightning tears through the chamber,
stone pillars crumble, and the battle quickly
becomes a fight for survival.
The Emperor believed victory was certain.
He was wrong.
Enjoyed this adventure? Visit @blainehenry593
for more Jedi battles, legendary duels, and
cinematic stories.
#Jedi #Lightsaber #StarWarsInspired #Emperor
#ForceLightning #EpicBattle #AncientTemple
#Cinematic #Shorts #LegendaryJedi #SciFi
#Adventure</x:v>
      </x:c>
      <x:c r="O812" s="76" t="str">
        <x:v>Below timeline — era not stated</x:v>
      </x:c>
      <x:c r="P812" s="76" t="str">
        <x:v>IMG_6693.PNG</x:v>
      </x:c>
      <x:c r="Q812" s="76" t="str">
        <x:v>Needs review</x:v>
      </x:c>
      <x:c r="R812" s="76" t="str">
        <x:v>High</x:v>
      </x:c>
      <x:c r="S812" s="76" t="str">
        <x:v>Generic/original Jedi, Sith, creature, or Emperor story without a dependable era anchor.</x:v>
      </x:c>
      <x:c r="T812" s="76" t="str">
        <x:v>Unique</x:v>
      </x:c>
    </x:row>
    <x:row r="813" s="23" customFormat="1" ht="36" customHeight="1">
      <x:c r="A813" s="49" t="b">
        <x:v>0</x:v>
      </x:c>
      <x:c r="B813" s="56" t="str">
        <x:v>FV-0482</x:v>
      </x:c>
      <x:c r="C813" s="53" t="str">
        <x:v>Review &amp; decide — era not stated</x:v>
      </x:c>
      <x:c r="D813" s="53" t="str">
        <x:v>4 The Emperor Unleashed The Lightning</x:v>
      </x:c>
      <x:c r="E813" s="53" t="str"/>
      <x:c r="F813" s="53" t="str">
        <x:v>June 14, 2026</x:v>
      </x:c>
      <x:c r="G813" s="53" t="str">
        <x:v>Fan-made / non-canon</x:v>
      </x:c>
      <x:c r="H813" s="53" t="str">
        <x:v>Fan video</x:v>
      </x:c>
      <x:c r="I813" s="53" t="str">
        <x:v>YouTube — search by title</x:v>
      </x:c>
      <x:c r="J813" s="59" t="e">
        <x:f>HYPERLINK("https://www.youtube.com/results?search_query=4%20The%20Emperor%20Unleashed%20The%20Lightning","Search")</x:f>
        <x:v>HYPERLINK is not implemented. linkLocation=https://www.youtube.com/results?search_query=4%20The%20Emperor%20Unleashed%20The%20Lightning, friendlyName=Search</x:v>
      </x:c>
      <x:c r="K813" s="53" t="str">
        <x:v>Generic/original Jedi, Sith, creature, or Emperor story without a dependable era anchor.</x:v>
      </x:c>
      <x:c r="L813" s="76" t="str"/>
      <x:c r="M813" s="76" t="str">
        <x:v>4 The Emperor Unleashed The Lightning</x:v>
      </x:c>
      <x:c r="N813" s="76" t="str">
        <x:v>Deep within a storm-ravaged ancient temple, a lone
Jedi challenges the Emperor. What begins with a
burst of devastating lightning quickly becomes a
fast and brutal lightsaber duel. The Jedi fights with
courage and skill, but some opponents are far more
dangerous than they appear.
™ Follow for more legendary Jedi adventures,
ancient temples, dark masters, and cinematic
battles.
#TheEmperor #Jedi #LightsaberDuel
#ForceLightning #EpicBattle #AncientTemple #SciFi
#Fantasy #Cinematic #Shorts
This video is an original Al-assisted production
created, directed, and edited by Blaine Henry. The
concept, story, characters, scene direction, action</x:v>
      </x:c>
      <x:c r="O813" s="76" t="str">
        <x:v>Below timeline — era not stated</x:v>
      </x:c>
      <x:c r="P813" s="76" t="str">
        <x:v>IMG_6671.PNG</x:v>
      </x:c>
      <x:c r="Q813" s="76" t="str">
        <x:v>Needs review</x:v>
      </x:c>
      <x:c r="R813" s="76" t="str">
        <x:v>High</x:v>
      </x:c>
      <x:c r="S813" s="76" t="str">
        <x:v>Generic/original Jedi, Sith, creature, or Emperor story without a dependable era anchor.</x:v>
      </x:c>
      <x:c r="T813" s="76" t="str">
        <x:v>Unique</x:v>
      </x:c>
    </x:row>
    <x:row r="814" s="23" customFormat="1" ht="36" customHeight="1">
      <x:c r="A814" s="49" t="b">
        <x:v>0</x:v>
      </x:c>
      <x:c r="B814" s="56" t="str">
        <x:v>FV-0444</x:v>
      </x:c>
      <x:c r="C814" s="53" t="str">
        <x:v>Review &amp; decide — era not stated</x:v>
      </x:c>
      <x:c r="D814" s="53" t="str">
        <x:v>4 The Storm Beast Awakens 4</x:v>
      </x:c>
      <x:c r="E814" s="53" t="str"/>
      <x:c r="F814" s="53" t="str">
        <x:v>June 11, 2026</x:v>
      </x:c>
      <x:c r="G814" s="53" t="str">
        <x:v>Fan-made / non-canon</x:v>
      </x:c>
      <x:c r="H814" s="53" t="str">
        <x:v>Fan video</x:v>
      </x:c>
      <x:c r="I814" s="53" t="str">
        <x:v>YouTube — search by title</x:v>
      </x:c>
      <x:c r="J814" s="59" t="e">
        <x:f>HYPERLINK("https://www.youtube.com/results?search_query=4%20The%20Storm%20Beast%20Awakens%204","Search")</x:f>
        <x:v>HYPERLINK is not implemented. linkLocation=https://www.youtube.com/results?search_query=4%20The%20Storm%20Beast%20Awakens%204, friendlyName=Search</x:v>
      </x:c>
      <x:c r="K814" s="53" t="str">
        <x:v>Generic/original Jedi, Sith, creature, or Emperor story without a dependable era anchor.</x:v>
      </x:c>
      <x:c r="L814" s="76" t="str"/>
      <x:c r="M814" s="76" t="str">
        <x:v>4 The Storm Beast Awakens 4</x:v>
      </x:c>
      <x:c r="N814" s="76" t="str">
        <x:v>The sky darkens without warning. Thunder shakes
the mountains as an ancient Storm Beast rises from
the heart of the tempest. Lightning crashes around
a lone Jedi who must face a creature powered by
the fury of the storm itself. Every strike lights up the
battlefield as the Force clashes with the raw power
of nature.
™ One Jedi.
4 One Storm Beast.
@ One battle that will shake the heavens.
#jedi #stormbeast #theforce #lightsaber
#epicbattle #fantasy #legendary #storm #thunder
#cinematic #viral #fyp #tiktok #adventure
#forcebattle</x:v>
      </x:c>
      <x:c r="O814" s="76" t="str">
        <x:v>Below timeline — era not stated</x:v>
      </x:c>
      <x:c r="P814" s="76" t="str">
        <x:v>IMG_6630.PNG</x:v>
      </x:c>
      <x:c r="Q814" s="76" t="str">
        <x:v>Needs review</x:v>
      </x:c>
      <x:c r="R814" s="76" t="str">
        <x:v>High</x:v>
      </x:c>
      <x:c r="S814" s="76" t="str">
        <x:v>Generic/original Jedi, Sith, creature, or Emperor story without a dependable era anchor.</x:v>
      </x:c>
      <x:c r="T814" s="76" t="str">
        <x:v>Unique</x:v>
      </x:c>
    </x:row>
    <x:row r="815" s="23" customFormat="1" ht="36" customHeight="1">
      <x:c r="A815" s="49" t="b">
        <x:v>0</x:v>
      </x:c>
      <x:c r="B815" s="56" t="str">
        <x:v>FV-0443</x:v>
      </x:c>
      <x:c r="C815" s="53" t="str">
        <x:v>Review &amp; decide — era not stated</x:v>
      </x:c>
      <x:c r="D815" s="53" t="str">
        <x:v>4 The Storm Beast Thought Lightning Made It Invincible</x:v>
      </x:c>
      <x:c r="E815" s="53" t="str"/>
      <x:c r="F815" s="53" t="str">
        <x:v>June 10, 2026</x:v>
      </x:c>
      <x:c r="G815" s="53" t="str">
        <x:v>Fan-made / non-canon</x:v>
      </x:c>
      <x:c r="H815" s="53" t="str">
        <x:v>Fan video</x:v>
      </x:c>
      <x:c r="I815" s="53" t="str">
        <x:v>YouTube — search by title</x:v>
      </x:c>
      <x:c r="J815" s="59" t="e">
        <x:f>HYPERLINK("https://www.youtube.com/results?search_query=4%20The%20Storm%20Beast%20Thought%20Lightning%20Made%20It%20Invincible","Search")</x:f>
        <x:v>HYPERLINK is not implemented. linkLocation=https://www.youtube.com/results?search_query=4%20The%20Storm%20Beast%20Thought%20Lightning%20Made%20It%20Invincible, friendlyName=Search</x:v>
      </x:c>
      <x:c r="K815" s="53" t="str">
        <x:v>Generic/original Jedi, Sith, creature, or Emperor story without a dependable era anchor.</x:v>
      </x:c>
      <x:c r="L815" s="76" t="str"/>
      <x:c r="M815" s="76" t="str">
        <x:v>4 The Storm Beast Thought Lightning Made It Invincible</x:v>
      </x:c>
      <x:c r="N815" s="76" t="str">
        <x:v>High above the world on a forgotten mountain peak,
a Jedi faces an ancient creature born from the
storm itself. As lightning tears across the sky and
thunder shakes the ruins, the Storm Beast
unleashes its full fury.
But the Force is stronger than any storm.
In a battle of lightning, stone, and steel, only one
warrior will remain standing.
Who wins: Jedi or Storm Beast?
#Jedi #StormBeast #TheForce #Lightsaber
#EpicBattle #FantasyAdventure #MonsterHunter
#LightningStorm #ActionShorts #CreatureBattle
#SciFIShorts #AncientRuins #EpicFiaht #Unleashed</x:v>
      </x:c>
      <x:c r="O815" s="76" t="str">
        <x:v>Below timeline — era not stated</x:v>
      </x:c>
      <x:c r="P815" s="76" t="str">
        <x:v>IMG_6629.PNG</x:v>
      </x:c>
      <x:c r="Q815" s="76" t="str">
        <x:v>Needs review</x:v>
      </x:c>
      <x:c r="R815" s="76" t="str">
        <x:v>High</x:v>
      </x:c>
      <x:c r="S815" s="76" t="str">
        <x:v>Generic/original Jedi, Sith, creature, or Emperor story without a dependable era anchor.</x:v>
      </x:c>
      <x:c r="T815" s="76" t="str">
        <x:v>Unique</x:v>
      </x:c>
    </x:row>
    <x:row r="816" s="23" customFormat="1" ht="36" customHeight="1">
      <x:c r="A816" s="49" t="b">
        <x:v>0</x:v>
      </x:c>
      <x:c r="B816" s="56" t="str">
        <x:v>FV-0312</x:v>
      </x:c>
      <x:c r="C816" s="53" t="str">
        <x:v>Review &amp; decide — era not stated</x:v>
      </x:c>
      <x:c r="D816" s="53" t="str">
        <x:v>A Jedi Walked Into the War Alone</x:v>
      </x:c>
      <x:c r="E816" s="53" t="str"/>
      <x:c r="F816" s="53" t="str">
        <x:v>August 30, 2026</x:v>
      </x:c>
      <x:c r="G816" s="53" t="str">
        <x:v>Fan-made / non-canon</x:v>
      </x:c>
      <x:c r="H816" s="53" t="str">
        <x:v>Fan video</x:v>
      </x:c>
      <x:c r="I816" s="53" t="str">
        <x:v>YouTube — search by title</x:v>
      </x:c>
      <x:c r="J816" s="59" t="e">
        <x:f>HYPERLINK("https://www.youtube.com/results?search_query=A%20Jedi%20Walked%20Into%20the%20War%20Alone","Search")</x:f>
        <x:v>HYPERLINK is not implemented. linkLocation=https://www.youtube.com/results?search_query=A%20Jedi%20Walked%20Into%20the%20War%20Alone, friendlyName=Search</x:v>
      </x:c>
      <x:c r="K816" s="53" t="str">
        <x:v>Generic/original Jedi, Sith, creature, or Emperor story without a dependable era anchor.</x:v>
      </x:c>
      <x:c r="L816" s="76" t="str"/>
      <x:c r="M816" s="76" t="str">
        <x:v>A Jedi Walked Into the War Alone</x:v>
      </x:c>
      <x:c r="N816" s="76" t="str">
        <x:v>MACE WINDU
When the enemy breaks through and the defenders
begin to retreat, one Jedi Master walks toward the
battle alone.
Calm. Focused. Unshaken.
Mace Windu doesn't need to announce his power.
His commanding presence says everything. Armed
with his purple lightsaber, mastery of Vaapad, and
legendary Shatterpoint perception, he can identify
the single weakness capable of ending an entire
conflict.
The enemy believes they have found an undefended
gate.</x:v>
      </x:c>
      <x:c r="O816" s="76" t="str">
        <x:v>Below timeline — era not stated</x:v>
      </x:c>
      <x:c r="P816" s="76" t="str">
        <x:v>IMG_6498.PNG</x:v>
      </x:c>
      <x:c r="Q816" s="76" t="str">
        <x:v>Needs review</x:v>
      </x:c>
      <x:c r="R816" s="76" t="str">
        <x:v>High</x:v>
      </x:c>
      <x:c r="S816" s="76" t="str">
        <x:v>Generic/original Jedi, Sith, creature, or Emperor story without a dependable era anchor.</x:v>
      </x:c>
      <x:c r="T816" s="76" t="str">
        <x:v>Unique</x:v>
      </x:c>
    </x:row>
    <x:row r="817" s="23" customFormat="1" ht="36" customHeight="1">
      <x:c r="A817" s="49" t="b">
        <x:v>0</x:v>
      </x:c>
      <x:c r="B817" s="56" t="str">
        <x:v>FV-0416</x:v>
      </x:c>
      <x:c r="C817" s="53" t="str">
        <x:v>Review &amp; decide — era not stated</x:v>
      </x:c>
      <x:c r="D817" s="53" t="str">
        <x:v>Ancient Sith Sat on the Throne for 1,000 Years</x:v>
      </x:c>
      <x:c r="E817" s="53" t="str"/>
      <x:c r="F817" s="53" t="str">
        <x:v>May 30, 2026</x:v>
      </x:c>
      <x:c r="G817" s="53" t="str">
        <x:v>Fan-made / non-canon</x:v>
      </x:c>
      <x:c r="H817" s="53" t="str">
        <x:v>Fan video</x:v>
      </x:c>
      <x:c r="I817" s="53" t="str">
        <x:v>YouTube — search by title</x:v>
      </x:c>
      <x:c r="J817" s="59" t="e">
        <x:f>HYPERLINK("https://www.youtube.com/results?search_query=Ancient%20Sith%20Sat%20on%20the%20Throne%20for%201%2C000%20Years","Search")</x:f>
        <x:v>HYPERLINK is not implemented. linkLocation=https://www.youtube.com/results?search_query=Ancient%20Sith%20Sat%20on%20the%20Throne%20for%201%2C000%20Years, friendlyName=Search</x:v>
      </x:c>
      <x:c r="K817" s="53" t="str">
        <x:v>Generic/original Jedi, Sith, creature, or Emperor story without a dependable era anchor.</x:v>
      </x:c>
      <x:c r="L817" s="76" t="str"/>
      <x:c r="M817" s="76" t="str">
        <x:v>Ancient Sith Sat on the Throne for 1,000 Years</x:v>
      </x:c>
      <x:c r="N817" s="76"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817" s="76" t="str">
        <x:v>Below timeline — era not stated</x:v>
      </x:c>
      <x:c r="P817" s="76" t="str">
        <x:v>IMG_6602.PNG</x:v>
      </x:c>
      <x:c r="Q817" s="76" t="str">
        <x:v>Needs review</x:v>
      </x:c>
      <x:c r="R817" s="76" t="str">
        <x:v>High</x:v>
      </x:c>
      <x:c r="S817" s="76" t="str">
        <x:v>Generic/original Jedi, Sith, creature, or Emperor story without a dependable era anchor.</x:v>
      </x:c>
      <x:c r="T817" s="76" t="str">
        <x:v>Unique</x:v>
      </x:c>
    </x:row>
    <x:row r="818" s="23" customFormat="1" ht="36" customHeight="1">
      <x:c r="A818" s="49" t="b">
        <x:v>0</x:v>
      </x:c>
      <x:c r="B818" s="56" t="str">
        <x:v>FV-0102</x:v>
      </x:c>
      <x:c r="C818" s="53" t="str">
        <x:v>Review &amp; decide — era not stated</x:v>
      </x:c>
      <x:c r="D818" s="53" t="str">
        <x:v>Darth Sidious Already Knew... 4 | “Send in His Replacement.”</x:v>
      </x:c>
      <x:c r="E818" s="53" t="str"/>
      <x:c r="F818" s="53" t="str">
        <x:v>October 3, 2026</x:v>
      </x:c>
      <x:c r="G818" s="53" t="str">
        <x:v>Fan-made / non-canon</x:v>
      </x:c>
      <x:c r="H818" s="53" t="str">
        <x:v>Fan video</x:v>
      </x:c>
      <x:c r="I818" s="53" t="str">
        <x:v>YouTube — search by title</x:v>
      </x:c>
      <x:c r="J818" s="59" t="e">
        <x:f>HYPERLINK("https://www.youtube.com/results?search_query=Darth%20Sidious%20Already%20Knew...%204%20%7C%20%E2%80%9CSend%20in%20His%20Replacement.%E2%80%9D","Search")</x:f>
        <x:v>HYPERLINK is not implemented. linkLocation=https://www.youtube.com/results?search_query=Darth%20Sidious%20Already%20Knew...%204%20%7C%20%E2%80%9CSend%20in%20His%20Replacement.%E2%80%9D, friendlyName=Search</x:v>
      </x:c>
      <x:c r="K818" s="53" t="str">
        <x:v>Generic/original Jedi, Sith, creature, or Emperor story without a dependable era anchor.</x:v>
      </x:c>
      <x:c r="L818" s="76" t="str"/>
      <x:c r="M818" s="76" t="str">
        <x:v>Darth Sidious Already Knew... 4 | “Send in His Replacement.”</x:v>
      </x:c>
      <x:c r="N818" s="76" t="str">
        <x:v>An Imperial officer brings news of an escaped
prisoner. But the Emperor already knows exactly
who opened the door.
One quiet accusation. One merciless lightning
strike. Then business continues.
Unofficial Star Wars fan film. Star Wars and its
characters are trademarks of their respective
owners.
Support the channel: Cash App - PayPal
How this was made</x:v>
      </x:c>
      <x:c r="O818" s="76" t="str">
        <x:v>Below timeline — era not stated</x:v>
      </x:c>
      <x:c r="P818" s="76" t="str">
        <x:v>IMG_6285.PNG</x:v>
      </x:c>
      <x:c r="Q818" s="76" t="str">
        <x:v>Needs review</x:v>
      </x:c>
      <x:c r="R818" s="76" t="str">
        <x:v>High</x:v>
      </x:c>
      <x:c r="S818" s="76" t="str">
        <x:v>Generic/original Jedi, Sith, creature, or Emperor story without a dependable era anchor.</x:v>
      </x:c>
      <x:c r="T818" s="76" t="str">
        <x:v>Unique</x:v>
      </x:c>
    </x:row>
    <x:row r="819" s="23" customFormat="1" ht="36" customHeight="1">
      <x:c r="A819" s="49" t="b">
        <x:v>0</x:v>
      </x:c>
      <x:c r="B819" s="56" t="str">
        <x:v>FV-0423</x:v>
      </x:c>
      <x:c r="C819" s="53" t="str">
        <x:v>Review &amp; decide — era not stated</x:v>
      </x:c>
      <x:c r="D819" s="53" t="str">
        <x:v>He Dropped His Saber... Big Mistake. * @</x:v>
      </x:c>
      <x:c r="E819" s="53" t="str"/>
      <x:c r="F819" s="53" t="str">
        <x:v>June 4, 2026</x:v>
      </x:c>
      <x:c r="G819" s="53" t="str">
        <x:v>Fan-made / non-canon</x:v>
      </x:c>
      <x:c r="H819" s="53" t="str">
        <x:v>Fan video</x:v>
      </x:c>
      <x:c r="I819" s="53" t="str">
        <x:v>YouTube — search by title</x:v>
      </x:c>
      <x:c r="J819" s="59" t="e">
        <x:f>HYPERLINK("https://www.youtube.com/results?search_query=He%20Dropped%20His%20Saber...%20Big%20Mistake.%20*%20%40","Search")</x:f>
        <x:v>HYPERLINK is not implemented. linkLocation=https://www.youtube.com/results?search_query=He%20Dropped%20His%20Saber...%20Big%20Mistake.%20*%20%40, friendlyName=Search</x:v>
      </x:c>
      <x:c r="K819" s="53" t="str">
        <x:v>Generic/original Jedi, Sith, creature, or Emperor story without a dependable era anchor.</x:v>
      </x:c>
      <x:c r="L819" s="76" t="str"/>
      <x:c r="M819" s="76" t="str">
        <x:v>He Dropped His Saber... Big Mistake. * @</x:v>
      </x:c>
      <x:c r="N819" s="76" t="str">
        <x:v>A dark warrior loses his weapon over the edge of a
rain-soaked rooftop. Just when it seems lost
forever, a hooded Jedi calmly reaches out with the
Force and pulls the falling saber back into the fight.
@ Rain-soaked rooftop duel
™ Precision Force mastery
é One move changed everything
#VoidProtocol #TheForce #Lightsaber #Jedi
#SciFiShorts #CinematicAl #Shorts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x:v>
      </x:c>
      <x:c r="O819" s="76" t="str">
        <x:v>Below timeline — era not stated</x:v>
      </x:c>
      <x:c r="P819" s="76" t="str">
        <x:v>IMG_6609.PNG</x:v>
      </x:c>
      <x:c r="Q819" s="76" t="str">
        <x:v>Needs review</x:v>
      </x:c>
      <x:c r="R819" s="76" t="str">
        <x:v>High</x:v>
      </x:c>
      <x:c r="S819" s="76" t="str">
        <x:v>Generic/original Jedi, Sith, creature, or Emperor story without a dependable era anchor.</x:v>
      </x:c>
      <x:c r="T819" s="76" t="str">
        <x:v>Unique</x:v>
      </x:c>
    </x:row>
    <x:row r="820" s="23" customFormat="1" ht="36" customHeight="1">
      <x:c r="A820" s="49" t="b">
        <x:v>0</x:v>
      </x:c>
      <x:c r="B820" s="56" t="str">
        <x:v>FV-0422</x:v>
      </x:c>
      <x:c r="C820" s="53" t="str">
        <x:v>Review &amp; decide — era not stated</x:v>
      </x:c>
      <x:c r="D820" s="53" t="str">
        <x:v>He Never Saw The Second Attack</x:v>
      </x:c>
      <x:c r="E820" s="53" t="str"/>
      <x:c r="F820" s="53" t="str">
        <x:v>June 4, 2026</x:v>
      </x:c>
      <x:c r="G820" s="53" t="str">
        <x:v>Fan-made / non-canon</x:v>
      </x:c>
      <x:c r="H820" s="53" t="str">
        <x:v>Fan video</x:v>
      </x:c>
      <x:c r="I820" s="53" t="str">
        <x:v>YouTube — search by title</x:v>
      </x:c>
      <x:c r="J820" s="59" t="e">
        <x:f>HYPERLINK("https://www.youtube.com/results?search_query=He%20Never%20Saw%20The%20Second%20Attack","Search")</x:f>
        <x:v>HYPERLINK is not implemented. linkLocation=https://www.youtube.com/results?search_query=He%20Never%20Saw%20The%20Second%20Attack, friendlyName=Search</x:v>
      </x:c>
      <x:c r="K820" s="53" t="str">
        <x:v>Generic/original Jedi, Sith, creature, or Emperor story without a dependable era anchor.</x:v>
      </x:c>
      <x:c r="L820" s="76" t="str"/>
      <x:c r="M820" s="76" t="str">
        <x:v>He Never Saw The Second Attack</x:v>
      </x:c>
      <x:c r="N820" s="76" t="str">
        <x:v>A red-faced dark warrior thinks he has the hooded
Jedi cornered inside an ancient mountain fortress.
As the duel reaches its breaking point, the Jedi
makes a single move with the Force. The warrior
believes nothing happened... until it's too late.
Sometimes the most dangerous attack isn’t the one
you can see.
Who wins this battle in your version?
#VoidProtocol #ForceMastery #Jedi
#LightsaberDuel #SciFi #Fantasy #EpicBattle
#TheForce #Cinematic #ActionShorts
#AncientKingdom #MovieTrailer #ViralShorts
#BlaineHenry593</x:v>
      </x:c>
      <x:c r="O820" s="76" t="str">
        <x:v>Below timeline — era not stated</x:v>
      </x:c>
      <x:c r="P820" s="76" t="str">
        <x:v>IMG_6608.PNG</x:v>
      </x:c>
      <x:c r="Q820" s="76" t="str">
        <x:v>Needs review</x:v>
      </x:c>
      <x:c r="R820" s="76" t="str">
        <x:v>High</x:v>
      </x:c>
      <x:c r="S820" s="76" t="str">
        <x:v>Generic/original Jedi, Sith, creature, or Emperor story without a dependable era anchor.</x:v>
      </x:c>
      <x:c r="T820" s="76" t="str">
        <x:v>Unique</x:v>
      </x:c>
    </x:row>
    <x:row r="821" s="23" customFormat="1" ht="36" customHeight="1">
      <x:c r="A821" s="49" t="b">
        <x:v>0</x:v>
      </x:c>
      <x:c r="B821" s="56" t="str">
        <x:v>FV-0302</x:v>
      </x:c>
      <x:c r="C821" s="53" t="str">
        <x:v>Review &amp; decide — era not stated</x:v>
      </x:c>
      <x:c r="D821" s="53" t="str">
        <x:v>IMPERIAL SENTINELS — A DARK EMPIRE LEGENDS-INSPIRED GUARDIAN</x:v>
      </x:c>
      <x:c r="E821" s="53" t="str"/>
      <x:c r="F821" s="53" t="str">
        <x:v>August 31, 2026</x:v>
      </x:c>
      <x:c r="G821" s="53" t="str">
        <x:v>Fan-made / non-canon</x:v>
      </x:c>
      <x:c r="H821" s="53" t="str">
        <x:v>Fan video</x:v>
      </x:c>
      <x:c r="I821" s="53" t="str">
        <x:v>YouTube — search by title</x:v>
      </x:c>
      <x:c r="J821" s="59" t="e">
        <x:f>HYPERLINK("https://www.youtube.com/results?search_query=IMPERIAL%20SENTINELS%20%E2%80%94%20A%20DARK%20EMPIRE%20LEGENDS-INSPIRED%20GUARDIAN","Search")</x:f>
        <x:v>HYPERLINK is not implemented. linkLocation=https://www.youtube.com/results?search_query=IMPERIAL%20SENTINELS%20%E2%80%94%20A%20DARK%20EMPIRE%20LEGENDS-INSPIRED%20GUARDIAN, friendlyName=Search</x:v>
      </x:c>
      <x:c r="K821" s="53" t="str">
        <x:v>Generic/original Jedi, Sith, creature, or Emperor story without a dependable era anchor.</x:v>
      </x:c>
      <x:c r="L821" s="76" t="str"/>
      <x:c r="M821" s="76" t="str">
        <x:v>IMPERIAL SENTINELS — A DARK EMPIRE LEGENDS-INSPIRED GUARDIAN</x:v>
      </x:c>
      <x:c r="N821" s="76"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821" s="76" t="str">
        <x:v>Below timeline — era not stated</x:v>
      </x:c>
      <x:c r="P821" s="76" t="str">
        <x:v>IMG_6488.PNG</x:v>
      </x:c>
      <x:c r="Q821" s="76" t="str">
        <x:v>Needs review</x:v>
      </x:c>
      <x:c r="R821" s="76" t="str">
        <x:v>High</x:v>
      </x:c>
      <x:c r="S821" s="76" t="str">
        <x:v>Generic/original Jedi, Sith, creature, or Emperor story without a dependable era anchor.</x:v>
      </x:c>
      <x:c r="T821" s="76" t="str">
        <x:v>Unique</x:v>
      </x:c>
    </x:row>
    <x:row r="822" s="23" customFormat="1" ht="36" customHeight="1">
      <x:c r="A822" s="49" t="b">
        <x:v>0</x:v>
      </x:c>
      <x:c r="B822" s="56" t="str">
        <x:v>FV-0192</x:v>
      </x:c>
      <x:c r="C822" s="53" t="str">
        <x:v>Review &amp; decide — era not stated</x:v>
      </x:c>
      <x:c r="D822" s="53" t="str">
        <x:v>JEDI PADAWAN TRIALS — THE TRIAL OF SHADOWS</x:v>
      </x:c>
      <x:c r="E822" s="53" t="str"/>
      <x:c r="F822" s="53" t="str">
        <x:v>September 23, 2026</x:v>
      </x:c>
      <x:c r="G822" s="53" t="str">
        <x:v>Fan-made / non-canon</x:v>
      </x:c>
      <x:c r="H822" s="53" t="str">
        <x:v>Fan video</x:v>
      </x:c>
      <x:c r="I822" s="53" t="str">
        <x:v>YouTube — search by title</x:v>
      </x:c>
      <x:c r="J822" s="59" t="e">
        <x:f>HYPERLINK("https://www.youtube.com/results?search_query=JEDI%20PADAWAN%20TRIALS%20%E2%80%94%20THE%20TRIAL%20OF%20SHADOWS","Search")</x:f>
        <x:v>HYPERLINK is not implemented. linkLocation=https://www.youtube.com/results?search_query=JEDI%20PADAWAN%20TRIALS%20%E2%80%94%20THE%20TRIAL%20OF%20SHADOWS, friendlyName=Search</x:v>
      </x:c>
      <x:c r="K822" s="53" t="str">
        <x:v>Generic/original Jedi, Sith, creature, or Emperor story without a dependable era anchor.</x:v>
      </x:c>
      <x:c r="L822" s="76" t="str">
        <x:v>Shadow</x:v>
      </x:c>
      <x:c r="M822" s="76" t="str">
        <x:v>JEDI PADAWAN TRIALS — THE TRIAL OF SHADOWS</x:v>
      </x:c>
      <x:c r="N822" s="76" t="str">
        <x:v>A young Padawan enters an ancient Jedi temple
expecting a test of combat.
Instead, the temple itself becomes the enemy.
A colossal stone guardian awakens, the chamber
begins collapsing, and the Padawan is forced to rely
on something more powerful than a lightsaber:
awareness, judgment, and mastery of the Force.
Every attack reveals another part of the trial.
And when the Padawan finally discovers the
weakness hidden inside the ancient guardian, the
true test begins.
The path to becoming a Jedi has never been easy.</x:v>
      </x:c>
      <x:c r="O822" s="76" t="str">
        <x:v>Below timeline — era not stated</x:v>
      </x:c>
      <x:c r="P822" s="76" t="str">
        <x:v>IMG_6375.PNG</x:v>
      </x:c>
      <x:c r="Q822" s="76" t="str">
        <x:v>Needs review</x:v>
      </x:c>
      <x:c r="R822" s="76" t="str">
        <x:v>High</x:v>
      </x:c>
      <x:c r="S822" s="76" t="str">
        <x:v>Generic/original Jedi, Sith, creature, or Emperor story without a dependable era anchor.</x:v>
      </x:c>
      <x:c r="T822" s="76" t="str">
        <x:v>Unique</x:v>
      </x:c>
    </x:row>
    <x:row r="823" s="23" customFormat="1" ht="36" customHeight="1">
      <x:c r="A823" s="49" t="b">
        <x:v>0</x:v>
      </x:c>
      <x:c r="B823" s="56" t="str">
        <x:v>FV-0408</x:v>
      </x:c>
      <x:c r="C823" s="53" t="str">
        <x:v>Review &amp; decide — era not stated</x:v>
      </x:c>
      <x:c r="D823" s="53" t="str">
        <x:v>Jedi vs prometheus beast</x:v>
      </x:c>
      <x:c r="E823" s="53" t="str"/>
      <x:c r="F823" s="53" t="str">
        <x:v>May 14, 2026</x:v>
      </x:c>
      <x:c r="G823" s="53" t="str">
        <x:v>Fan-made / non-canon</x:v>
      </x:c>
      <x:c r="H823" s="53" t="str">
        <x:v>Fan video</x:v>
      </x:c>
      <x:c r="I823" s="53" t="str">
        <x:v>YouTube — search by title</x:v>
      </x:c>
      <x:c r="J823" s="59" t="e">
        <x:f>HYPERLINK("https://www.youtube.com/results?search_query=Jedi%20vs%20prometheus%20beast","Search")</x:f>
        <x:v>HYPERLINK is not implemented. linkLocation=https://www.youtube.com/results?search_query=Jedi%20vs%20prometheus%20beast, friendlyName=Search</x:v>
      </x:c>
      <x:c r="K823" s="53" t="str">
        <x:v>Generic/original Jedi, Sith, creature, or Emperor story without a dependable era anchor.</x:v>
      </x:c>
      <x:c r="L823" s="76" t="str"/>
      <x:c r="M823" s="76" t="str">
        <x:v>Jedi vs prometheus beast</x:v>
      </x:c>
      <x:c r="N823" s="76" t="str">
        <x:v>A lone Jedi entered the abandoned world expecting
silence... but something ancient was already
hunting in the shadows.
Hyper-real cinematic realism, grounded sci-fi
combat, terrifying Prometheus-inspired creature
design, realistic lightsaber action, and a dark
movie-level atmosphere from beginning to end.
This felt like a lost sci-fi horror movie scene.
#VoidProtocol #Jedi #Prometheus #SciFi
#Lightsaber #Cinematic #AlienCreature
#MovieScene #Alcinema #StarWarsinspired
#ViralShorts</x:v>
      </x:c>
      <x:c r="O823" s="76" t="str">
        <x:v>Below timeline — era not stated</x:v>
      </x:c>
      <x:c r="P823" s="76" t="str">
        <x:v>IMG_6594.PNG</x:v>
      </x:c>
      <x:c r="Q823" s="76" t="str">
        <x:v>Needs review</x:v>
      </x:c>
      <x:c r="R823" s="76" t="str">
        <x:v>High</x:v>
      </x:c>
      <x:c r="S823" s="76" t="str">
        <x:v>Generic/original Jedi, Sith, creature, or Emperor story without a dependable era anchor.</x:v>
      </x:c>
      <x:c r="T823" s="76" t="str">
        <x:v>Unique</x:v>
      </x:c>
    </x:row>
    <x:row r="824" s="23" customFormat="1" ht="36" customHeight="1">
      <x:c r="A824" s="49" t="b">
        <x:v>0</x:v>
      </x:c>
      <x:c r="B824" s="56" t="str">
        <x:v>FV-0411</x:v>
      </x:c>
      <x:c r="C824" s="53" t="str">
        <x:v>Review &amp; decide — era not stated</x:v>
      </x:c>
      <x:c r="D824" s="53" t="str">
        <x:v>JEDI WALKED INTO THE WRONG WORLD ⚔️ 👁️</x:v>
      </x:c>
      <x:c r="E824" s="53" t="str"/>
      <x:c r="F824" s="53" t="str">
        <x:v>May 26, 2026</x:v>
      </x:c>
      <x:c r="G824" s="53" t="str">
        <x:v>Fan-made / non-canon</x:v>
      </x:c>
      <x:c r="H824" s="53" t="str">
        <x:v>Fan video</x:v>
      </x:c>
      <x:c r="I824" s="53" t="str">
        <x:v>YouTube — search by title</x:v>
      </x:c>
      <x:c r="J824" s="59" t="e">
        <x:f>HYPERLINK("https://www.youtube.com/results?search_query=JEDI%20WALKED%20INTO%20THE%20WRONG%20WORLD%20%E2%9A%94%EF%B8%8F%20%F0%9F%91%81%EF%B8%8F","Search")</x:f>
        <x:v>HYPERLINK is not implemented. linkLocation=https://www.youtube.com/results?search_query=JEDI%20WALKED%20INTO%20THE%20WRONG%20WORLD%20%E2%9A%94%EF%B8%8F%20%F0%9F%91%81%EF%B8%8F, friendlyName=Search</x:v>
      </x:c>
      <x:c r="K824" s="53" t="str">
        <x:v>Generic/original Jedi, Sith, creature, or Emperor story without a dependable era anchor.</x:v>
      </x:c>
      <x:c r="L824" s="76" t="str"/>
      <x:c r="M824" s="76" t="str">
        <x:v>JEDI WALKED INTO THE WRONG WORLD ⚔️ 👁️</x:v>
      </x:c>
      <x:c r="N824" s="76" t="str">
        <x:v>He thought it was an abandoned kingdom... until the
creatures started moving in the fog.
A lone Jedi enters a forbidden world filled with
ancient beasts, ruined temples, and enemies that
were never meant to be found.
Hyper-real cinematic combat.
Dark fantasy atmosphere.
One wrong step changed everything.
Would you survive this world?
#StarWarsInspired #VoidProtocol #Jedi
#DarkFantasy #Lightsaber #SciFi #Cinematic
#FantasyWorld #EpicBattle #AlienWorld #Alcinema
#MovieTrailer #ForbiddenKingdom #AncientBeasts</x:v>
      </x:c>
      <x:c r="O824" s="76" t="str">
        <x:v>Below timeline — era not stated</x:v>
      </x:c>
      <x:c r="P824" s="76" t="str">
        <x:v>IMG_6597.PNG</x:v>
      </x:c>
      <x:c r="Q824" s="76" t="str">
        <x:v>Needs review</x:v>
      </x:c>
      <x:c r="R824" s="76" t="str">
        <x:v>High</x:v>
      </x:c>
      <x:c r="S824" s="76" t="str">
        <x:v>Generic/original Jedi, Sith, creature, or Emperor story without a dependable era anchor.</x:v>
      </x:c>
      <x:c r="T824" s="76" t="str">
        <x:v>Unique</x:v>
      </x:c>
    </x:row>
    <x:row r="825" s="23" customFormat="1" ht="36" customHeight="1">
      <x:c r="A825" s="49" t="b">
        <x:v>0</x:v>
      </x:c>
      <x:c r="B825" s="56" t="str">
        <x:v>FV-0475</x:v>
      </x:c>
      <x:c r="C825" s="53" t="str">
        <x:v>Review &amp; decide — era not stated</x:v>
      </x:c>
      <x:c r="D825" s="53" t="str">
        <x:v>Legendary Jedi Accuracy on Display *</x:v>
      </x:c>
      <x:c r="E825" s="53" t="str"/>
      <x:c r="F825" s="53" t="str">
        <x:v>June 14, 2026</x:v>
      </x:c>
      <x:c r="G825" s="53" t="str">
        <x:v>Fan-made / non-canon</x:v>
      </x:c>
      <x:c r="H825" s="53" t="str">
        <x:v>Fan video</x:v>
      </x:c>
      <x:c r="I825" s="53" t="str">
        <x:v>YouTube — search by title</x:v>
      </x:c>
      <x:c r="J825" s="59" t="e">
        <x:f>HYPERLINK("https://www.youtube.com/results?search_query=Legendary%20Jedi%20Accuracy%20on%20Display%20*","Search")</x:f>
        <x:v>HYPERLINK is not implemented. linkLocation=https://www.youtube.com/results?search_query=Legendary%20Jedi%20Accuracy%20on%20Display%20*, friendlyName=Search</x:v>
      </x:c>
      <x:c r="K825" s="53" t="str">
        <x:v>Generic/original Jedi, Sith, creature, or Emperor story without a dependable era anchor.</x:v>
      </x:c>
      <x:c r="L825" s="76" t="str"/>
      <x:c r="M825" s="76" t="str">
        <x:v>Legendary Jedi Accuracy on Display *</x:v>
      </x:c>
      <x:c r="N825" s="76" t="str">
        <x:v>When speed isn't enough, precision becomes
everything. Watch a legendary Jedi demonstrate
incredible accuracy as multiple targets attack from
every direction. Every movement is deliberate.
Every strike lands exactly where it needs to.
#Jedi #LegendaryJedi #JediAccuracy #Lightsaber
#EpicJedi #SciFi #Cinematic #ForceUser #Shorts
#StarWarsInspired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x:v>
      </x:c>
      <x:c r="O825" s="76" t="str">
        <x:v>Below timeline — era not stated</x:v>
      </x:c>
      <x:c r="P825" s="76" t="str">
        <x:v>IMG_6664.PNG</x:v>
      </x:c>
      <x:c r="Q825" s="76" t="str">
        <x:v>Needs review</x:v>
      </x:c>
      <x:c r="R825" s="76" t="str">
        <x:v>High</x:v>
      </x:c>
      <x:c r="S825" s="76" t="str">
        <x:v>Generic/original Jedi, Sith, creature, or Emperor story without a dependable era anchor.</x:v>
      </x:c>
      <x:c r="T825" s="76" t="str">
        <x:v>Unique</x:v>
      </x:c>
    </x:row>
    <x:row r="826" s="23" customFormat="1" ht="36" customHeight="1">
      <x:c r="A826" s="49" t="b">
        <x:v>0</x:v>
      </x:c>
      <x:c r="B826" s="56" t="str">
        <x:v>FV-0498</x:v>
      </x:c>
      <x:c r="C826" s="53" t="str">
        <x:v>Review &amp; decide — era not stated</x:v>
      </x:c>
      <x:c r="D826" s="53" t="str">
        <x:v>Legendary Jedi Accuracy Test</x:v>
      </x:c>
      <x:c r="E826" s="53" t="str"/>
      <x:c r="F826" s="53" t="str">
        <x:v>June 15, 2026</x:v>
      </x:c>
      <x:c r="G826" s="53" t="str">
        <x:v>Fan-made / non-canon</x:v>
      </x:c>
      <x:c r="H826" s="53" t="str">
        <x:v>Fan video</x:v>
      </x:c>
      <x:c r="I826" s="53" t="str">
        <x:v>YouTube — search by title</x:v>
      </x:c>
      <x:c r="J826" s="59" t="e">
        <x:f>HYPERLINK("https://www.youtube.com/results?search_query=Legendary%20Jedi%20Accuracy%20Test","Search")</x:f>
        <x:v>HYPERLINK is not implemented. linkLocation=https://www.youtube.com/results?search_query=Legendary%20Jedi%20Accuracy%20Test, friendlyName=Search</x:v>
      </x:c>
      <x:c r="K826" s="53" t="str">
        <x:v>Generic/original Jedi, Sith, creature, or Emperor story without a dependable era anchor.</x:v>
      </x:c>
      <x:c r="L826" s="76" t="str"/>
      <x:c r="M826" s="76" t="str">
        <x:v>Legendary Jedi Accuracy Test</x:v>
      </x:c>
      <x:c r="N826" s="76" t="str">
        <x:v>A towering warrior charges across an ancient stone
bridge, believing brute force will win the battle. But
this Jedi relies on something far more dangerous—
perfect accuracy.
Every throw. Every strike. Every movement is placed
exactly where it needs to be. One mistake is all it
takes.
© Precision over power.
™ Accuracy over strength.
™ A true test of Jedi mastery.
Will the warrior survive the Legendary Jedi
Accuracy Test?
« Enjoyed this adventure? Visit @blainehenry593
for more Jedi battles, legendary duels, and</x:v>
      </x:c>
      <x:c r="O826" s="76" t="str">
        <x:v>Below timeline — era not stated</x:v>
      </x:c>
      <x:c r="P826" s="76" t="str">
        <x:v>IMG_6687.PNG</x:v>
      </x:c>
      <x:c r="Q826" s="76" t="str">
        <x:v>Needs review</x:v>
      </x:c>
      <x:c r="R826" s="76" t="str">
        <x:v>High</x:v>
      </x:c>
      <x:c r="S826" s="76" t="str">
        <x:v>Generic/original Jedi, Sith, creature, or Emperor story without a dependable era anchor.</x:v>
      </x:c>
      <x:c r="T826" s="76" t="str">
        <x:v>Unique</x:v>
      </x:c>
    </x:row>
    <x:row r="827" s="23" customFormat="1" ht="36" customHeight="1">
      <x:c r="A827" s="49" t="b">
        <x:v>0</x:v>
      </x:c>
      <x:c r="B827" s="56" t="str">
        <x:v>FV-0501</x:v>
      </x:c>
      <x:c r="C827" s="53" t="str">
        <x:v>Review &amp; decide — era not stated</x:v>
      </x:c>
      <x:c r="D827" s="53" t="str">
        <x:v>Legendary Jedi Force Control</x:v>
      </x:c>
      <x:c r="E827" s="53" t="str"/>
      <x:c r="F827" s="53" t="str">
        <x:v>June 15, 2026</x:v>
      </x:c>
      <x:c r="G827" s="53" t="str">
        <x:v>Fan-made / non-canon</x:v>
      </x:c>
      <x:c r="H827" s="53" t="str">
        <x:v>Fan video</x:v>
      </x:c>
      <x:c r="I827" s="53" t="str">
        <x:v>YouTube — search by title</x:v>
      </x:c>
      <x:c r="J827" s="59" t="e">
        <x:f>HYPERLINK("https://www.youtube.com/results?search_query=Legendary%20Jedi%20Force%20Control","Search")</x:f>
        <x:v>HYPERLINK is not implemented. linkLocation=https://www.youtube.com/results?search_query=Legendary%20Jedi%20Force%20Control, friendlyName=Search</x:v>
      </x:c>
      <x:c r="K827" s="53" t="str">
        <x:v>Generic/original Jedi, Sith, creature, or Emperor story without a dependable era anchor.</x:v>
      </x:c>
      <x:c r="L827" s="76" t="str"/>
      <x:c r="M827" s="76" t="str">
        <x:v>Legendary Jedi Force Control</x:v>
      </x:c>
      <x:c r="N827" s="76" t="str">
        <x:v>Deep inside a forgotten temple, a powerful creature
believes strength alone will win the battle. But this
Jedi has mastered something far more dangerous—
the Force itself.
Ancient chains, massive stone pillars, and the ruins
of the temple become weapons as the Jedi bends
the battlefield to his will. Every movement is
precise. Every action is controlled.
™ The lightsaber is only the beginning.
The temple itself becomes a weapon.
~ Legendary Jedi Force Control on full display.
Can raw power overcome a Jedi who controls
everything around him?
™ Enjoyed this adventure? Visit @blainehenry593</x:v>
      </x:c>
      <x:c r="O827" s="76" t="str">
        <x:v>Below timeline — era not stated</x:v>
      </x:c>
      <x:c r="P827" s="76" t="str">
        <x:v>IMG_6690.PNG</x:v>
      </x:c>
      <x:c r="Q827" s="76" t="str">
        <x:v>Needs review</x:v>
      </x:c>
      <x:c r="R827" s="76" t="str">
        <x:v>High</x:v>
      </x:c>
      <x:c r="S827" s="76" t="str">
        <x:v>Generic/original Jedi, Sith, creature, or Emperor story without a dependable era anchor.</x:v>
      </x:c>
      <x:c r="T827" s="76" t="str">
        <x:v>Unique</x:v>
      </x:c>
    </x:row>
    <x:row r="828" s="23" customFormat="1" ht="36" customHeight="1">
      <x:c r="A828" s="49" t="b">
        <x:v>0</x:v>
      </x:c>
      <x:c r="B828" s="56" t="str">
        <x:v>FV-0471</x:v>
      </x:c>
      <x:c r="C828" s="53" t="str">
        <x:v>Review &amp; decide — era not stated</x:v>
      </x:c>
      <x:c r="D828" s="53" t="str">
        <x:v>Legendary Jedi Force Control +</x:v>
      </x:c>
      <x:c r="E828" s="53" t="str"/>
      <x:c r="F828" s="53" t="str">
        <x:v>June 14, 2026</x:v>
      </x:c>
      <x:c r="G828" s="53" t="str">
        <x:v>Fan-made / non-canon</x:v>
      </x:c>
      <x:c r="H828" s="53" t="str">
        <x:v>Fan video</x:v>
      </x:c>
      <x:c r="I828" s="53" t="str">
        <x:v>YouTube — search by title</x:v>
      </x:c>
      <x:c r="J828" s="59" t="e">
        <x:f>HYPERLINK("https://www.youtube.com/results?search_query=Legendary%20Jedi%20Force%20Control%20%2B","Search")</x:f>
        <x:v>HYPERLINK is not implemented. linkLocation=https://www.youtube.com/results?search_query=Legendary%20Jedi%20Force%20Control%20%2B, friendlyName=Search</x:v>
      </x:c>
      <x:c r="K828" s="53" t="str">
        <x:v>Generic/original Jedi, Sith, creature, or Emperor story without a dependable era anchor.</x:v>
      </x:c>
      <x:c r="L828" s="76" t="str"/>
      <x:c r="M828" s="76" t="str">
        <x:v>Legendary Jedi Force Control +</x:v>
      </x:c>
      <x:c r="N828" s="76" t="str">
        <x:v>A true Jedi doesn't rely on strength alone. Through
absolute Force control, even the most powerful
creatures can be stopped in their tracks.
#Jedi #StarWars #ForceControl #Lightsaber #SciFi
#VoidProtocol #LegendaryJedi #Shorts #EpicBattle
#TheForce
How this was made
Made with Al
Sounds or visuals were altered or fully generated. Learn
more</x:v>
      </x:c>
      <x:c r="O828" s="76" t="str">
        <x:v>Below timeline — era not stated</x:v>
      </x:c>
      <x:c r="P828" s="76" t="str">
        <x:v>IMG_6660.PNG</x:v>
      </x:c>
      <x:c r="Q828" s="76" t="str">
        <x:v>Needs review</x:v>
      </x:c>
      <x:c r="R828" s="76" t="str">
        <x:v>High</x:v>
      </x:c>
      <x:c r="S828" s="76" t="str">
        <x:v>Generic/original Jedi, Sith, creature, or Emperor story without a dependable era anchor.</x:v>
      </x:c>
      <x:c r="T828" s="76" t="str">
        <x:v>Unique</x:v>
      </x:c>
    </x:row>
    <x:row r="829" s="23" customFormat="1" ht="36" customHeight="1">
      <x:c r="A829" s="49" t="b">
        <x:v>0</x:v>
      </x:c>
      <x:c r="B829" s="56" t="str">
        <x:v>FV-0500</x:v>
      </x:c>
      <x:c r="C829" s="53" t="str">
        <x:v>Review &amp; decide — era not stated</x:v>
      </x:c>
      <x:c r="D829" s="53" t="str">
        <x:v>Legendary Jedi Speed</x:v>
      </x:c>
      <x:c r="E829" s="53" t="str"/>
      <x:c r="F829" s="53" t="str">
        <x:v>June 15, 2026</x:v>
      </x:c>
      <x:c r="G829" s="53" t="str">
        <x:v>Fan-made / non-canon</x:v>
      </x:c>
      <x:c r="H829" s="53" t="str">
        <x:v>Fan video</x:v>
      </x:c>
      <x:c r="I829" s="53" t="str">
        <x:v>YouTube — search by title</x:v>
      </x:c>
      <x:c r="J829" s="59" t="e">
        <x:f>HYPERLINK("https://www.youtube.com/results?search_query=Legendary%20Jedi%20Speed","Search")</x:f>
        <x:v>HYPERLINK is not implemented. linkLocation=https://www.youtube.com/results?search_query=Legendary%20Jedi%20Speed, friendlyName=Search</x:v>
      </x:c>
      <x:c r="K829" s="53" t="str">
        <x:v>Generic/original Jedi, Sith, creature, or Emperor story without a dependable era anchor.</x:v>
      </x:c>
      <x:c r="L829" s="76" t="str"/>
      <x:c r="M829" s="76" t="str">
        <x:v>Legendary Jedi Speed</x:v>
      </x:c>
      <x:c r="N829" s="76" t="str">
        <x:v>A powerful warrior launches a surprise attack, but
he is far too slow for this Jedi. Using incredible
speed, precision, and flawless timing, the Jedi turns
the ancient battlefield into a blur of motion.
From lightning-fast dodges to impossible bursts of
speed, every move brings him one step closer to
victory.
Too fast to hit.
™ Too skilled to catch.
™ Legendary Jedi speed on full display.
Can anyone keep up with a Jedi moving at this
level?
« Enjoyed this adventure? Visit @blainehenry593
for more Jedi battles, legendary duels, and</x:v>
      </x:c>
      <x:c r="O829" s="76" t="str">
        <x:v>Below timeline — era not stated</x:v>
      </x:c>
      <x:c r="P829" s="76" t="str">
        <x:v>IMG_6689.PNG</x:v>
      </x:c>
      <x:c r="Q829" s="76" t="str">
        <x:v>Needs review</x:v>
      </x:c>
      <x:c r="R829" s="76" t="str">
        <x:v>High</x:v>
      </x:c>
      <x:c r="S829" s="76" t="str">
        <x:v>Shares a title and publication date with another screenshot, but description differs | Generic/original Jedi, Sith, creature, or Emperor story without a dependable era anchor.</x:v>
      </x:c>
      <x:c r="T829" s="76" t="str">
        <x:v>Possible duplicate title/date — retained as separate video — POSS-DUP-003</x:v>
      </x:c>
    </x:row>
    <x:row r="830" s="23" customFormat="1" ht="36" customHeight="1">
      <x:c r="A830" s="49" t="b">
        <x:v>0</x:v>
      </x:c>
      <x:c r="B830" s="56" t="str">
        <x:v>FV-0503</x:v>
      </x:c>
      <x:c r="C830" s="53" t="str">
        <x:v>Review &amp; decide — era not stated</x:v>
      </x:c>
      <x:c r="D830" s="53" t="str">
        <x:v>Legendary Jedi Speed</x:v>
      </x:c>
      <x:c r="E830" s="53" t="str"/>
      <x:c r="F830" s="53" t="str">
        <x:v>June 15, 2026</x:v>
      </x:c>
      <x:c r="G830" s="53" t="str">
        <x:v>Fan-made / non-canon</x:v>
      </x:c>
      <x:c r="H830" s="53" t="str">
        <x:v>Fan video</x:v>
      </x:c>
      <x:c r="I830" s="53" t="str">
        <x:v>YouTube — search by title</x:v>
      </x:c>
      <x:c r="J830" s="59" t="e">
        <x:f>HYPERLINK("https://www.youtube.com/results?search_query=Legendary%20Jedi%20Speed","Search")</x:f>
        <x:v>HYPERLINK is not implemented. linkLocation=https://www.youtube.com/results?search_query=Legendary%20Jedi%20Speed, friendlyName=Search</x:v>
      </x:c>
      <x:c r="K830" s="53" t="str">
        <x:v>Generic/original Jedi, Sith, creature, or Emperor story without a dependable era anchor.</x:v>
      </x:c>
      <x:c r="L830" s="76" t="str"/>
      <x:c r="M830" s="76" t="str">
        <x:v>Legendary Jedi Speed</x:v>
      </x:c>
      <x:c r="N830" s="76" t="str">
        <x:v>A powerful warrior launches a surprise attack, but
this Jedi is moving on an entirely different level.
With incredible speed, flawless timing, and mastery
of the Force, he turns the ancient battlefield into a
blur of motion.
From impossible dodges to lightning-fast strikes,
every movement is calculated. Every second brings
the battle closer to its end.
\ Too fast to catch.
Too fast to follow.
Legendary Jedi Speed on full display.
Can any warrior keep up with a Jedi moving at this
speed?
™ Enjoyed this adventure? Visit @blainehenry593</x:v>
      </x:c>
      <x:c r="O830" s="76" t="str">
        <x:v>Below timeline — era not stated</x:v>
      </x:c>
      <x:c r="P830" s="76" t="str">
        <x:v>IMG_6692.PNG</x:v>
      </x:c>
      <x:c r="Q830" s="76" t="str">
        <x:v>Needs review</x:v>
      </x:c>
      <x:c r="R830" s="76" t="str">
        <x:v>High</x:v>
      </x:c>
      <x:c r="S830" s="76" t="str">
        <x:v>Shares a title and publication date with another screenshot, but description differs | Generic/original Jedi, Sith, creature, or Emperor story without a dependable era anchor.</x:v>
      </x:c>
      <x:c r="T830" s="76" t="str">
        <x:v>Possible duplicate title/date — retained as separate video — POSS-DUP-003</x:v>
      </x:c>
    </x:row>
    <x:row r="831" s="23" customFormat="1" ht="36" customHeight="1">
      <x:c r="A831" s="49" t="b">
        <x:v>0</x:v>
      </x:c>
      <x:c r="B831" s="56" t="str">
        <x:v>FV-0470</x:v>
      </x:c>
      <x:c r="C831" s="53" t="str">
        <x:v>Review &amp; decide — era not stated</x:v>
      </x:c>
      <x:c r="D831" s="53" t="str">
        <x:v>Legendary Jedi Speed 4% Faster Than the Eye Can Follow</x:v>
      </x:c>
      <x:c r="E831" s="53" t="str"/>
      <x:c r="F831" s="53" t="str">
        <x:v>June 14, 2026</x:v>
      </x:c>
      <x:c r="G831" s="53" t="str">
        <x:v>Fan-made / non-canon</x:v>
      </x:c>
      <x:c r="H831" s="53" t="str">
        <x:v>Fan video</x:v>
      </x:c>
      <x:c r="I831" s="53" t="str">
        <x:v>YouTube — search by title</x:v>
      </x:c>
      <x:c r="J831" s="59" t="e">
        <x:f>HYPERLINK("https://www.youtube.com/results?search_query=Legendary%20Jedi%20Speed%204%25%20Faster%20Than%20the%20Eye%20Can%20Follow","Search")</x:f>
        <x:v>HYPERLINK is not implemented. linkLocation=https://www.youtube.com/results?search_query=Legendary%20Jedi%20Speed%204%25%20Faster%20Than%20the%20Eye%20Can%20Follow, friendlyName=Search</x:v>
      </x:c>
      <x:c r="K831" s="53" t="str">
        <x:v>Generic/original Jedi, Sith, creature, or Emperor story without a dependable era anchor.</x:v>
      </x:c>
      <x:c r="L831" s="76" t="str"/>
      <x:c r="M831" s="76" t="str">
        <x:v>Legendary Jedi Speed 4% Faster Than the Eye Can Follow</x:v>
      </x:c>
      <x:c r="N831" s="76" t="str">
        <x:v>One moment he's standing still. The next, he’s
already behind his target.
Using incredible Force-enhanced speed, this Jedi
bursts across the battlefield, dodges attacks in an
instant, and strikes with perfect precision. No flashy
tricks—just pure speed, timing, and mastery of the
Force.
How fast do you think a Jedi can really move?
#StarWars #Jedi #Lightsaber #TheForce
#JediMaster #JediSpeed #LegendaryJedi
#ForceUser #SciFi #EpicBattle #Cinematic
#VoidProtocol #Shorts #StarWarsFans #JediKnight</x:v>
      </x:c>
      <x:c r="O831" s="76" t="str">
        <x:v>Below timeline — era not stated</x:v>
      </x:c>
      <x:c r="P831" s="76" t="str">
        <x:v>IMG_6659.PNG</x:v>
      </x:c>
      <x:c r="Q831" s="76" t="str">
        <x:v>Needs review</x:v>
      </x:c>
      <x:c r="R831" s="76" t="str">
        <x:v>High</x:v>
      </x:c>
      <x:c r="S831" s="76" t="str">
        <x:v>Generic/original Jedi, Sith, creature, or Emperor story without a dependable era anchor.</x:v>
      </x:c>
      <x:c r="T831" s="76" t="str">
        <x:v>Unique</x:v>
      </x:c>
    </x:row>
    <x:row r="832" s="23" customFormat="1" ht="36" customHeight="1">
      <x:c r="A832" s="49" t="b">
        <x:v>0</x:v>
      </x:c>
      <x:c r="B832" s="56" t="str">
        <x:v>FV-0499</x:v>
      </x:c>
      <x:c r="C832" s="53" t="str">
        <x:v>Review &amp; decide — era not stated</x:v>
      </x:c>
      <x:c r="D832" s="53" t="str">
        <x:v>Legendary Jedi Strength</x:v>
      </x:c>
      <x:c r="E832" s="53" t="str"/>
      <x:c r="F832" s="53" t="str">
        <x:v>June 15, 2026</x:v>
      </x:c>
      <x:c r="G832" s="53" t="str">
        <x:v>Fan-made / non-canon</x:v>
      </x:c>
      <x:c r="H832" s="53" t="str">
        <x:v>Fan video</x:v>
      </x:c>
      <x:c r="I832" s="53" t="str">
        <x:v>YouTube — search by title</x:v>
      </x:c>
      <x:c r="J832" s="59" t="e">
        <x:f>HYPERLINK("https://www.youtube.com/results?search_query=Legendary%20Jedi%20Strength","Search")</x:f>
        <x:v>HYPERLINK is not implemented. linkLocation=https://www.youtube.com/results?search_query=Legendary%20Jedi%20Strength, friendlyName=Search</x:v>
      </x:c>
      <x:c r="K832" s="53" t="str">
        <x:v>Generic/original Jedi, Sith, creature, or Emperor story without a dependable era anchor.</x:v>
      </x:c>
      <x:c r="L832" s="76" t="str"/>
      <x:c r="M832" s="76" t="str">
        <x:v>Legendary Jedi Strength</x:v>
      </x:c>
      <x:c r="N832" s="76" t="str">
        <x:v>A towering warrior charges into battle believing raw
power will be enough. But this Jedi possesses a
level of strength few have ever witnessed.
With perfect control of the Force, the Jedi stops a
devastating attack, lifts his massive opponent from
the ground, and turns the ancient ruins into a
battlefield.
Unmatched power.
unbreakable focus.
™™ Legendary Jedi strength.
Can brute force overcome the power of a true Jedi
Master?
« Enjoyed this adventure? Visit @blainehenry593
for more Jedi battles, legendary duels, and</x:v>
      </x:c>
      <x:c r="O832" s="76" t="str">
        <x:v>Below timeline — era not stated</x:v>
      </x:c>
      <x:c r="P832" s="76" t="str">
        <x:v>IMG_6688.PNG</x:v>
      </x:c>
      <x:c r="Q832" s="76" t="str">
        <x:v>Needs review</x:v>
      </x:c>
      <x:c r="R832" s="76" t="str">
        <x:v>High</x:v>
      </x:c>
      <x:c r="S832" s="76" t="str">
        <x:v>Generic/original Jedi, Sith, creature, or Emperor story without a dependable era anchor.</x:v>
      </x:c>
      <x:c r="T832" s="76" t="str">
        <x:v>Unique</x:v>
      </x:c>
    </x:row>
    <x:row r="833" s="23" customFormat="1" ht="36" customHeight="1">
      <x:c r="A833" s="49" t="b">
        <x:v>0</x:v>
      </x:c>
      <x:c r="B833" s="56" t="str">
        <x:v>FV-0303</x:v>
      </x:c>
      <x:c r="C833" s="53" t="str">
        <x:v>Review &amp; decide — era not stated</x:v>
      </x:c>
      <x:c r="D833" s="53" t="str">
        <x:v>PALPATINE’S CHRYSALIDE — THE SITH BEAST OF DARK EMPIRE</x:v>
      </x:c>
      <x:c r="E833" s="53" t="str"/>
      <x:c r="F833" s="53" t="str">
        <x:v>August 31, 2026</x:v>
      </x:c>
      <x:c r="G833" s="53" t="str">
        <x:v>Fan-made / non-canon</x:v>
      </x:c>
      <x:c r="H833" s="53" t="str">
        <x:v>Fan video</x:v>
      </x:c>
      <x:c r="I833" s="53" t="str">
        <x:v>YouTube — search by title</x:v>
      </x:c>
      <x:c r="J833" s="59" t="e">
        <x:f>HYPERLINK("https://www.youtube.com/results?search_query=PALPATINE%E2%80%99S%20CHRYSALIDE%20%E2%80%94%20THE%20SITH%20BEAST%20OF%20DARK%20EMPIRE","Search")</x:f>
        <x:v>HYPERLINK is not implemented. linkLocation=https://www.youtube.com/results?search_query=PALPATINE%E2%80%99S%20CHRYSALIDE%20%E2%80%94%20THE%20SITH%20BEAST%20OF%20DARK%20EMPIRE, friendlyName=Search</x:v>
      </x:c>
      <x:c r="K833" s="53" t="str">
        <x:v>Generic/original Jedi, Sith, creature, or Emperor story without a dependable era anchor.</x:v>
      </x:c>
      <x:c r="L833" s="76" t="str"/>
      <x:c r="M833" s="76" t="str">
        <x:v>PALPATINE’S CHRYSALIDE — THE SITH BEAST OF DARK EMPIRE</x:v>
      </x:c>
      <x:c r="N833" s="76" t="str">
        <x:v>Some weapons are built.
Others are created through forbidden Sith
experimentation.
The Chrysalide is a monstrous rancor-derived
creature twisted through Sith alchemy into a living
weapon of destruction. When combat droids enter
the Emperor's territory, they discover very quickly
that this creature was never meant to be contained.
This is one of the darkest, strangest corners of Star
Wars Legends brought to life.
Al Disclosure &amp; Creator Statement: This video
contains Al-generated visuals created from my
original concepts, scripting, direction, editing, and</x:v>
      </x:c>
      <x:c r="O833" s="76" t="str">
        <x:v>Below timeline — era not stated</x:v>
      </x:c>
      <x:c r="P833" s="76" t="str">
        <x:v>IMG_6489.PNG</x:v>
      </x:c>
      <x:c r="Q833" s="76" t="str">
        <x:v>Needs review</x:v>
      </x:c>
      <x:c r="R833" s="76" t="str">
        <x:v>High</x:v>
      </x:c>
      <x:c r="S833" s="76" t="str">
        <x:v>Generic/original Jedi, Sith, creature, or Emperor story without a dependable era anchor.</x:v>
      </x:c>
      <x:c r="T833" s="76" t="str">
        <x:v>Unique</x:v>
      </x:c>
    </x:row>
    <x:row r="834" s="23" customFormat="1" ht="36" customHeight="1">
      <x:c r="A834" s="49" t="b">
        <x:v>0</x:v>
      </x:c>
      <x:c r="B834" s="56" t="str">
        <x:v>FV-0542</x:v>
      </x:c>
      <x:c r="C834" s="53" t="str">
        <x:v>Review &amp; decide — era not stated</x:v>
      </x:c>
      <x:c r="D834" s="53" t="str">
        <x:v>Shadow’s Return | The Swamp Has Chosen Its Guardian</x:v>
      </x:c>
      <x:c r="E834" s="53" t="str"/>
      <x:c r="F834" s="53" t="str">
        <x:v>July 25, 2026</x:v>
      </x:c>
      <x:c r="G834" s="53" t="str">
        <x:v>Fan-made / non-canon</x:v>
      </x:c>
      <x:c r="H834" s="53" t="str">
        <x:v>Fan video</x:v>
      </x:c>
      <x:c r="I834" s="53" t="str">
        <x:v>YouTube — search by title</x:v>
      </x:c>
      <x:c r="J834" s="59" t="e">
        <x:f>HYPERLINK("https://www.youtube.com/results?search_query=Shadow%E2%80%99s%20Return%20%7C%20The%20Swamp%20Has%20Chosen%20Its%20Guardian","Search")</x:f>
        <x:v>HYPERLINK is not implemented. linkLocation=https://www.youtube.com/results?search_query=Shadow%E2%80%99s%20Return%20%7C%20The%20Swamp%20Has%20Chosen%20Its%20Guardian, friendlyName=Search</x:v>
      </x:c>
      <x:c r="K834" s="53" t="str">
        <x:v>Generic/original Jedi, Sith, creature, or Emperor story without a dependable era anchor.</x:v>
      </x:c>
      <x:c r="L834" s="76" t="str">
        <x:v>Shadow</x:v>
      </x:c>
      <x:c r="M834" s="76" t="str">
        <x:v>Shadow’s Return | The Swamp Has Chosen Its Guardian</x:v>
      </x:c>
      <x:c r="N834" s="76" t="str">
        <x:v>Deep within the cursed swamp, a silent guardian
emerges from the mist. Cloaked in darkness and
armed with unwavering resolve, Shadow confronts
those who dare invade his forgotten kingdom. Every
step through the fog brings danger... and every
enemy soon learns that the swamp itself fights at
his side.
If you enjoy cinematic Jedi adventures, mysterious
worlds, and epic battles, be sure to like, comment,
and subscribe for more!
Made with Studio Al by @creativefabrica
#ref22553779
This video is an original Al-assisted production
created, directed, and edited by Blaine Henry. The</x:v>
      </x:c>
      <x:c r="O834" s="76" t="str">
        <x:v>Below timeline — era not stated</x:v>
      </x:c>
      <x:c r="P834" s="76" t="str">
        <x:v>IMG_6731.PNG</x:v>
      </x:c>
      <x:c r="Q834" s="76" t="str">
        <x:v>Needs review</x:v>
      </x:c>
      <x:c r="R834" s="76" t="str">
        <x:v>High</x:v>
      </x:c>
      <x:c r="S834" s="76" t="str">
        <x:v>Generic/original Jedi, Sith, creature, or Emperor story without a dependable era anchor.</x:v>
      </x:c>
      <x:c r="T834" s="76" t="str">
        <x:v>Unique</x:v>
      </x:c>
    </x:row>
    <x:row r="835" s="23" customFormat="1" ht="36" customHeight="1">
      <x:c r="A835" s="49" t="b">
        <x:v>0</x:v>
      </x:c>
      <x:c r="B835" s="56" t="str">
        <x:v>FV-0509</x:v>
      </x:c>
      <x:c r="C835" s="53" t="str">
        <x:v>Review &amp; decide — era not stated</x:v>
      </x:c>
      <x:c r="D835" s="53" t="str">
        <x:v>The Ancient Sith Has Returned</x:v>
      </x:c>
      <x:c r="E835" s="53" t="str"/>
      <x:c r="F835" s="53" t="str">
        <x:v>June 17, 2026</x:v>
      </x:c>
      <x:c r="G835" s="53" t="str">
        <x:v>Fan-made / non-canon</x:v>
      </x:c>
      <x:c r="H835" s="53" t="str">
        <x:v>Fan video</x:v>
      </x:c>
      <x:c r="I835" s="53" t="str">
        <x:v>YouTube — search by title</x:v>
      </x:c>
      <x:c r="J835" s="59" t="e">
        <x:f>HYPERLINK("https://www.youtube.com/results?search_query=The%20Ancient%20Sith%20Has%20Returned","Search")</x:f>
        <x:v>HYPERLINK is not implemented. linkLocation=https://www.youtube.com/results?search_query=The%20Ancient%20Sith%20Has%20Returned, friendlyName=Search</x:v>
      </x:c>
      <x:c r="K835" s="53" t="str">
        <x:v>Generic/original Jedi, Sith, creature, or Emperor story without a dependable era anchor.</x:v>
      </x:c>
      <x:c r="L835" s="76" t="str"/>
      <x:c r="M835" s="76" t="str">
        <x:v>The Ancient Sith Has Returned</x:v>
      </x:c>
      <x:c r="N835" s="76" t="str">
        <x:v>Deep beneath a forgotten kingdom, an ancient Sith
warrior awakens after centuries of silence. As
darkness spreads across the ruins, a lone Jedi
arrives to confront a power that should have
remained buried forever.
What follows is a brutal lightsaber duel filled with
legendary speed, precision combat, and a clash
between two warriors from different ages. The fate
of the ancient kingdom will be decided by the last
fighter standing.
é Ancient kingdom atmosphere
™ Jedi vs Ancient Sith
@ Legendary speed and reflexes
pring Cinematic ruins and forgotten power
#Jedi #AncientSith #LightsaberBattle</x:v>
      </x:c>
      <x:c r="O835" s="76" t="str">
        <x:v>Below timeline — era not stated</x:v>
      </x:c>
      <x:c r="P835" s="76" t="str">
        <x:v>IMG_6698.PNG</x:v>
      </x:c>
      <x:c r="Q835" s="76" t="str">
        <x:v>Needs review</x:v>
      </x:c>
      <x:c r="R835" s="76" t="str">
        <x:v>High</x:v>
      </x:c>
      <x:c r="S835" s="76" t="str">
        <x:v>Generic/original Jedi, Sith, creature, or Emperor story without a dependable era anchor.</x:v>
      </x:c>
      <x:c r="T835" s="76" t="str">
        <x:v>Unique</x:v>
      </x:c>
    </x:row>
    <x:row r="836" s="23" customFormat="1" ht="36" customHeight="1">
      <x:c r="A836" s="49" t="b">
        <x:v>0</x:v>
      </x:c>
      <x:c r="B836" s="56" t="str">
        <x:v>FV-0412</x:v>
      </x:c>
      <x:c r="C836" s="53" t="str">
        <x:v>Review &amp; decide — era not stated</x:v>
      </x:c>
      <x:c r="D836" s="53" t="str">
        <x:v>THE ANCIENT SITH HAS RETURNED é</x:v>
      </x:c>
      <x:c r="E836" s="53" t="str"/>
      <x:c r="F836" s="53" t="str">
        <x:v>May 27, 2026</x:v>
      </x:c>
      <x:c r="G836" s="53" t="str">
        <x:v>Fan-made / non-canon</x:v>
      </x:c>
      <x:c r="H836" s="53" t="str">
        <x:v>Fan video</x:v>
      </x:c>
      <x:c r="I836" s="53" t="str">
        <x:v>YouTube — search by title</x:v>
      </x:c>
      <x:c r="J836" s="59" t="e">
        <x:f>HYPERLINK("https://www.youtube.com/results?search_query=THE%20ANCIENT%20SITH%20HAS%20RETURNED%20%C3%A9","Search")</x:f>
        <x:v>HYPERLINK is not implemented. linkLocation=https://www.youtube.com/results?search_query=THE%20ANCIENT%20SITH%20HAS%20RETURNED%20%C3%A9, friendlyName=Search</x:v>
      </x:c>
      <x:c r="K836" s="53" t="str">
        <x:v>Generic/original Jedi, Sith, creature, or Emperor story without a dependable era anchor.</x:v>
      </x:c>
      <x:c r="L836" s="76" t="str"/>
      <x:c r="M836" s="76" t="str">
        <x:v>THE ANCIENT SITH HAS RETURNED é</x:v>
      </x:c>
      <x:c r="N836" s="76" t="str">
        <x:v>For centuries... the galaxy believed the ancient Sith
were gone.
Then the ruins opened.
A forgotten dark warrior emerges from the shadows
with overwhelming power, ancient knowledge, and a
weapon no Jedi has seen in generations. Every step
feels wrong... like the galaxy itself remembers his
name.
This is not a battle for survival.
This is the return of something the Jedi were never
meant to face again.
Cinematic dark fantasy realism inspired by
legendary sci-fi worlds, ancient evil, forbidden
temples, and brutal lightsaber combat.</x:v>
      </x:c>
      <x:c r="O836" s="76" t="str">
        <x:v>Below timeline — era not stated</x:v>
      </x:c>
      <x:c r="P836" s="76" t="str">
        <x:v>IMG_6598.PNG</x:v>
      </x:c>
      <x:c r="Q836" s="76" t="str">
        <x:v>Needs review</x:v>
      </x:c>
      <x:c r="R836" s="76" t="str">
        <x:v>High</x:v>
      </x:c>
      <x:c r="S836" s="76" t="str">
        <x:v>Generic/original Jedi, Sith, creature, or Emperor story without a dependable era anchor.</x:v>
      </x:c>
      <x:c r="T836" s="76" t="str">
        <x:v>Unique</x:v>
      </x:c>
    </x:row>
    <x:row r="837" s="23" customFormat="1" ht="36" customHeight="1">
      <x:c r="A837" s="49" t="b">
        <x:v>0</x:v>
      </x:c>
      <x:c r="B837" s="56" t="str">
        <x:v>FV-0561</x:v>
      </x:c>
      <x:c r="C837" s="53" t="str">
        <x:v>Review &amp; decide — era not stated</x:v>
      </x:c>
      <x:c r="D837" s="53" t="str">
        <x:v>The Dark Warrior Takes the High Ground &amp;</x:v>
      </x:c>
      <x:c r="E837" s="53" t="str"/>
      <x:c r="F837" s="53" t="str">
        <x:v>August 21, 2026</x:v>
      </x:c>
      <x:c r="G837" s="53" t="str">
        <x:v>Fan-made / non-canon</x:v>
      </x:c>
      <x:c r="H837" s="53" t="str">
        <x:v>Fan video</x:v>
      </x:c>
      <x:c r="I837" s="53" t="str">
        <x:v>YouTube — search by title</x:v>
      </x:c>
      <x:c r="J837" s="59" t="e">
        <x:f>HYPERLINK("https://www.youtube.com/results?search_query=The%20Dark%20Warrior%20Takes%20the%20High%20Ground%20%26","Search")</x:f>
        <x:v>HYPERLINK is not implemented. linkLocation=https://www.youtube.com/results?search_query=The%20Dark%20Warrior%20Takes%20the%20High%20Ground%20%26, friendlyName=Search</x:v>
      </x:c>
      <x:c r="K837" s="53" t="str">
        <x:v>Generic/original Jedi, Sith, creature, or Emperor story without a dependable era anchor.</x:v>
      </x:c>
      <x:c r="L837" s="76" t="str"/>
      <x:c r="M837" s="76" t="str">
        <x:v>The Dark Warrior Takes the High Ground &amp;</x:v>
      </x:c>
      <x:c r="N837" s="76" t="str">
        <x:v>MS Cash App: $brednew
© PayPal: @blainehenry688
THE DARK WARRIOR *
A brutal clash beneath a storm-filled sky ends with
the Dark Warrior standing alone above the
battlefield — red blade burning through the
darkness.
No retreat. No fear. Just dominance.
Original cinematic creation by Blaine Henry.
#DarkWarrior #Lightsaber #Cinematic #EpicBattle
#SCiFi</x:v>
      </x:c>
      <x:c r="O837" s="76" t="str">
        <x:v>Below timeline — era not stated</x:v>
      </x:c>
      <x:c r="P837" s="76" t="str">
        <x:v>IMG_6751.PNG</x:v>
      </x:c>
      <x:c r="Q837" s="76" t="str">
        <x:v>Needs review</x:v>
      </x:c>
      <x:c r="R837" s="76" t="str">
        <x:v>High</x:v>
      </x:c>
      <x:c r="S837" s="76" t="str">
        <x:v>Generic/original Jedi, Sith, creature, or Emperor story without a dependable era anchor.</x:v>
      </x:c>
      <x:c r="T837" s="76" t="str">
        <x:v>Unique</x:v>
      </x:c>
    </x:row>
    <x:row r="838" s="23" customFormat="1" ht="36" customHeight="1">
      <x:c r="A838" s="49" t="b">
        <x:v>0</x:v>
      </x:c>
      <x:c r="B838" s="56" t="str">
        <x:v>FV-0474</x:v>
      </x:c>
      <x:c r="C838" s="53" t="str">
        <x:v>Review &amp; decide — era not stated</x:v>
      </x:c>
      <x:c r="D838" s="53" t="str">
        <x:v>The Dark Warrior Thought This Jedi Was Finished</x:v>
      </x:c>
      <x:c r="E838" s="53" t="str"/>
      <x:c r="F838" s="53" t="str">
        <x:v>June 14, 2026</x:v>
      </x:c>
      <x:c r="G838" s="53" t="str">
        <x:v>Fan-made / non-canon</x:v>
      </x:c>
      <x:c r="H838" s="53" t="str">
        <x:v>Fan video</x:v>
      </x:c>
      <x:c r="I838" s="53" t="str">
        <x:v>YouTube — search by title</x:v>
      </x:c>
      <x:c r="J838" s="59" t="e">
        <x:f>HYPERLINK("https://www.youtube.com/results?search_query=The%20Dark%20Warrior%20Thought%20This%20Jedi%20Was%20Finished","Search")</x:f>
        <x:v>HYPERLINK is not implemented. linkLocation=https://www.youtube.com/results?search_query=The%20Dark%20Warrior%20Thought%20This%20Jedi%20Was%20Finished, friendlyName=Search</x:v>
      </x:c>
      <x:c r="K838" s="53" t="str">
        <x:v>Generic/original Jedi, Sith, creature, or Emperor story without a dependable era anchor.</x:v>
      </x:c>
      <x:c r="L838" s="76" t="str"/>
      <x:c r="M838" s="76" t="str">
        <x:v>The Dark Warrior Thought This Jedi Was Finished</x:v>
      </x:c>
      <x:c r="N838" s="76" t="str">
        <x:v>On an ancient rain-soaked bridge, a terrifying red-
faced dark warrior confronts a hooded Jedi who
refuses to back down.
What begins as a brutal duel becomes a battle of
timing, skill, Force power, and precision as both
warriors fight for control of the bridge.
One mistake could end everything.
© ORIGINAL Al CINEMATIC CREATION
This video was created specifically for Unleashed
from an original story concept and creative
direction. | develop the story and prompts, generate
the original Al video sequences, select the footage,
and personally edit and assemble the finished</x:v>
      </x:c>
      <x:c r="O838" s="76" t="str">
        <x:v>Below timeline — era not stated</x:v>
      </x:c>
      <x:c r="P838" s="76" t="str">
        <x:v>IMG_6663.PNG</x:v>
      </x:c>
      <x:c r="Q838" s="76" t="str">
        <x:v>Needs review</x:v>
      </x:c>
      <x:c r="R838" s="76" t="str">
        <x:v>High</x:v>
      </x:c>
      <x:c r="S838" s="76" t="str">
        <x:v>Generic/original Jedi, Sith, creature, or Emperor story without a dependable era anchor.</x:v>
      </x:c>
      <x:c r="T838" s="76" t="str">
        <x:v>Unique</x:v>
      </x:c>
    </x:row>
    <x:row r="839" s="23" customFormat="1" ht="36" customHeight="1">
      <x:c r="A839" s="49" t="b">
        <x:v>0</x:v>
      </x:c>
      <x:c r="B839" s="56" t="str">
        <x:v>FV-0514</x:v>
      </x:c>
      <x:c r="C839" s="53" t="str">
        <x:v>Review &amp; decide — era not stated</x:v>
      </x:c>
      <x:c r="D839" s="53" t="str">
        <x:v>The Emperor Built The Empire | Chapter 2</x:v>
      </x:c>
      <x:c r="E839" s="53" t="str">
        <x:v>Chapter 2</x:v>
      </x:c>
      <x:c r="F839" s="53" t="str">
        <x:v>June 18, 2026</x:v>
      </x:c>
      <x:c r="G839" s="53" t="str">
        <x:v>Fan-made / non-canon</x:v>
      </x:c>
      <x:c r="H839" s="53" t="str">
        <x:v>Fan video</x:v>
      </x:c>
      <x:c r="I839" s="53" t="str">
        <x:v>YouTube — search by title</x:v>
      </x:c>
      <x:c r="J839" s="59" t="e">
        <x:f>HYPERLINK("https://www.youtube.com/results?search_query=The%20Emperor%20Built%20The%20Empire%20%7C%20Chapter%202","Search")</x:f>
        <x:v>HYPERLINK is not implemented. linkLocation=https://www.youtube.com/results?search_query=The%20Emperor%20Built%20The%20Empire%20%7C%20Chapter%202, friendlyName=Search</x:v>
      </x:c>
      <x:c r="K839" s="53" t="str">
        <x:v>Generic/original Jedi, Sith, creature, or Emperor story without a dependable era anchor.</x:v>
      </x:c>
      <x:c r="L839" s="76" t="str">
        <x:v>The Emperor Built The Empire</x:v>
      </x:c>
      <x:c r="M839" s="76" t="str">
        <x:v>The Emperor Built The Empire | Chapter 2</x:v>
      </x:c>
      <x:c r="N839" s="76" t="str">
        <x:v>Before the legendary battles and before the Jedi
challenged his rule, the Emperor spent years
building an empire that stretched across countless
worlds.
From ancient temples and forgotten star maps to
vast armies and towering fortress cities, his power
grew with every conquest. Yet even after ruling the
galaxy, the Emperor sought something more—an
ancient Force secret hidden beyond the known
worlds.
This is Chapter 2 of the Emperor's story.
™ Enjoyed this adventure? Visit @blainehenry593
for more Jedi battles, legendary duels, and
cinematic stories.</x:v>
      </x:c>
      <x:c r="O839" s="76" t="str">
        <x:v>Below timeline — era not stated</x:v>
      </x:c>
      <x:c r="P839" s="76" t="str">
        <x:v>IMG_6703.PNG</x:v>
      </x:c>
      <x:c r="Q839" s="76" t="str">
        <x:v>Needs review</x:v>
      </x:c>
      <x:c r="R839" s="76" t="str">
        <x:v>High</x:v>
      </x:c>
      <x:c r="S839" s="76" t="str">
        <x:v>Generic/original Jedi, Sith, creature, or Emperor story without a dependable era anchor.</x:v>
      </x:c>
      <x:c r="T839" s="76" t="str">
        <x:v>Unique</x:v>
      </x:c>
    </x:row>
    <x:row r="840" s="23" customFormat="1" ht="36" customHeight="1">
      <x:c r="A840" s="49" t="b">
        <x:v>0</x:v>
      </x:c>
      <x:c r="B840" s="56" t="str">
        <x:v>FV-0515</x:v>
      </x:c>
      <x:c r="C840" s="53" t="str">
        <x:v>Review &amp; decide — era not stated</x:v>
      </x:c>
      <x:c r="D840" s="53" t="str">
        <x:v>The Emperor Found The Forbidden Temple | Chapter 3</x:v>
      </x:c>
      <x:c r="E840" s="53" t="str">
        <x:v>Chapter 3</x:v>
      </x:c>
      <x:c r="F840" s="53" t="str">
        <x:v>June 18, 2026</x:v>
      </x:c>
      <x:c r="G840" s="53" t="str">
        <x:v>Fan-made / non-canon</x:v>
      </x:c>
      <x:c r="H840" s="53" t="str">
        <x:v>Fan video</x:v>
      </x:c>
      <x:c r="I840" s="53" t="str">
        <x:v>YouTube — search by title</x:v>
      </x:c>
      <x:c r="J840" s="59" t="e">
        <x:f>HYPERLINK("https://www.youtube.com/results?search_query=The%20Emperor%20Found%20The%20Forbidden%20Temple%20%7C%20Chapter%203","Search")</x:f>
        <x:v>HYPERLINK is not implemented. linkLocation=https://www.youtube.com/results?search_query=The%20Emperor%20Found%20The%20Forbidden%20Temple%20%7C%20Chapter%203, friendlyName=Search</x:v>
      </x:c>
      <x:c r="K840" s="53" t="str">
        <x:v>Generic/original Jedi, Sith, creature, or Emperor story without a dependable era anchor.</x:v>
      </x:c>
      <x:c r="L840" s="76" t="str">
        <x:v>The Emperor Found The Forbidden Temple</x:v>
      </x:c>
      <x:c r="M840" s="76" t="str">
        <x:v>The Emperor Found The Forbidden Temple | Chapter 3</x:v>
      </x:c>
      <x:c r="N840" s="76" t="str">
        <x:v>After building his empire and conquering countless
worlds, the Emperor continued his search for an
ancient power hidden beyond the known galaxy.
His journey led him to a forgotten temple buried
deep within a storm-covered mountain. What he
discovered inside would change the future of the
galaxy forever.
This is Chapter 3 of the Emperor's story.
Enjoyed this adventure? Visit @blainehenry593
for more Jedi battles, legendary duels, and
cinematic stories.
#Emperor #Chapter3 #ForbiddenTemple #Jedi
#SciFi #Fantasv #Empire #Cinematic #Storv</x:v>
      </x:c>
      <x:c r="O840" s="76" t="str">
        <x:v>Below timeline — era not stated</x:v>
      </x:c>
      <x:c r="P840" s="76" t="str">
        <x:v>IMG_6704.PNG</x:v>
      </x:c>
      <x:c r="Q840" s="76" t="str">
        <x:v>Needs review</x:v>
      </x:c>
      <x:c r="R840" s="76" t="str">
        <x:v>High</x:v>
      </x:c>
      <x:c r="S840" s="76" t="str">
        <x:v>Generic/original Jedi, Sith, creature, or Emperor story without a dependable era anchor.</x:v>
      </x:c>
      <x:c r="T840" s="76" t="str">
        <x:v>Unique</x:v>
      </x:c>
    </x:row>
    <x:row r="841" s="23" customFormat="1" ht="36" customHeight="1">
      <x:c r="A841" s="49" t="b">
        <x:v>0</x:v>
      </x:c>
      <x:c r="B841" s="56" t="str">
        <x:v>FV-0530</x:v>
      </x:c>
      <x:c r="C841" s="53" t="str">
        <x:v>Review &amp; decide — era not stated</x:v>
      </x:c>
      <x:c r="D841" s="53" t="str">
        <x:v>The Emperor Recognized Her Blades</x:v>
      </x:c>
      <x:c r="E841" s="53" t="str"/>
      <x:c r="F841" s="53" t="str">
        <x:v>June 20, 2026</x:v>
      </x:c>
      <x:c r="G841" s="53" t="str">
        <x:v>Fan-made / non-canon</x:v>
      </x:c>
      <x:c r="H841" s="53" t="str">
        <x:v>Fan video</x:v>
      </x:c>
      <x:c r="I841" s="53" t="str">
        <x:v>YouTube — search by title</x:v>
      </x:c>
      <x:c r="J841" s="59" t="e">
        <x:f>HYPERLINK("https://www.youtube.com/results?search_query=The%20Emperor%20Recognized%20Her%20Blades","Search")</x:f>
        <x:v>HYPERLINK is not implemented. linkLocation=https://www.youtube.com/results?search_query=The%20Emperor%20Recognized%20Her%20Blades, friendlyName=Search</x:v>
      </x:c>
      <x:c r="K841" s="53" t="str">
        <x:v>Generic/original Jedi, Sith, creature, or Emperor story without a dependable era anchor.</x:v>
      </x:c>
      <x:c r="L841" s="76" t="str"/>
      <x:c r="M841" s="76" t="str">
        <x:v>The Emperor Recognized Her Blades</x:v>
      </x:c>
      <x:c r="N841" s="76" t="str">
        <x:v>Long before the age of Jedi, before the rise of the
great kingdoms, and before the lightsaber became
known across the stars, ancient powers ruled the
world.
Among them was the Ancient Emperor, a dark ruler
feared by kings, warriors, and entire armies.
For centuries, none could challenge him.
Then a lone Huntress emerged from the forgotten
wilderness carrying twin blades forged in an age
lost to history.
The Emperor recognized the weapons immediately.
These were relics from a time older than his empire.</x:v>
      </x:c>
      <x:c r="O841" s="76" t="str">
        <x:v>Below timeline — era not stated</x:v>
      </x:c>
      <x:c r="P841" s="76" t="str">
        <x:v>IMG_6719.PNG</x:v>
      </x:c>
      <x:c r="Q841" s="76" t="str">
        <x:v>Needs review</x:v>
      </x:c>
      <x:c r="R841" s="76" t="str">
        <x:v>High</x:v>
      </x:c>
      <x:c r="S841" s="76" t="str">
        <x:v>Generic/original Jedi, Sith, creature, or Emperor story without a dependable era anchor.</x:v>
      </x:c>
      <x:c r="T841" s="76" t="str">
        <x:v>Unique</x:v>
      </x:c>
    </x:row>
    <x:row r="842" s="23" customFormat="1" ht="36" customHeight="1">
      <x:c r="A842" s="49" t="b">
        <x:v>0</x:v>
      </x:c>
      <x:c r="B842" s="56" t="str">
        <x:v>FV-0523</x:v>
      </x:c>
      <x:c r="C842" s="53" t="str">
        <x:v>Review &amp; decide — era not stated</x:v>
      </x:c>
      <x:c r="D842" s="53" t="str">
        <x:v>The Emperor Saw The Future | Part 4</x:v>
      </x:c>
      <x:c r="E842" s="53" t="str">
        <x:v>Part 4</x:v>
      </x:c>
      <x:c r="F842" s="53" t="str">
        <x:v>June 20, 2026</x:v>
      </x:c>
      <x:c r="G842" s="53" t="str">
        <x:v>Fan-made / non-canon</x:v>
      </x:c>
      <x:c r="H842" s="53" t="str">
        <x:v>Fan video</x:v>
      </x:c>
      <x:c r="I842" s="53" t="str">
        <x:v>YouTube — search by title</x:v>
      </x:c>
      <x:c r="J842" s="59" t="e">
        <x:f>HYPERLINK("https://www.youtube.com/results?search_query=The%20Emperor%20Saw%20The%20Future%20%7C%20Part%204","Search")</x:f>
        <x:v>HYPERLINK is not implemented. linkLocation=https://www.youtube.com/results?search_query=The%20Emperor%20Saw%20The%20Future%20%7C%20Part%204, friendlyName=Search</x:v>
      </x:c>
      <x:c r="K842" s="53" t="str">
        <x:v>Generic/original Jedi, Sith, creature, or Emperor story without a dependable era anchor.</x:v>
      </x:c>
      <x:c r="L842" s="76" t="str">
        <x:v>The Emperor Saw The Future</x:v>
      </x:c>
      <x:c r="M842" s="76" t="str">
        <x:v>The Emperor Saw The Future | Part 4</x:v>
      </x:c>
      <x:c r="N842" s="76" t="str">
        <x:v>feared ruler in the galaxy, the Emperor stood alone
atop an ancient mountain temple and looked
beyond the present.
He saw kingdoms rise.
He saw civilizations fall.
He saw wars that had not yet begun.
While others admired the beauty of the world before
them, the Emperor was already looking far beyond
the horizon.
Some called it vision.
Some called it destiny.</x:v>
      </x:c>
      <x:c r="O842" s="76" t="str">
        <x:v>Below timeline — era not stated</x:v>
      </x:c>
      <x:c r="P842" s="76" t="str">
        <x:v>IMG_6712.PNG</x:v>
      </x:c>
      <x:c r="Q842" s="76" t="str">
        <x:v>Needs review</x:v>
      </x:c>
      <x:c r="R842" s="76" t="str">
        <x:v>High</x:v>
      </x:c>
      <x:c r="S842" s="76" t="str">
        <x:v>Generic/original Jedi, Sith, creature, or Emperor story without a dependable era anchor.</x:v>
      </x:c>
      <x:c r="T842" s="76" t="str">
        <x:v>Unique</x:v>
      </x:c>
    </x:row>
    <x:row r="843" s="23" customFormat="1" ht="36" customHeight="1">
      <x:c r="A843" s="49" t="b">
        <x:v>0</x:v>
      </x:c>
      <x:c r="B843" s="56" t="str">
        <x:v>FV-0493</x:v>
      </x:c>
      <x:c r="C843" s="53" t="str">
        <x:v>Review &amp; decide — era not stated</x:v>
      </x:c>
      <x:c r="D843" s="53" t="str">
        <x:v>The Emperor Was Waiting</x:v>
      </x:c>
      <x:c r="E843" s="53" t="str"/>
      <x:c r="F843" s="53" t="str">
        <x:v>June 15, 2026</x:v>
      </x:c>
      <x:c r="G843" s="53" t="str">
        <x:v>Fan-made / non-canon</x:v>
      </x:c>
      <x:c r="H843" s="53" t="str">
        <x:v>Fan video</x:v>
      </x:c>
      <x:c r="I843" s="53" t="str">
        <x:v>YouTube — search by title</x:v>
      </x:c>
      <x:c r="J843" s="59" t="e">
        <x:f>HYPERLINK("https://www.youtube.com/results?search_query=The%20Emperor%20Was%20Waiting","Search")</x:f>
        <x:v>HYPERLINK is not implemented. linkLocation=https://www.youtube.com/results?search_query=The%20Emperor%20Was%20Waiting, friendlyName=Search</x:v>
      </x:c>
      <x:c r="K843" s="53" t="str">
        <x:v>Generic/original Jedi, Sith, creature, or Emperor story without a dependable era anchor.</x:v>
      </x:c>
      <x:c r="L843" s="76" t="str"/>
      <x:c r="M843" s="76" t="str">
        <x:v>The Emperor Was Waiting</x:v>
      </x:c>
      <x:c r="N843" s="76" t="str">
        <x:v>A lone Jedi enters an abandoned temple searching
for answers. Deep inside the ancient throne room,
he finds the Emperor sitting silently upon his throne.
Without a word, the Emperor raises his hand.
Massive chains hanging from the ceiling suddenly
come alive, crashing down through the chamber as
the Jedi is forced into a desperate fight for survival.
Ancient stone trembles, sparks fly, and the throne
room becomes a battlefield.
The Emperor never moved from his throne... until he
had to.
#Jedi #Emperor #LightsaberBattle
#StarWarsInspired #ForcePowers #CinematicShorts
#SCiFi</x:v>
      </x:c>
      <x:c r="O843" s="76" t="str">
        <x:v>Below timeline — era not stated</x:v>
      </x:c>
      <x:c r="P843" s="76" t="str">
        <x:v>IMG_6682.PNG</x:v>
      </x:c>
      <x:c r="Q843" s="76" t="str">
        <x:v>Needs review</x:v>
      </x:c>
      <x:c r="R843" s="76" t="str">
        <x:v>High</x:v>
      </x:c>
      <x:c r="S843" s="76" t="str">
        <x:v>Generic/original Jedi, Sith, creature, or Emperor story without a dependable era anchor.</x:v>
      </x:c>
      <x:c r="T843" s="76" t="str">
        <x:v>Unique</x:v>
      </x:c>
    </x:row>
    <x:row r="844" s="23" customFormat="1" ht="36" customHeight="1">
      <x:c r="A844" s="49" t="b">
        <x:v>0</x:v>
      </x:c>
      <x:c r="B844" s="56" t="str">
        <x:v>FV-0508</x:v>
      </x:c>
      <x:c r="C844" s="53" t="str">
        <x:v>Review &amp; decide — era not stated</x:v>
      </x:c>
      <x:c r="D844" s="53" t="str">
        <x:v>The Fallen Jedi Entered the Wrong Kingdom</x:v>
      </x:c>
      <x:c r="E844" s="53" t="str"/>
      <x:c r="F844" s="53" t="str">
        <x:v>June 17, 2026</x:v>
      </x:c>
      <x:c r="G844" s="53" t="str">
        <x:v>Fan-made / non-canon</x:v>
      </x:c>
      <x:c r="H844" s="53" t="str">
        <x:v>Fan video</x:v>
      </x:c>
      <x:c r="I844" s="53" t="str">
        <x:v>YouTube — search by title</x:v>
      </x:c>
      <x:c r="J844" s="59" t="e">
        <x:f>HYPERLINK("https://www.youtube.com/results?search_query=The%20Fallen%20Jedi%20Entered%20the%20Wrong%20Kingdom","Search")</x:f>
        <x:v>HYPERLINK is not implemented. linkLocation=https://www.youtube.com/results?search_query=The%20Fallen%20Jedi%20Entered%20the%20Wrong%20Kingdom, friendlyName=Search</x:v>
      </x:c>
      <x:c r="K844" s="53" t="str">
        <x:v>Generic/original Jedi, Sith, creature, or Emperor story without a dependable era anchor.</x:v>
      </x:c>
      <x:c r="L844" s="76" t="str"/>
      <x:c r="M844" s="76" t="str">
        <x:v>The Fallen Jedi Entered the Wrong Kingdom</x:v>
      </x:c>
      <x:c r="N844" s="76" t="str">
        <x:v>How this was made
Made with Al
Sounds or visuals were altered or fully generated. Learn
more</x:v>
      </x:c>
      <x:c r="O844" s="76" t="str">
        <x:v>Below timeline — era not stated</x:v>
      </x:c>
      <x:c r="P844" s="76" t="str">
        <x:v>IMG_6697.PNG</x:v>
      </x:c>
      <x:c r="Q844" s="76" t="str">
        <x:v>Needs review</x:v>
      </x:c>
      <x:c r="R844" s="76" t="str">
        <x:v>High</x:v>
      </x:c>
      <x:c r="S844" s="76" t="str">
        <x:v>Generic/original Jedi, Sith, creature, or Emperor story without a dependable era anchor.</x:v>
      </x:c>
      <x:c r="T844" s="76" t="str">
        <x:v>Unique</x:v>
      </x:c>
    </x:row>
    <x:row r="845" s="23" customFormat="1" ht="36" customHeight="1">
      <x:c r="A845" s="49" t="b">
        <x:v>0</x:v>
      </x:c>
      <x:c r="B845" s="56" t="str">
        <x:v>FV-0439</x:v>
      </x:c>
      <x:c r="C845" s="53" t="str">
        <x:v>Review &amp; decide — era not stated</x:v>
      </x:c>
      <x:c r="D845" s="53" t="str">
        <x:v>The Forest Beast Never Saw The Force Coming</x:v>
      </x:c>
      <x:c r="E845" s="53" t="str"/>
      <x:c r="F845" s="53" t="str">
        <x:v>June 10, 2026</x:v>
      </x:c>
      <x:c r="G845" s="53" t="str">
        <x:v>Fan-made / non-canon</x:v>
      </x:c>
      <x:c r="H845" s="53" t="str">
        <x:v>Fan video</x:v>
      </x:c>
      <x:c r="I845" s="53" t="str">
        <x:v>YouTube — search by title</x:v>
      </x:c>
      <x:c r="J845" s="59" t="e">
        <x:f>HYPERLINK("https://www.youtube.com/results?search_query=The%20Forest%20Beast%20Never%20Saw%20The%20Force%20Coming","Search")</x:f>
        <x:v>HYPERLINK is not implemented. linkLocation=https://www.youtube.com/results?search_query=The%20Forest%20Beast%20Never%20Saw%20The%20Force%20Coming, friendlyName=Search</x:v>
      </x:c>
      <x:c r="K845" s="53" t="str">
        <x:v>Generic/original Jedi, Sith, creature, or Emperor story without a dependable era anchor.</x:v>
      </x:c>
      <x:c r="L845" s="76" t="str"/>
      <x:c r="M845" s="76" t="str">
        <x:v>The Forest Beast Never Saw The Force Coming</x:v>
      </x:c>
      <x:c r="N845" s="76" t="str">
        <x:v>The forest beasts never saw the forest coming.
When a pack of savage creatures closes in, the Jedi
doesn't simply fight them—he turns the entire forest
into his weapon. Using the Force, he bends the
environment to his advantage, transforming trees,
roots, and the surrounding wilderness into an
unexpected defense.
In a Jedi’s hands, even the battlefield can fight
back.
This video is an original Al-assisted production
created, directed, and edited by Blaine Henry. The
concept, story, characters, scene direction, action
choreography, and creative decisions were
developed specifically for this channel. Al tools</x:v>
      </x:c>
      <x:c r="O845" s="76" t="str">
        <x:v>Below timeline — era not stated</x:v>
      </x:c>
      <x:c r="P845" s="76" t="str">
        <x:v>IMG_6625.PNG</x:v>
      </x:c>
      <x:c r="Q845" s="76" t="str">
        <x:v>Needs review</x:v>
      </x:c>
      <x:c r="R845" s="76" t="str">
        <x:v>High</x:v>
      </x:c>
      <x:c r="S845" s="76" t="str">
        <x:v>Generic/original Jedi, Sith, creature, or Emperor story without a dependable era anchor.</x:v>
      </x:c>
      <x:c r="T845" s="76" t="str">
        <x:v>Unique</x:v>
      </x:c>
    </x:row>
    <x:row r="846" s="23" customFormat="1" ht="36" customHeight="1">
      <x:c r="A846" s="49" t="b">
        <x:v>0</x:v>
      </x:c>
      <x:c r="B846" s="56" t="str">
        <x:v>FV-0421</x:v>
      </x:c>
      <x:c r="C846" s="53" t="str">
        <x:v>Review &amp; decide — era not stated</x:v>
      </x:c>
      <x:c r="D846" s="53" t="str">
        <x:v>The Hooded Jedi Took His Weapon... Then This Happened *</x:v>
      </x:c>
      <x:c r="E846" s="53" t="str"/>
      <x:c r="F846" s="53" t="str">
        <x:v>June 3, 2026</x:v>
      </x:c>
      <x:c r="G846" s="53" t="str">
        <x:v>Fan-made / non-canon</x:v>
      </x:c>
      <x:c r="H846" s="53" t="str">
        <x:v>Fan video</x:v>
      </x:c>
      <x:c r="I846" s="53" t="str">
        <x:v>YouTube — search by title</x:v>
      </x:c>
      <x:c r="J846" s="59" t="e">
        <x:f>HYPERLINK("https://www.youtube.com/results?search_query=The%20Hooded%20Jedi%20Took%20His%20Weapon...%20Then%20This%20Happened%20*","Search")</x:f>
        <x:v>HYPERLINK is not implemented. linkLocation=https://www.youtube.com/results?search_query=The%20Hooded%20Jedi%20Took%20His%20Weapon...%20Then%20This%20Happened%20*, friendlyName=Search</x:v>
      </x:c>
      <x:c r="K846" s="53" t="str">
        <x:v>Generic/original Jedi, Sith, creature, or Emperor story without a dependable era anchor.</x:v>
      </x:c>
      <x:c r="L846" s="76" t="str"/>
      <x:c r="M846" s="76" t="str">
        <x:v>The Hooded Jedi Took His Weapon... Then This Happened *</x:v>
      </x:c>
      <x:c r="N846" s="76" t="str">
        <x:v>A lone hooded Jedi faces a red-faced dark warrior
on a rain-soaked industrial rooftop.
After a brutal duel, the warrior loses his weapon.
What happens next changes the entire fight.
The fallen red lightsaber begins moving across the
rooftop on its own, racing through the rain toward
the Jedi. Moments later, the warrior finds himself
standing unarmed before an opponent holding both
blades.
Who wins this battle in your version?
#Jedi #VoidProtocol #LightsaberDuel #SciFi
#Fantasy #EpicBattle #Cinematic #ActionShorts
#TheForce #DarkWarrior #AIFiIIm #Movielrailer</x:v>
      </x:c>
      <x:c r="O846" s="76" t="str">
        <x:v>Below timeline — era not stated</x:v>
      </x:c>
      <x:c r="P846" s="76" t="str">
        <x:v>IMG_6607.PNG</x:v>
      </x:c>
      <x:c r="Q846" s="76" t="str">
        <x:v>Needs review</x:v>
      </x:c>
      <x:c r="R846" s="76" t="str">
        <x:v>High</x:v>
      </x:c>
      <x:c r="S846" s="76" t="str">
        <x:v>Generic/original Jedi, Sith, creature, or Emperor story without a dependable era anchor.</x:v>
      </x:c>
      <x:c r="T846" s="76" t="str">
        <x:v>Unique</x:v>
      </x:c>
    </x:row>
    <x:row r="847" s="23" customFormat="1" ht="36" customHeight="1">
      <x:c r="A847" s="49" t="b">
        <x:v>0</x:v>
      </x:c>
      <x:c r="B847" s="56" t="str">
        <x:v>FV-0464</x:v>
      </x:c>
      <x:c r="C847" s="53" t="str">
        <x:v>Review &amp; decide — era not stated</x:v>
      </x:c>
      <x:c r="D847" s="53" t="str">
        <x:v>The Jedi Entered the Crystal Caverns of Manaan @</x:v>
      </x:c>
      <x:c r="E847" s="53" t="str"/>
      <x:c r="F847" s="53" t="str">
        <x:v>June 13, 2026</x:v>
      </x:c>
      <x:c r="G847" s="53" t="str">
        <x:v>Fan-made / non-canon</x:v>
      </x:c>
      <x:c r="H847" s="53" t="str">
        <x:v>Fan video</x:v>
      </x:c>
      <x:c r="I847" s="53" t="str">
        <x:v>YouTube — search by title</x:v>
      </x:c>
      <x:c r="J847" s="59" t="e">
        <x:f>HYPERLINK("https://www.youtube.com/results?search_query=The%20Jedi%20Entered%20the%20Crystal%20Caverns%20of%20Manaan%20%40","Search")</x:f>
        <x:v>HYPERLINK is not implemented. linkLocation=https://www.youtube.com/results?search_query=The%20Jedi%20Entered%20the%20Crystal%20Caverns%20of%20Manaan%20%40, friendlyName=Search</x:v>
      </x:c>
      <x:c r="K847" s="53" t="str">
        <x:v>Generic/original Jedi, Sith, creature, or Emperor story without a dependable era anchor.</x:v>
      </x:c>
      <x:c r="L847" s="76" t="str"/>
      <x:c r="M847" s="76" t="str">
        <x:v>The Jedi Entered the Crystal Caverns of Manaan @</x:v>
      </x:c>
      <x:c r="N847" s="76" t="str">
        <x:v>Deep beneath the oceans of Manaan lies a
forgotten crystal cavern untouched for centuries.
When a lone Jedi ventures into its glowing depths,
an ancient crystal guardian awakens to defend the
secrets hidden within.
Will the Force be enough to survive the Crystal
Caverns of Manaan?
#StarWars #Jedi #Manaan #Lightsaber #SciFi
#Fantasy #ForceUser #Cinematic #EpicBattle
#VoidProtocol #Shorts #YouTubeShorts
How this was made</x:v>
      </x:c>
      <x:c r="O847" s="76" t="str">
        <x:v>Below timeline — era not stated</x:v>
      </x:c>
      <x:c r="P847" s="76" t="str">
        <x:v>IMG_6653.PNG</x:v>
      </x:c>
      <x:c r="Q847" s="76" t="str">
        <x:v>Needs review</x:v>
      </x:c>
      <x:c r="R847" s="76" t="str">
        <x:v>High</x:v>
      </x:c>
      <x:c r="S847" s="76" t="str">
        <x:v>Generic/original Jedi, Sith, creature, or Emperor story without a dependable era anchor.</x:v>
      </x:c>
      <x:c r="T847" s="76" t="str">
        <x:v>Unique</x:v>
      </x:c>
    </x:row>
    <x:row r="848" s="23" customFormat="1" ht="36" customHeight="1">
      <x:c r="A848" s="49" t="b">
        <x:v>0</x:v>
      </x:c>
      <x:c r="B848" s="56" t="str">
        <x:v>FV-0473</x:v>
      </x:c>
      <x:c r="C848" s="53" t="str">
        <x:v>Review &amp; decide — era not stated</x:v>
      </x:c>
      <x:c r="D848" s="53" t="str">
        <x:v>The Jedi Entered the Forbidden Kingdom</x:v>
      </x:c>
      <x:c r="E848" s="53" t="str"/>
      <x:c r="F848" s="53" t="str">
        <x:v>June 14, 2026</x:v>
      </x:c>
      <x:c r="G848" s="53" t="str">
        <x:v>Fan-made / non-canon</x:v>
      </x:c>
      <x:c r="H848" s="53" t="str">
        <x:v>Fan video</x:v>
      </x:c>
      <x:c r="I848" s="53" t="str">
        <x:v>YouTube — search by title</x:v>
      </x:c>
      <x:c r="J848" s="59" t="e">
        <x:f>HYPERLINK("https://www.youtube.com/results?search_query=The%20Jedi%20Entered%20the%20Forbidden%20Kingdom","Search")</x:f>
        <x:v>HYPERLINK is not implemented. linkLocation=https://www.youtube.com/results?search_query=The%20Jedi%20Entered%20the%20Forbidden%20Kingdom, friendlyName=Search</x:v>
      </x:c>
      <x:c r="K848" s="53" t="str">
        <x:v>Generic/original Jedi, Sith, creature, or Emperor story without a dependable era anchor.</x:v>
      </x:c>
      <x:c r="L848" s="76" t="str"/>
      <x:c r="M848" s="76" t="str">
        <x:v>The Jedi Entered the Forbidden Kingdom</x:v>
      </x:c>
      <x:c r="N848" s="76" t="str">
        <x:v>Beyond the mountains stood a kingdom forgotten
by time. No maps marked its location. No traveler
returned from its gates. When a lone Jedi crossed
into the Forbidden Kingdom, he discovered ancient
secrets, powerful guardians, and a world that
should have remained lost forever.
® Legendary Jedi
ff Forbidden Kingdom
4 Ancient Mysteries
(@ Cinematic Adventure
#JediUnleashed #ForbiddenKingdom
#LegendaryJedi #LostWorld #AncientKingdom
#PurpleLightsaber #SciFiFantasy #EpicAdventure
#Shorts #CinematicUniverse</x:v>
      </x:c>
      <x:c r="O848" s="76" t="str">
        <x:v>Below timeline — era not stated</x:v>
      </x:c>
      <x:c r="P848" s="76" t="str">
        <x:v>IMG_6662.PNG</x:v>
      </x:c>
      <x:c r="Q848" s="76" t="str">
        <x:v>Needs review</x:v>
      </x:c>
      <x:c r="R848" s="76" t="str">
        <x:v>High</x:v>
      </x:c>
      <x:c r="S848" s="76" t="str">
        <x:v>Generic/original Jedi, Sith, creature, or Emperor story without a dependable era anchor.</x:v>
      </x:c>
      <x:c r="T848" s="76" t="str">
        <x:v>Unique</x:v>
      </x:c>
    </x:row>
    <x:row r="849" s="23" customFormat="1" ht="36" customHeight="1">
      <x:c r="A849" s="49" t="b">
        <x:v>0</x:v>
      </x:c>
      <x:c r="B849" s="56" t="str">
        <x:v>FV-0419</x:v>
      </x:c>
      <x:c r="C849" s="53" t="str">
        <x:v>Review &amp; decide — era not stated</x:v>
      </x:c>
      <x:c r="D849" s="53" t="str">
        <x:v>The Jedi Entered the Forgotten Fortress</x:v>
      </x:c>
      <x:c r="E849" s="53" t="str"/>
      <x:c r="F849" s="53" t="str">
        <x:v>June 2, 2026</x:v>
      </x:c>
      <x:c r="G849" s="53" t="str">
        <x:v>Fan-made / non-canon</x:v>
      </x:c>
      <x:c r="H849" s="53" t="str">
        <x:v>Fan video</x:v>
      </x:c>
      <x:c r="I849" s="53" t="str">
        <x:v>YouTube — search by title</x:v>
      </x:c>
      <x:c r="J849" s="59" t="e">
        <x:f>HYPERLINK("https://www.youtube.com/results?search_query=The%20Jedi%20Entered%20the%20Forgotten%20Fortress","Search")</x:f>
        <x:v>HYPERLINK is not implemented. linkLocation=https://www.youtube.com/results?search_query=The%20Jedi%20Entered%20the%20Forgotten%20Fortress, friendlyName=Search</x:v>
      </x:c>
      <x:c r="K849" s="53" t="str">
        <x:v>Generic/original Jedi, Sith, creature, or Emperor story without a dependable era anchor.</x:v>
      </x:c>
      <x:c r="L849" s="76" t="str"/>
      <x:c r="M849" s="76" t="str">
        <x:v>The Jedi Entered the Forgotten Fortress</x:v>
      </x:c>
      <x:c r="N849" s="76"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
Sounds or visuals were altered or fully generated. Learn</x:v>
      </x:c>
      <x:c r="O849" s="76" t="str">
        <x:v>Below timeline — era not stated</x:v>
      </x:c>
      <x:c r="P849" s="76" t="str">
        <x:v>IMG_6605.PNG</x:v>
      </x:c>
      <x:c r="Q849" s="76" t="str">
        <x:v>Needs review</x:v>
      </x:c>
      <x:c r="R849" s="76" t="str">
        <x:v>High</x:v>
      </x:c>
      <x:c r="S849" s="76" t="str">
        <x:v>Generic/original Jedi, Sith, creature, or Emperor story without a dependable era anchor.</x:v>
      </x:c>
      <x:c r="T849" s="76" t="str">
        <x:v>Unique</x:v>
      </x:c>
    </x:row>
    <x:row r="850" s="23" customFormat="1" ht="36" customHeight="1">
      <x:c r="A850" s="49" t="b">
        <x:v>0</x:v>
      </x:c>
      <x:c r="B850" s="56" t="str">
        <x:v>FV-0492</x:v>
      </x:c>
      <x:c r="C850" s="53" t="str">
        <x:v>Review &amp; decide — era not stated</x:v>
      </x:c>
      <x:c r="D850" s="53" t="str">
        <x:v>The Jedi Entered the Wrong Chamber</x:v>
      </x:c>
      <x:c r="E850" s="53" t="str"/>
      <x:c r="F850" s="53" t="str">
        <x:v>June 15, 2026</x:v>
      </x:c>
      <x:c r="G850" s="53" t="str">
        <x:v>Fan-made / non-canon</x:v>
      </x:c>
      <x:c r="H850" s="53" t="str">
        <x:v>Fan video</x:v>
      </x:c>
      <x:c r="I850" s="53" t="str">
        <x:v>YouTube — search by title</x:v>
      </x:c>
      <x:c r="J850" s="59" t="e">
        <x:f>HYPERLINK("https://www.youtube.com/results?search_query=The%20Jedi%20Entered%20the%20Wrong%20Chamber","Search")</x:f>
        <x:v>HYPERLINK is not implemented. linkLocation=https://www.youtube.com/results?search_query=The%20Jedi%20Entered%20the%20Wrong%20Chamber, friendlyName=Search</x:v>
      </x:c>
      <x:c r="K850" s="53" t="str">
        <x:v>Generic/original Jedi, Sith, creature, or Emperor story without a dependable era anchor.</x:v>
      </x:c>
      <x:c r="L850" s="76" t="str"/>
      <x:c r="M850" s="76" t="str">
        <x:v>The Jedi Entered the Wrong Chamber</x:v>
      </x:c>
      <x:c r="N850" s="76" t="str">
        <x:v>Deep beneath an ancient fortress, a lone Jedi enters
a forgotten chamber filled with dark, still water.
What seems abandoned suddenly comes alive when
a massive mechanical guardian rises from the
depths and attacks.
Armed only with his lightsaber and the Force, the
Jedi must survive against an ancient machine built
to destroy intruders.
Will the guardian claim another victim, or did it
choose the wrong Jedi?
™ #Jedi #Lightsaber #SciFi #AncientGuardian
#MechanicalBeast #ForcePowers #CinematicBattle
#Shorts
Enjoyed this adventure? Visit @blainehenry593</x:v>
      </x:c>
      <x:c r="O850" s="76" t="str">
        <x:v>Below timeline — era not stated</x:v>
      </x:c>
      <x:c r="P850" s="76" t="str">
        <x:v>IMG_6681.PNG</x:v>
      </x:c>
      <x:c r="Q850" s="76" t="str">
        <x:v>Needs review</x:v>
      </x:c>
      <x:c r="R850" s="76" t="str">
        <x:v>High</x:v>
      </x:c>
      <x:c r="S850" s="76" t="str">
        <x:v>Generic/original Jedi, Sith, creature, or Emperor story without a dependable era anchor.</x:v>
      </x:c>
      <x:c r="T850" s="76" t="str">
        <x:v>Unique</x:v>
      </x:c>
    </x:row>
    <x:row r="851" s="23" customFormat="1" ht="36" customHeight="1">
      <x:c r="A851" s="49" t="b">
        <x:v>0</x:v>
      </x:c>
      <x:c r="B851" s="56" t="str">
        <x:v>FV-0480</x:v>
      </x:c>
      <x:c r="C851" s="53" t="str">
        <x:v>Review &amp; decide — era not stated</x:v>
      </x:c>
      <x:c r="D851" s="53" t="str">
        <x:v>The Jedi Entered the Wrong Kingdom</x:v>
      </x:c>
      <x:c r="E851" s="53" t="str"/>
      <x:c r="F851" s="53" t="str">
        <x:v>June 14, 2026</x:v>
      </x:c>
      <x:c r="G851" s="53" t="str">
        <x:v>Fan-made / non-canon</x:v>
      </x:c>
      <x:c r="H851" s="53" t="str">
        <x:v>Fan video</x:v>
      </x:c>
      <x:c r="I851" s="53" t="str">
        <x:v>YouTube — search by title</x:v>
      </x:c>
      <x:c r="J851" s="59" t="e">
        <x:f>HYPERLINK("https://www.youtube.com/results?search_query=The%20Jedi%20Entered%20the%20Wrong%20Kingdom","Search")</x:f>
        <x:v>HYPERLINK is not implemented. linkLocation=https://www.youtube.com/results?search_query=The%20Jedi%20Entered%20the%20Wrong%20Kingdom, friendlyName=Search</x:v>
      </x:c>
      <x:c r="K851" s="53" t="str">
        <x:v>Generic/original Jedi, Sith, creature, or Emperor story without a dependable era anchor.</x:v>
      </x:c>
      <x:c r="L851" s="76" t="str"/>
      <x:c r="M851" s="76" t="str">
        <x:v>The Jedi Entered the Wrong Kingdom</x:v>
      </x:c>
      <x:c r="N851" s="76" t="str">
        <x:v>A lone Jedi enters the ruins of an ancient kingdom
and discovers he is not alone. As an armored dark
warrior emerges from the shadows, something far
larger watches from the distant fog.
Some kingdoms should remain forgotten.
™ Follow for more legendary Jedi adventures,
ancient kingdoms, and cinematic battles.
#Jedi #WrongKingdom #Lightsaber #EpicBattle
#AncientKingdom #Fantasy #SciFi #Cinematic
#Shorts #MayTheForceBeWithYou
How this was made</x:v>
      </x:c>
      <x:c r="O851" s="76" t="str">
        <x:v>Below timeline — era not stated</x:v>
      </x:c>
      <x:c r="P851" s="76" t="str">
        <x:v>IMG_6669.PNG</x:v>
      </x:c>
      <x:c r="Q851" s="76" t="str">
        <x:v>Needs review</x:v>
      </x:c>
      <x:c r="R851" s="76" t="str">
        <x:v>High</x:v>
      </x:c>
      <x:c r="S851" s="76" t="str">
        <x:v>Generic/original Jedi, Sith, creature, or Emperor story without a dependable era anchor.</x:v>
      </x:c>
      <x:c r="T851" s="76" t="str">
        <x:v>Unique</x:v>
      </x:c>
    </x:row>
    <x:row r="852" s="23" customFormat="1" ht="36" customHeight="1">
      <x:c r="A852" s="49" t="b">
        <x:v>0</x:v>
      </x:c>
      <x:c r="B852" s="56" t="str">
        <x:v>FV-0495</x:v>
      </x:c>
      <x:c r="C852" s="53" t="str">
        <x:v>Review &amp; decide — era not stated</x:v>
      </x:c>
      <x:c r="D852" s="53" t="str">
        <x:v>The Jedi Entered the Wrong Kingdom</x:v>
      </x:c>
      <x:c r="E852" s="53" t="str"/>
      <x:c r="F852" s="53" t="str">
        <x:v>June 15, 2026</x:v>
      </x:c>
      <x:c r="G852" s="53" t="str">
        <x:v>Fan-made / non-canon</x:v>
      </x:c>
      <x:c r="H852" s="53" t="str">
        <x:v>Fan video</x:v>
      </x:c>
      <x:c r="I852" s="53" t="str">
        <x:v>YouTube — search by title</x:v>
      </x:c>
      <x:c r="J852" s="59" t="e">
        <x:f>HYPERLINK("https://www.youtube.com/results?search_query=The%20Jedi%20Entered%20the%20Wrong%20Kingdom","Search")</x:f>
        <x:v>HYPERLINK is not implemented. linkLocation=https://www.youtube.com/results?search_query=The%20Jedi%20Entered%20the%20Wrong%20Kingdom, friendlyName=Search</x:v>
      </x:c>
      <x:c r="K852" s="53" t="str">
        <x:v>Generic/original Jedi, Sith, creature, or Emperor story without a dependable era anchor.</x:v>
      </x:c>
      <x:c r="L852" s="76" t="str"/>
      <x:c r="M852" s="76" t="str">
        <x:v>The Jedi Entered the Wrong Kingdom</x:v>
      </x:c>
      <x:c r="N852" s="76" t="str">
        <x:v>A lone Jedi follows an ancient path into a forgotten
kingdom hidden beyond the mountains.
Massive stone statues watch over crumbling
temples, while something powerful lurks beneath
the ruins. Moments after entering, the Jedi realizes
this world was abandoned for a reason.
Ancient kingdoms. Hidden dangers. One warrior
against the unknown.
Will he survive after entering the wrong kingdom?
© ORIGINAL Al CINEMATIC CREATION
This video was created specifically for Unleashed
from an original story concept and creative
direction. | develop the story and prompts, generate</x:v>
      </x:c>
      <x:c r="O852" s="76" t="str">
        <x:v>Below timeline — era not stated</x:v>
      </x:c>
      <x:c r="P852" s="76" t="str">
        <x:v>IMG_6684.PNG</x:v>
      </x:c>
      <x:c r="Q852" s="76" t="str">
        <x:v>Needs review</x:v>
      </x:c>
      <x:c r="R852" s="76" t="str">
        <x:v>High</x:v>
      </x:c>
      <x:c r="S852" s="76" t="str">
        <x:v>Shares a title and publication date with another screenshot, but description differs | Generic/original Jedi, Sith, creature, or Emperor story without a dependable era anchor.</x:v>
      </x:c>
      <x:c r="T852" s="76" t="str">
        <x:v>Possible duplicate title/date — retained as separate video — POSS-DUP-002</x:v>
      </x:c>
    </x:row>
    <x:row r="853" s="23" customFormat="1" ht="36" customHeight="1">
      <x:c r="A853" s="49" t="b">
        <x:v>0</x:v>
      </x:c>
      <x:c r="B853" s="56" t="str">
        <x:v>FV-0497</x:v>
      </x:c>
      <x:c r="C853" s="53" t="str">
        <x:v>Review &amp; decide — era not stated</x:v>
      </x:c>
      <x:c r="D853" s="53" t="str">
        <x:v>The Jedi Entered the Wrong Kingdom</x:v>
      </x:c>
      <x:c r="E853" s="53" t="str"/>
      <x:c r="F853" s="53" t="str">
        <x:v>June 15, 2026</x:v>
      </x:c>
      <x:c r="G853" s="53" t="str">
        <x:v>Fan-made / non-canon</x:v>
      </x:c>
      <x:c r="H853" s="53" t="str">
        <x:v>Fan video</x:v>
      </x:c>
      <x:c r="I853" s="53" t="str">
        <x:v>YouTube — search by title</x:v>
      </x:c>
      <x:c r="J853" s="59" t="e">
        <x:f>HYPERLINK("https://www.youtube.com/results?search_query=The%20Jedi%20Entered%20the%20Wrong%20Kingdom","Search")</x:f>
        <x:v>HYPERLINK is not implemented. linkLocation=https://www.youtube.com/results?search_query=The%20Jedi%20Entered%20the%20Wrong%20Kingdom, friendlyName=Search</x:v>
      </x:c>
      <x:c r="K853" s="53" t="str">
        <x:v>Generic/original Jedi, Sith, creature, or Emperor story without a dependable era anchor.</x:v>
      </x:c>
      <x:c r="L853" s="76" t="str"/>
      <x:c r="M853" s="76" t="str">
        <x:v>The Jedi Entered the Wrong Kingdom</x:v>
      </x:c>
      <x:c r="N853" s="76" t="str">
        <x:v>lone Jedi follows an ancient path into a forgotten
kingdom hidden beyond the mountains. What
begins as a simple journey quickly turns into a fight
for survival when a powerful enemy reveals itself
among the ruins.
Massive stone statues. Endless fog. Ancient secrets
buried beneath a fallen civilization.
The Jedi has entered the wrong kingdom.
% One kingdom. One hunter. One unforgettable
duel.
Will the Jedi escape, or become another legend lost
to the ruins?
™ Enjoyed this adventure? Visit @blainehenry593</x:v>
      </x:c>
      <x:c r="O853" s="76" t="str">
        <x:v>Below timeline — era not stated</x:v>
      </x:c>
      <x:c r="P853" s="76" t="str">
        <x:v>IMG_6686.PNG</x:v>
      </x:c>
      <x:c r="Q853" s="76" t="str">
        <x:v>Needs review</x:v>
      </x:c>
      <x:c r="R853" s="76" t="str">
        <x:v>High</x:v>
      </x:c>
      <x:c r="S853" s="76" t="str">
        <x:v>Shares a title and publication date with another screenshot, but description differs | Generic/original Jedi, Sith, creature, or Emperor story without a dependable era anchor.</x:v>
      </x:c>
      <x:c r="T853" s="76" t="str">
        <x:v>Possible duplicate title/date — retained as separate video — POSS-DUP-002</x:v>
      </x:c>
    </x:row>
    <x:row r="854" s="23" customFormat="1" ht="36" customHeight="1">
      <x:c r="A854" s="49" t="b">
        <x:v>0</x:v>
      </x:c>
      <x:c r="B854" s="56" t="str">
        <x:v>FV-0430</x:v>
      </x:c>
      <x:c r="C854" s="53" t="str">
        <x:v>Review &amp; decide — era not stated</x:v>
      </x:c>
      <x:c r="D854" s="53" t="str">
        <x:v>The Jedi Entered the Wrong World... Again</x:v>
      </x:c>
      <x:c r="E854" s="53" t="str"/>
      <x:c r="F854" s="53" t="str">
        <x:v>June 7, 2026</x:v>
      </x:c>
      <x:c r="G854" s="53" t="str">
        <x:v>Fan-made / non-canon</x:v>
      </x:c>
      <x:c r="H854" s="53" t="str">
        <x:v>Fan video</x:v>
      </x:c>
      <x:c r="I854" s="53" t="str">
        <x:v>YouTube — search by title</x:v>
      </x:c>
      <x:c r="J854" s="59" t="e">
        <x:f>HYPERLINK("https://www.youtube.com/results?search_query=The%20Jedi%20Entered%20the%20Wrong%20World...%20Again","Search")</x:f>
        <x:v>HYPERLINK is not implemented. linkLocation=https://www.youtube.com/results?search_query=The%20Jedi%20Entered%20the%20Wrong%20World...%20Again, friendlyName=Search</x:v>
      </x:c>
      <x:c r="K854" s="53" t="str">
        <x:v>Generic/original Jedi, Sith, creature, or Emperor story without a dependable era anchor.</x:v>
      </x:c>
      <x:c r="L854" s="76" t="str"/>
      <x:c r="M854" s="76" t="str">
        <x:v>The Jedi Entered the Wrong World... Again</x:v>
      </x:c>
      <x:c r="N854" s="76" t="str">
        <x:v>A lone Jedi steps into a dark alien world and quickly
realizes he is not the hunter anymore. Deep inside
an abandoned corridor, something is watching...
learning... adapting. Every move he makes only
makes the nightmare stronger.
Will the Force be enough to survive this world?
#StarWarsinspired #Jedi #SciFi #AlienWorld
#SpaceHorror #Xenomorph #VoidProtocol
#Cinematic #EpicBattle #SciFiShorts #Unleashed
#DarkFantasy #SpaceAdventure #ShortFilm
Clickbait Version
The Jedi Should Have Turned Back...
A mysterious distress signal led this Jedi to a world</x:v>
      </x:c>
      <x:c r="O854" s="76" t="str">
        <x:v>Below timeline — era not stated</x:v>
      </x:c>
      <x:c r="P854" s="76" t="str">
        <x:v>IMG_6616.PNG</x:v>
      </x:c>
      <x:c r="Q854" s="76" t="str">
        <x:v>Needs review</x:v>
      </x:c>
      <x:c r="R854" s="76" t="str">
        <x:v>High</x:v>
      </x:c>
      <x:c r="S854" s="76" t="str">
        <x:v>Shares a title and publication date with another screenshot, but description differs | Generic/original Jedi, Sith, creature, or Emperor story without a dependable era anchor.</x:v>
      </x:c>
      <x:c r="T854" s="76" t="str">
        <x:v>Possible duplicate title/date — retained as separate video — POSS-DUP-001</x:v>
      </x:c>
    </x:row>
    <x:row r="855" s="23" customFormat="1" ht="36" customHeight="1">
      <x:c r="A855" s="49" t="b">
        <x:v>0</x:v>
      </x:c>
      <x:c r="B855" s="56" t="str">
        <x:v>FV-0452</x:v>
      </x:c>
      <x:c r="C855" s="53" t="str">
        <x:v>Review &amp; decide — era not stated</x:v>
      </x:c>
      <x:c r="D855" s="53" t="str">
        <x:v>The Jedi Faced a Dark Jedi</x:v>
      </x:c>
      <x:c r="E855" s="53" t="str"/>
      <x:c r="F855" s="53" t="str">
        <x:v>June 12, 2026</x:v>
      </x:c>
      <x:c r="G855" s="53" t="str">
        <x:v>Fan-made / non-canon</x:v>
      </x:c>
      <x:c r="H855" s="53" t="str">
        <x:v>Fan video</x:v>
      </x:c>
      <x:c r="I855" s="53" t="str">
        <x:v>YouTube — search by title</x:v>
      </x:c>
      <x:c r="J855" s="59" t="e">
        <x:f>HYPERLINK("https://www.youtube.com/results?search_query=The%20Jedi%20Faced%20a%20Dark%20Jedi","Search")</x:f>
        <x:v>HYPERLINK is not implemented. linkLocation=https://www.youtube.com/results?search_query=The%20Jedi%20Faced%20a%20Dark%20Jedi, friendlyName=Search</x:v>
      </x:c>
      <x:c r="K855" s="53" t="str">
        <x:v>Generic/original Jedi, Sith, creature, or Emperor story without a dependable era anchor.</x:v>
      </x:c>
      <x:c r="L855" s="76" t="str"/>
      <x:c r="M855" s="76" t="str">
        <x:v>The Jedi Faced a Dark Jedi</x:v>
      </x:c>
      <x:c r="N855" s="76" t="str">
        <x:v>Deep within a forgotten kingdom, a Jedi encounters
an enemy unlike any beast or warrior he has faced
before—a fallen Jedi consumed by darkness. What
follows is a brutal lightsaber duel that shakes the
ancient ruins themselves. In the end, only one walks
away... but the story isn’t over.
#Jedi #DarkJedi #LightsaberDuel #SciFi #Fantasy
#StarWarsInspired #Shorts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x:v>
      </x:c>
      <x:c r="O855" s="76" t="str">
        <x:v>Below timeline — era not stated</x:v>
      </x:c>
      <x:c r="P855" s="76" t="str">
        <x:v>IMG_6638.PNG</x:v>
      </x:c>
      <x:c r="Q855" s="76" t="str">
        <x:v>Needs review</x:v>
      </x:c>
      <x:c r="R855" s="76" t="str">
        <x:v>High</x:v>
      </x:c>
      <x:c r="S855" s="76" t="str">
        <x:v>Generic/original Jedi, Sith, creature, or Emperor story without a dependable era anchor.</x:v>
      </x:c>
      <x:c r="T855" s="76" t="str">
        <x:v>Unique</x:v>
      </x:c>
    </x:row>
    <x:row r="856" s="23" customFormat="1" ht="36" customHeight="1">
      <x:c r="A856" s="49" t="b">
        <x:v>0</x:v>
      </x:c>
      <x:c r="B856" s="56" t="str">
        <x:v>FV-0409</x:v>
      </x:c>
      <x:c r="C856" s="53" t="str">
        <x:v>Review &amp; decide — era not stated</x:v>
      </x:c>
      <x:c r="D856" s="53" t="str">
        <x:v>The Jedi Intered The Wrong World</x:v>
      </x:c>
      <x:c r="E856" s="53" t="str"/>
      <x:c r="F856" s="53" t="str">
        <x:v>May 24, 2026</x:v>
      </x:c>
      <x:c r="G856" s="53" t="str">
        <x:v>Fan-made / non-canon</x:v>
      </x:c>
      <x:c r="H856" s="53" t="str">
        <x:v>Fan video</x:v>
      </x:c>
      <x:c r="I856" s="53" t="str">
        <x:v>YouTube — search by title</x:v>
      </x:c>
      <x:c r="J856" s="59" t="e">
        <x:f>HYPERLINK("https://www.youtube.com/results?search_query=The%20Jedi%20Intered%20The%20Wrong%20World","Search")</x:f>
        <x:v>HYPERLINK is not implemented. linkLocation=https://www.youtube.com/results?search_query=The%20Jedi%20Intered%20The%20Wrong%20World, friendlyName=Search</x:v>
      </x:c>
      <x:c r="K856" s="53" t="str">
        <x:v>Generic/original Jedi, Sith, creature, or Emperor story without a dependable era anchor.</x:v>
      </x:c>
      <x:c r="L856" s="76" t="str"/>
      <x:c r="M856" s="76" t="str">
        <x:v>The Jedi Intered The Wrong World</x:v>
      </x:c>
      <x:c r="N856" s="76" t="str">
        <x:v>A lone Jedi entered an ancient kingdom hidden
beyond the mountains... but something was waiting
in the fog.
The creatures here don’t fear the Force. They hunt
it.
Hyper-real dark fantasy combat, cinematic
atmosphere, ancient ruins, brutal lightsaber action,
and a kingdom no Jedi was meant to survive.
Would you enter the Forbidden Kingdom? é
#StarWarsinspired #Jedi #DarkFantasy #Cinematic
#Lightsaber #SciFi #FantasyWorld #VoidProtocol
#EpicBattle #MovieScene #Alcinema #UnrealEngine
#ViralShorts #ForYou #FYP</x:v>
      </x:c>
      <x:c r="O856" s="76" t="str">
        <x:v>Below timeline — era not stated</x:v>
      </x:c>
      <x:c r="P856" s="76" t="str">
        <x:v>IMG_6595.PNG</x:v>
      </x:c>
      <x:c r="Q856" s="76" t="str">
        <x:v>Needs review</x:v>
      </x:c>
      <x:c r="R856" s="76" t="str">
        <x:v>High</x:v>
      </x:c>
      <x:c r="S856" s="76" t="str">
        <x:v>Generic/original Jedi, Sith, creature, or Emperor story without a dependable era anchor.</x:v>
      </x:c>
      <x:c r="T856" s="76" t="str">
        <x:v>Unique</x:v>
      </x:c>
    </x:row>
    <x:row r="857" s="23" customFormat="1" ht="36" customHeight="1">
      <x:c r="A857" s="49" t="b">
        <x:v>0</x:v>
      </x:c>
      <x:c r="B857" s="56" t="str">
        <x:v>FV-0435</x:v>
      </x:c>
      <x:c r="C857" s="53" t="str">
        <x:v>Review &amp; decide — era not stated</x:v>
      </x:c>
      <x:c r="D857" s="53" t="str">
        <x:v>The Jedi Opened the Ancient Sith Tomb... Big Mistake</x:v>
      </x:c>
      <x:c r="E857" s="53" t="str"/>
      <x:c r="F857" s="53" t="str">
        <x:v>June 9, 2026</x:v>
      </x:c>
      <x:c r="G857" s="53" t="str">
        <x:v>Fan-made / non-canon</x:v>
      </x:c>
      <x:c r="H857" s="53" t="str">
        <x:v>Fan video</x:v>
      </x:c>
      <x:c r="I857" s="53" t="str">
        <x:v>YouTube — search by title</x:v>
      </x:c>
      <x:c r="J857" s="59" t="e">
        <x:f>HYPERLINK("https://www.youtube.com/results?search_query=The%20Jedi%20Opened%20the%20Ancient%20Sith%20Tomb...%20Big%20Mistake","Search")</x:f>
        <x:v>HYPERLINK is not implemented. linkLocation=https://www.youtube.com/results?search_query=The%20Jedi%20Opened%20the%20Ancient%20Sith%20Tomb...%20Big%20Mistake, friendlyName=Search</x:v>
      </x:c>
      <x:c r="K857" s="53" t="str">
        <x:v>Generic/original Jedi, Sith, creature, or Emperor story without a dependable era anchor.</x:v>
      </x:c>
      <x:c r="L857" s="76" t="str"/>
      <x:c r="M857" s="76" t="str">
        <x:v>The Jedi Opened the Ancient Sith Tomb... Big Mistake</x:v>
      </x:c>
      <x:c r="N857" s="76" t="str">
        <x:v>Deep beneath a forgotten world, a lone Jedi
discovers an ancient Sith tomb sealed for centuries.
When the chamber is opened, a powerful Sith Lord
awakens and ignites a crimson lightsaber. What
follows is a fierce duel between light and dark in the
heart of a lost temple.
Will the Jedi survive the encounter, or should some
secrets remain buried forever?
#StarWarsInspired #Jedi #Sith #LightsaberDuel
#AncientSith #DarkSide #SciFiShorts #EpicBattle
#Fantasy #VoidProtocol #Shorts
This video is an original Al-assisted production
created, directed, and edited by Blaine Henry. The
conceot. storv. characters. scene direction. action</x:v>
      </x:c>
      <x:c r="O857" s="76" t="str">
        <x:v>Below timeline — era not stated</x:v>
      </x:c>
      <x:c r="P857" s="76" t="str">
        <x:v>IMG_6621.PNG</x:v>
      </x:c>
      <x:c r="Q857" s="76" t="str">
        <x:v>Needs review</x:v>
      </x:c>
      <x:c r="R857" s="76" t="str">
        <x:v>High</x:v>
      </x:c>
      <x:c r="S857" s="76" t="str">
        <x:v>Generic/original Jedi, Sith, creature, or Emperor story without a dependable era anchor.</x:v>
      </x:c>
      <x:c r="T857" s="76" t="str">
        <x:v>Unique</x:v>
      </x:c>
    </x:row>
    <x:row r="858" s="23" customFormat="1" ht="36" customHeight="1">
      <x:c r="A858" s="49" t="b">
        <x:v>0</x:v>
      </x:c>
      <x:c r="B858" s="56" t="str">
        <x:v>FV-0371</x:v>
      </x:c>
      <x:c r="C858" s="53" t="str">
        <x:v>Review &amp; decide — era not stated</x:v>
      </x:c>
      <x:c r="D858" s="53" t="str">
        <x:v>The Jedi Trials — Not Every Padawan Makes It Through &amp;</x:v>
      </x:c>
      <x:c r="E858" s="53" t="str"/>
      <x:c r="F858" s="53" t="str">
        <x:v>August 25, 2026</x:v>
      </x:c>
      <x:c r="G858" s="53" t="str">
        <x:v>Fan-made / non-canon</x:v>
      </x:c>
      <x:c r="H858" s="53" t="str">
        <x:v>Fan video</x:v>
      </x:c>
      <x:c r="I858" s="53" t="str">
        <x:v>YouTube — search by title</x:v>
      </x:c>
      <x:c r="J858" s="59" t="e">
        <x:f>HYPERLINK("https://www.youtube.com/results?search_query=The%20Jedi%20Trials%20%E2%80%94%20Not%20Every%20Padawan%20Makes%20It%20Through%20%26","Search")</x:f>
        <x:v>HYPERLINK is not implemented. linkLocation=https://www.youtube.com/results?search_query=The%20Jedi%20Trials%20%E2%80%94%20Not%20Every%20Padawan%20Makes%20It%20Through%20%26, friendlyName=Search</x:v>
      </x:c>
      <x:c r="K858" s="53" t="str">
        <x:v>Generic/original Jedi, Sith, creature, or Emperor story without a dependable era anchor.</x:v>
      </x:c>
      <x:c r="L858" s="76" t="str"/>
      <x:c r="M858" s="76" t="str">
        <x:v>The Jedi Trials — Not Every Padawan Makes It Through &amp;</x:v>
      </x:c>
      <x:c r="N858" s="76" t="str">
        <x:v>Cash App: $brednew | PayPal: @blainehenry688
Before a Padawan can become a Jedi, he must
prove he is ready.
No shortcuts. No rescue. His Master can only watch
as the young Jedi enters the trial and discovers just
how far he'll have to push himself.
Would you have passed the Jedi Trials? ” é
#Jedi #JediTrials #Padawan #StarWars #Lightsaber
#Unleashed
© 2026 Unleashed. Original creative content. All
rights reserved.</x:v>
      </x:c>
      <x:c r="O858" s="76" t="str">
        <x:v>Below timeline — era not stated</x:v>
      </x:c>
      <x:c r="P858" s="76" t="str">
        <x:v>IMG_6557.PNG</x:v>
      </x:c>
      <x:c r="Q858" s="76" t="str">
        <x:v>Needs review</x:v>
      </x:c>
      <x:c r="R858" s="76" t="str">
        <x:v>High</x:v>
      </x:c>
      <x:c r="S858" s="76" t="str">
        <x:v>Generic/original Jedi, Sith, creature, or Emperor story without a dependable era anchor.</x:v>
      </x:c>
      <x:c r="T858" s="76" t="str">
        <x:v>Unique</x:v>
      </x:c>
    </x:row>
    <x:row r="859" s="23" customFormat="1" ht="36" customHeight="1">
      <x:c r="A859" s="49" t="b">
        <x:v>0</x:v>
      </x:c>
      <x:c r="B859" s="56" t="str">
        <x:v>FV-0389</x:v>
      </x:c>
      <x:c r="C859" s="53" t="str">
        <x:v>Review &amp; decide — era not stated</x:v>
      </x:c>
      <x:c r="D859" s="53" t="str">
        <x:v>The Jedi Trials: When Training Becomes Survival</x:v>
      </x:c>
      <x:c r="E859" s="53" t="str"/>
      <x:c r="F859" s="53" t="str">
        <x:v>August 23, 2026</x:v>
      </x:c>
      <x:c r="G859" s="53" t="str">
        <x:v>Fan-made / non-canon</x:v>
      </x:c>
      <x:c r="H859" s="53" t="str">
        <x:v>Fan video</x:v>
      </x:c>
      <x:c r="I859" s="53" t="str">
        <x:v>YouTube — search by title</x:v>
      </x:c>
      <x:c r="J859" s="59" t="e">
        <x:f>HYPERLINK("https://www.youtube.com/results?search_query=The%20Jedi%20Trials%3A%20When%20Training%20Becomes%20Survival","Search")</x:f>
        <x:v>HYPERLINK is not implemented. linkLocation=https://www.youtube.com/results?search_query=The%20Jedi%20Trials%3A%20When%20Training%20Becomes%20Survival, friendlyName=Search</x:v>
      </x:c>
      <x:c r="K859" s="53" t="str">
        <x:v>Generic/original Jedi, Sith, creature, or Emperor story without a dependable era anchor.</x:v>
      </x:c>
      <x:c r="L859" s="76" t="str"/>
      <x:c r="M859" s="76" t="str">
        <x:v>The Jedi Trials: When Training Becomes Survival</x:v>
      </x:c>
      <x:c r="N859" s="76" t="str">
        <x:v>MS Cash App: $brednew
© PayPal: @blainehenry688
The Jedi Trials aren't simply about strength.
When massive stone comes crashing down, these
young Jedi must control their fear, trust the Force,
and protect one another before it’s too late.
The lesson is simple: a Jedi isn’t measured by
power alone—but by what they do when someone
else is in danger.
#JediTrials #Jedi #TheForce #StarWarsLore
#Lightsaber #Cinematic
© Blaine Henry. Original cinematic concept and</x:v>
      </x:c>
      <x:c r="O859" s="76" t="str">
        <x:v>Below timeline — era not stated</x:v>
      </x:c>
      <x:c r="P859" s="76" t="str">
        <x:v>IMG_6575.PNG</x:v>
      </x:c>
      <x:c r="Q859" s="76" t="str">
        <x:v>Needs review</x:v>
      </x:c>
      <x:c r="R859" s="76" t="str">
        <x:v>High</x:v>
      </x:c>
      <x:c r="S859" s="76" t="str">
        <x:v>Generic/original Jedi, Sith, creature, or Emperor story without a dependable era anchor.</x:v>
      </x:c>
      <x:c r="T859" s="76" t="str">
        <x:v>Unique</x:v>
      </x:c>
    </x:row>
    <x:row r="860" s="23" customFormat="1" ht="36" customHeight="1">
      <x:c r="A860" s="49" t="b">
        <x:v>0</x:v>
      </x:c>
      <x:c r="B860" s="56" t="str">
        <x:v>FV-0472</x:v>
      </x:c>
      <x:c r="C860" s="53" t="str">
        <x:v>Review &amp; decide — era not stated</x:v>
      </x:c>
      <x:c r="D860" s="53" t="str">
        <x:v>The Jedi Who Found the Lost Kingdom 9</x:v>
      </x:c>
      <x:c r="E860" s="53" t="str"/>
      <x:c r="F860" s="53" t="str">
        <x:v>June 14, 2026</x:v>
      </x:c>
      <x:c r="G860" s="53" t="str">
        <x:v>Fan-made / non-canon</x:v>
      </x:c>
      <x:c r="H860" s="53" t="str">
        <x:v>Fan video</x:v>
      </x:c>
      <x:c r="I860" s="53" t="str">
        <x:v>YouTube — search by title</x:v>
      </x:c>
      <x:c r="J860" s="59" t="e">
        <x:f>HYPERLINK("https://www.youtube.com/results?search_query=The%20Jedi%20Who%20Found%20the%20Lost%20Kingdom%209","Search")</x:f>
        <x:v>HYPERLINK is not implemented. linkLocation=https://www.youtube.com/results?search_query=The%20Jedi%20Who%20Found%20the%20Lost%20Kingdom%209, friendlyName=Search</x:v>
      </x:c>
      <x:c r="K860" s="53" t="str">
        <x:v>Generic/original Jedi, Sith, creature, or Emperor story without a dependable era anchor.</x:v>
      </x:c>
      <x:c r="L860" s="76" t="str"/>
      <x:c r="M860" s="76" t="str">
        <x:v>The Jedi Who Found the Lost Kingdom 9</x:v>
      </x:c>
      <x:c r="N860" s="76" t="str">
        <x:v>A lone Jedi carrying a purple lightsaber discovers a
forgotten kingdom hidden beyond the mountains.
Ancient ruins awaken, long-lost guardians emerge,
and a legendary battle unfolds in a world untouched
for centuries.
++ Ancient Worlds
™™ Legendary Jedi
Tif Lost Kingdoms
Cinematic Adventure
#JediUnleashed #LostKingdom #PurpleLightsaber
#EpicAdventure #SciFiFantasy #AncientWorlds
#LegendaryJedi #Shorts #Cinematic
#AdventureSeries</x:v>
      </x:c>
      <x:c r="O860" s="76" t="str">
        <x:v>Below timeline — era not stated</x:v>
      </x:c>
      <x:c r="P860" s="76" t="str">
        <x:v>IMG_6661.PNG</x:v>
      </x:c>
      <x:c r="Q860" s="76" t="str">
        <x:v>Needs review</x:v>
      </x:c>
      <x:c r="R860" s="76" t="str">
        <x:v>High</x:v>
      </x:c>
      <x:c r="S860" s="76" t="str">
        <x:v>Generic/original Jedi, Sith, creature, or Emperor story without a dependable era anchor.</x:v>
      </x:c>
      <x:c r="T860" s="76" t="str">
        <x:v>Unique</x:v>
      </x:c>
    </x:row>
    <x:row r="861" s="23" customFormat="1" ht="36" customHeight="1">
      <x:c r="A861" s="49" t="b">
        <x:v>0</x:v>
      </x:c>
      <x:c r="B861" s="56" t="str">
        <x:v>FV-0420</x:v>
      </x:c>
      <x:c r="C861" s="53" t="str">
        <x:v>Review &amp; decide — era not stated</x:v>
      </x:c>
      <x:c r="D861" s="53" t="str">
        <x:v>The Last Temple Was Hiding Something</x:v>
      </x:c>
      <x:c r="E861" s="53" t="str"/>
      <x:c r="F861" s="53" t="str">
        <x:v>June 2, 2026</x:v>
      </x:c>
      <x:c r="G861" s="53" t="str">
        <x:v>Fan-made / non-canon</x:v>
      </x:c>
      <x:c r="H861" s="53" t="str">
        <x:v>Fan video</x:v>
      </x:c>
      <x:c r="I861" s="53" t="str">
        <x:v>YouTube — search by title</x:v>
      </x:c>
      <x:c r="J861" s="59" t="e">
        <x:f>HYPERLINK("https://www.youtube.com/results?search_query=The%20Last%20Temple%20Was%20Hiding%20Something","Search")</x:f>
        <x:v>HYPERLINK is not implemented. linkLocation=https://www.youtube.com/results?search_query=The%20Last%20Temple%20Was%20Hiding%20Something, friendlyName=Search</x:v>
      </x:c>
      <x:c r="K861" s="53" t="str">
        <x:v>Generic/original Jedi, Sith, creature, or Emperor story without a dependable era anchor.</x:v>
      </x:c>
      <x:c r="L861" s="76" t="str"/>
      <x:c r="M861" s="76" t="str">
        <x:v>The Last Temple Was Hiding Something</x:v>
      </x:c>
      <x:c r="N861" s="76"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x:v>
      </x:c>
      <x:c r="O861" s="76" t="str">
        <x:v>Below timeline — era not stated</x:v>
      </x:c>
      <x:c r="P861" s="76" t="str">
        <x:v>IMG_6606.PNG</x:v>
      </x:c>
      <x:c r="Q861" s="76" t="str">
        <x:v>Needs review</x:v>
      </x:c>
      <x:c r="R861" s="76" t="str">
        <x:v>High</x:v>
      </x:c>
      <x:c r="S861" s="76" t="str">
        <x:v>Generic/original Jedi, Sith, creature, or Emperor story without a dependable era anchor.</x:v>
      </x:c>
      <x:c r="T861" s="76" t="str">
        <x:v>Unique</x:v>
      </x:c>
    </x:row>
    <x:row r="862" s="23" customFormat="1" ht="36" customHeight="1">
      <x:c r="A862" s="49" t="b">
        <x:v>0</x:v>
      </x:c>
      <x:c r="B862" s="56" t="str">
        <x:v>FV-0438</x:v>
      </x:c>
      <x:c r="C862" s="53" t="str">
        <x:v>Review &amp; decide — era not stated</x:v>
      </x:c>
      <x:c r="D862" s="53" t="str">
        <x:v>The Mountain Beast Never Saw The Force Coming</x:v>
      </x:c>
      <x:c r="E862" s="53" t="str"/>
      <x:c r="F862" s="53" t="str">
        <x:v>June 9, 2026</x:v>
      </x:c>
      <x:c r="G862" s="53" t="str">
        <x:v>Fan-made / non-canon</x:v>
      </x:c>
      <x:c r="H862" s="53" t="str">
        <x:v>Fan video</x:v>
      </x:c>
      <x:c r="I862" s="53" t="str">
        <x:v>YouTube — search by title</x:v>
      </x:c>
      <x:c r="J862" s="59" t="e">
        <x:f>HYPERLINK("https://www.youtube.com/results?search_query=The%20Mountain%20Beast%20Never%20Saw%20The%20Force%20Coming","Search")</x:f>
        <x:v>HYPERLINK is not implemented. linkLocation=https://www.youtube.com/results?search_query=The%20Mountain%20Beast%20Never%20Saw%20The%20Force%20Coming, friendlyName=Search</x:v>
      </x:c>
      <x:c r="K862" s="53" t="str">
        <x:v>Generic/original Jedi, Sith, creature, or Emperor story without a dependable era anchor.</x:v>
      </x:c>
      <x:c r="L862" s="76" t="str"/>
      <x:c r="M862" s="76" t="str">
        <x:v>The Mountain Beast Never Saw The Force Coming</x:v>
      </x:c>
      <x:c r="N862" s="76" t="str">
        <x:v>A lonely mountain. An ancient predator. One
perfectly timed use of the Force changed
everything.
Hashtags
#VoidProtocol #Jedilnspired #TheForce #Fantasy
#SciFi #MountainBeast #Cinematic #Shorts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x:v>
      </x:c>
      <x:c r="O862" s="76" t="str">
        <x:v>Below timeline — era not stated</x:v>
      </x:c>
      <x:c r="P862" s="76" t="str">
        <x:v>IMG_6624.PNG</x:v>
      </x:c>
      <x:c r="Q862" s="76" t="str">
        <x:v>Needs review</x:v>
      </x:c>
      <x:c r="R862" s="76" t="str">
        <x:v>High</x:v>
      </x:c>
      <x:c r="S862" s="76" t="str">
        <x:v>Generic/original Jedi, Sith, creature, or Emperor story without a dependable era anchor.</x:v>
      </x:c>
      <x:c r="T862" s="76" t="str">
        <x:v>Unique</x:v>
      </x:c>
    </x:row>
    <x:row r="863" s="23" customFormat="1" ht="36" customHeight="1">
      <x:c r="A863" s="49" t="b">
        <x:v>0</x:v>
      </x:c>
      <x:c r="B863" s="56" t="str">
        <x:v>FV-0071</x:v>
      </x:c>
      <x:c r="C863" s="53" t="str">
        <x:v>Review &amp; decide — era not stated</x:v>
      </x:c>
      <x:c r="D863" s="53" t="str">
        <x:v>The Padawan Trials | One Wrong Move Ends the Test</x:v>
      </x:c>
      <x:c r="E863" s="53" t="str"/>
      <x:c r="F863" s="53" t="str">
        <x:v>October 8, 2026</x:v>
      </x:c>
      <x:c r="G863" s="53" t="str">
        <x:v>Fan-made / non-canon</x:v>
      </x:c>
      <x:c r="H863" s="53" t="str">
        <x:v>Fan video</x:v>
      </x:c>
      <x:c r="I863" s="53" t="str">
        <x:v>YouTube — search by title</x:v>
      </x:c>
      <x:c r="J863" s="59" t="e">
        <x:f>HYPERLINK("https://www.youtube.com/results?search_query=The%20Padawan%20Trials%20%7C%20One%20Wrong%20Move%20Ends%20the%20Test","Search")</x:f>
        <x:v>HYPERLINK is not implemented. linkLocation=https://www.youtube.com/results?search_query=The%20Padawan%20Trials%20%7C%20One%20Wrong%20Move%20Ends%20the%20Test, friendlyName=Search</x:v>
      </x:c>
      <x:c r="K863" s="53" t="str">
        <x:v>Generic/original Jedi, Sith, creature, or Emperor story without a dependable era anchor.</x:v>
      </x:c>
      <x:c r="L863" s="76" t="str"/>
      <x:c r="M863" s="76" t="str">
        <x:v>The Padawan Trials | One Wrong Move Ends the Test</x:v>
      </x:c>
      <x:c r="N863" s="76" t="str">
        <x:v>The floor gives way. Mechanical arms strike from
the walls. A young Padawan must trust the Force to
survive a chamber designed to challenge every
instinct.
Strength alone won't get him across.
An original Star Wars-inspired adventure from
UNLEASHED.
Would you make it through the trial?
UNLEASHED™
Star Wars and related marks belong to Lucasfilm
Ltd. Unofficial fan-made tribute.
Cash App: [your Cash App link]</x:v>
      </x:c>
      <x:c r="O863" s="76" t="str">
        <x:v>Below timeline — era not stated</x:v>
      </x:c>
      <x:c r="P863" s="76" t="str">
        <x:v>IMG_6254.PNG</x:v>
      </x:c>
      <x:c r="Q863" s="76" t="str">
        <x:v>Needs review</x:v>
      </x:c>
      <x:c r="R863" s="76" t="str">
        <x:v>High</x:v>
      </x:c>
      <x:c r="S863" s="76" t="str">
        <x:v>Generic/original Jedi, Sith, creature, or Emperor story without a dependable era anchor.</x:v>
      </x:c>
      <x:c r="T863" s="76" t="str">
        <x:v>Unique</x:v>
      </x:c>
    </x:row>
    <x:row r="864" s="23" customFormat="1" ht="36" customHeight="1">
      <x:c r="A864" s="49" t="b">
        <x:v>0</x:v>
      </x:c>
      <x:c r="B864" s="56" t="str">
        <x:v>FV-0437</x:v>
      </x:c>
      <x:c r="C864" s="53" t="str">
        <x:v>Review &amp; decide — era not stated</x:v>
      </x:c>
      <x:c r="D864" s="53" t="str">
        <x:v>The Swamp Beast Never Saw The Force Coming</x:v>
      </x:c>
      <x:c r="E864" s="53" t="str"/>
      <x:c r="F864" s="53" t="str">
        <x:v>June 9, 2026</x:v>
      </x:c>
      <x:c r="G864" s="53" t="str">
        <x:v>Fan-made / non-canon</x:v>
      </x:c>
      <x:c r="H864" s="53" t="str">
        <x:v>Fan video</x:v>
      </x:c>
      <x:c r="I864" s="53" t="str">
        <x:v>YouTube — search by title</x:v>
      </x:c>
      <x:c r="J864" s="59" t="e">
        <x:f>HYPERLINK("https://www.youtube.com/results?search_query=The%20Swamp%20Beast%20Never%20Saw%20The%20Force%20Coming","Search")</x:f>
        <x:v>HYPERLINK is not implemented. linkLocation=https://www.youtube.com/results?search_query=The%20Swamp%20Beast%20Never%20Saw%20The%20Force%20Coming, friendlyName=Search</x:v>
      </x:c>
      <x:c r="K864" s="53" t="str">
        <x:v>Generic/original Jedi, Sith, creature, or Emperor story without a dependable era anchor.</x:v>
      </x:c>
      <x:c r="L864" s="76" t="str"/>
      <x:c r="M864" s="76" t="str">
        <x:v>The Swamp Beast Never Saw The Force Coming</x:v>
      </x:c>
      <x:c r="N864" s="76" t="str">
        <x:v>A forgotten swamp. A lurking predator. One
perfectly timed use of the Force changed
everything.
Hashtags
#VoidProtocol #Jedilnspired #TheForce #Fantasy
#SciFi #SwampBeast #Cinematic #Shorts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x:v>
      </x:c>
      <x:c r="O864" s="76" t="str">
        <x:v>Below timeline — era not stated</x:v>
      </x:c>
      <x:c r="P864" s="76" t="str">
        <x:v>IMG_6623.PNG</x:v>
      </x:c>
      <x:c r="Q864" s="76" t="str">
        <x:v>Needs review</x:v>
      </x:c>
      <x:c r="R864" s="76" t="str">
        <x:v>High</x:v>
      </x:c>
      <x:c r="S864" s="76" t="str">
        <x:v>Generic/original Jedi, Sith, creature, or Emperor story without a dependable era anchor.</x:v>
      </x:c>
      <x:c r="T864" s="76" t="str">
        <x:v>Unique</x:v>
      </x:c>
    </x:row>
    <x:row r="865" s="23" customFormat="1" ht="36" customHeight="1">
      <x:c r="A865" s="49" t="b">
        <x:v>0</x:v>
      </x:c>
      <x:c r="B865" s="56" t="str">
        <x:v>FV-0455</x:v>
      </x:c>
      <x:c r="C865" s="53" t="str">
        <x:v>Review &amp; decide — era not stated</x:v>
      </x:c>
      <x:c r="D865" s="53" t="str">
        <x:v>The Temple Guardian Finally Awakened</x:v>
      </x:c>
      <x:c r="E865" s="53" t="str"/>
      <x:c r="F865" s="53" t="str">
        <x:v>June 12, 2026</x:v>
      </x:c>
      <x:c r="G865" s="53" t="str">
        <x:v>Fan-made / non-canon</x:v>
      </x:c>
      <x:c r="H865" s="53" t="str">
        <x:v>Fan video</x:v>
      </x:c>
      <x:c r="I865" s="53" t="str">
        <x:v>YouTube — search by title</x:v>
      </x:c>
      <x:c r="J865" s="59" t="e">
        <x:f>HYPERLINK("https://www.youtube.com/results?search_query=The%20Temple%20Guardian%20Finally%20Awakened","Search")</x:f>
        <x:v>HYPERLINK is not implemented. linkLocation=https://www.youtube.com/results?search_query=The%20Temple%20Guardian%20Finally%20Awakened, friendlyName=Search</x:v>
      </x:c>
      <x:c r="K865" s="53" t="str">
        <x:v>Generic/original Jedi, Sith, creature, or Emperor story without a dependable era anchor.</x:v>
      </x:c>
      <x:c r="L865" s="76" t="str"/>
      <x:c r="M865" s="76" t="str">
        <x:v>The Temple Guardian Finally Awakened</x:v>
      </x:c>
      <x:c r="N865" s="76" t="str">
        <x:v>For centuries, the ancient guardian remained
motionless beneath a forgotten temple. When a
lone Jedi enters the sacred halls, the giant warrior
awakens to defend its throne.
™ Ancient temple battle
™ Force speed and lightsaber mastery
Massive guardian vs lone Jedi
™ Cinematic fantasy action
The temple was never abandoned... it was waiting.
#Jedi #TempleGuardian #AncientTemple
#LightsaberBattle #ForceUser #EpicBattle
#FantasyAction #CreatureBattle #Unleashed
This video is an original Al-assisted production
created, directed, and edited by Blaine Henry. The</x:v>
      </x:c>
      <x:c r="O865" s="76" t="str">
        <x:v>Below timeline — era not stated</x:v>
      </x:c>
      <x:c r="P865" s="76" t="str">
        <x:v>IMG_6641.PNG, IMG_6645.PNG</x:v>
      </x:c>
      <x:c r="Q865" s="76" t="str">
        <x:v>Needs review</x:v>
      </x:c>
      <x:c r="R865" s="76" t="str">
        <x:v>High</x:v>
      </x:c>
      <x:c r="S865" s="76" t="str">
        <x:v>Generic/original Jedi, Sith, creature, or Emperor story without a dependable era anchor.</x:v>
      </x:c>
      <x:c r="T865" s="76" t="str">
        <x:v>Primary — DUP-009</x:v>
      </x:c>
    </x:row>
    <x:row r="866" s="23" customFormat="1" ht="36" customHeight="1">
      <x:c r="A866" s="49" t="b">
        <x:v>0</x:v>
      </x:c>
      <x:c r="B866" s="56" t="str">
        <x:v>FV-0531</x:v>
      </x:c>
      <x:c r="C866" s="53" t="str">
        <x:v>Review &amp; decide — era not stated</x:v>
      </x:c>
      <x:c r="D866" s="53" t="str">
        <x:v>The Temple Was Still Alive</x:v>
      </x:c>
      <x:c r="E866" s="53" t="str"/>
      <x:c r="F866" s="53" t="str">
        <x:v>June 20, 2026</x:v>
      </x:c>
      <x:c r="G866" s="53" t="str">
        <x:v>Fan-made / non-canon</x:v>
      </x:c>
      <x:c r="H866" s="53" t="str">
        <x:v>Fan video</x:v>
      </x:c>
      <x:c r="I866" s="53" t="str">
        <x:v>YouTube — search by title</x:v>
      </x:c>
      <x:c r="J866" s="59" t="e">
        <x:f>HYPERLINK("https://www.youtube.com/results?search_query=The%20Temple%20Was%20Still%20Alive","Search")</x:f>
        <x:v>HYPERLINK is not implemented. linkLocation=https://www.youtube.com/results?search_query=The%20Temple%20Was%20Still%20Alive, friendlyName=Search</x:v>
      </x:c>
      <x:c r="K866" s="53" t="str">
        <x:v>Generic/original Jedi, Sith, creature, or Emperor story without a dependable era anchor.</x:v>
      </x:c>
      <x:c r="L866" s="76" t="str"/>
      <x:c r="M866" s="76" t="str">
        <x:v>The Temple Was Still Alive</x:v>
      </x:c>
      <x:c r="N866" s="76" t="str">
        <x:v>For centuries, the mountain temple stood
abandoned.
Its halls were silent.
Its statues never moved.
Its gates never opened.
At least, that's what the legends claimed.
When a lone Jedi entered the forgotten kingdom, he
discovered the truth. The temple had never died. It
had only been sleeping.
As ancient stone guardians awakened and the
mountain itself began to move, the Jedi found
himself trapped inside a living temple older than any</x:v>
      </x:c>
      <x:c r="O866" s="76" t="str">
        <x:v>Below timeline — era not stated</x:v>
      </x:c>
      <x:c r="P866" s="76" t="str">
        <x:v>IMG_6720.PNG</x:v>
      </x:c>
      <x:c r="Q866" s="76" t="str">
        <x:v>Needs review</x:v>
      </x:c>
      <x:c r="R866" s="76" t="str">
        <x:v>High</x:v>
      </x:c>
      <x:c r="S866" s="76" t="str">
        <x:v>Generic/original Jedi, Sith, creature, or Emperor story without a dependable era anchor.</x:v>
      </x:c>
      <x:c r="T866" s="76" t="str">
        <x:v>Unique</x:v>
      </x:c>
    </x:row>
    <x:row r="867" s="23" customFormat="1" ht="36" customHeight="1">
      <x:c r="A867" s="49" t="b">
        <x:v>0</x:v>
      </x:c>
      <x:c r="B867" s="56" t="str">
        <x:v>FV-0242</x:v>
      </x:c>
      <x:c r="C867" s="53" t="str">
        <x:v>Review &amp; decide — era not stated</x:v>
      </x:c>
      <x:c r="D867" s="53" t="str">
        <x:v>The World Refused to Stay Still | Jedi Padawan Trials</x:v>
      </x:c>
      <x:c r="E867" s="53" t="str"/>
      <x:c r="F867" s="53" t="str">
        <x:v>September 8, 2026</x:v>
      </x:c>
      <x:c r="G867" s="53" t="str">
        <x:v>Fan-made / non-canon</x:v>
      </x:c>
      <x:c r="H867" s="53" t="str">
        <x:v>Fan video</x:v>
      </x:c>
      <x:c r="I867" s="53" t="str">
        <x:v>YouTube — search by title</x:v>
      </x:c>
      <x:c r="J867" s="59" t="e">
        <x:f>HYPERLINK("https://www.youtube.com/results?search_query=The%20World%20Refused%20to%20Stay%20Still%20%7C%20Jedi%20Padawan%20Trials","Search")</x:f>
        <x:v>HYPERLINK is not implemented. linkLocation=https://www.youtube.com/results?search_query=The%20World%20Refused%20to%20Stay%20Still%20%7C%20Jedi%20Padawan%20Trials, friendlyName=Search</x:v>
      </x:c>
      <x:c r="K867" s="53" t="str">
        <x:v>Generic/original Jedi, Sith, creature, or Emperor story without a dependable era anchor.</x:v>
      </x:c>
      <x:c r="L867" s="76" t="str"/>
      <x:c r="M867" s="76" t="str">
        <x:v>The World Refused to Stay Still | Jedi Padawan Trials</x:v>
      </x:c>
      <x:c r="N867" s="76" t="str">
        <x:v>The buildings rotated. The streets became walls.
Gravity changed direction—and every safe path
disappeared beneath his feet.
This was no ordinary Jedi trial. The Padawan was
not being tested on strength or lightsaber skill. He
was being taught to survive a world that refused to
obey the rules.
He adapted to the environment.
Now he must adapt to the impossible.
Jedi Padawan Trials — Episode 2
#JediPadawan #JediTrials #Padawantrials
#TheWorldRefusedToStayStill #Jedi #Lightsaber</x:v>
      </x:c>
      <x:c r="O867" s="76" t="str">
        <x:v>Below timeline — era not stated</x:v>
      </x:c>
      <x:c r="P867" s="76" t="str">
        <x:v>IMG_6425.PNG</x:v>
      </x:c>
      <x:c r="Q867" s="76" t="str">
        <x:v>Needs review</x:v>
      </x:c>
      <x:c r="R867" s="76" t="str">
        <x:v>High</x:v>
      </x:c>
      <x:c r="S867" s="76" t="str">
        <x:v>Generic/original Jedi, Sith, creature, or Emperor story without a dependable era anchor.</x:v>
      </x:c>
      <x:c r="T867" s="76" t="str">
        <x:v>Unique</x:v>
      </x:c>
    </x:row>
    <x:row r="868" s="23" customFormat="1" ht="36" customHeight="1">
      <x:c r="A868" s="49" t="b">
        <x:v>0</x:v>
      </x:c>
      <x:c r="B868" s="56" t="str">
        <x:v>FV-0555</x:v>
      </x:c>
      <x:c r="C868" s="53" t="str">
        <x:v>Review &amp; decide — era not stated</x:v>
      </x:c>
      <x:c r="D868" s="53" t="str">
        <x:v>They Drew Their Lightsabers on the Emperor — He Took One</x:v>
      </x:c>
      <x:c r="E868" s="53" t="str"/>
      <x:c r="F868" s="53" t="str">
        <x:v>August 20, 2026</x:v>
      </x:c>
      <x:c r="G868" s="53" t="str">
        <x:v>Fan-made / non-canon</x:v>
      </x:c>
      <x:c r="H868" s="53" t="str">
        <x:v>Fan video</x:v>
      </x:c>
      <x:c r="I868" s="53" t="str">
        <x:v>YouTube — search by title</x:v>
      </x:c>
      <x:c r="J868" s="59" t="e">
        <x:f>HYPERLINK("https://www.youtube.com/results?search_query=They%20Drew%20Their%20Lightsabers%20on%20the%20Emperor%20%E2%80%94%20He%20Took%20One","Search")</x:f>
        <x:v>HYPERLINK is not implemented. linkLocation=https://www.youtube.com/results?search_query=They%20Drew%20Their%20Lightsabers%20on%20the%20Emperor%20%E2%80%94%20He%20Took%20One, friendlyName=Search</x:v>
      </x:c>
      <x:c r="K868" s="53" t="str">
        <x:v>Generic/original Jedi, Sith, creature, or Emperor story without a dependable era anchor.</x:v>
      </x:c>
      <x:c r="L868" s="76" t="str"/>
      <x:c r="M868" s="76" t="str">
        <x:v>They Drew Their Lightsabers on the Emperor — He Took One</x:v>
      </x:c>
      <x:c r="N868" s="76" t="str">
        <x:v>3 Cash App: $brednew
© PayPal: @blainehenry688
(@ SUPPORT THE CHANNEL &amp;
Even 5¢, 10¢, 25¢, or $1 helps us continue creating
these cinematic stories. Thank you to everyone
supporting what we're building.
They came at the Emperor with lightsabers drawn.
Blue and green blades close in around him, but the
Emperor doesn't retreat. He stands completely calm
as the confrontation unfolds.
Then everything changes.</x:v>
      </x:c>
      <x:c r="O868" s="76" t="str">
        <x:v>Below timeline — era not stated</x:v>
      </x:c>
      <x:c r="P868" s="76" t="str">
        <x:v>IMG_6745.PNG</x:v>
      </x:c>
      <x:c r="Q868" s="76" t="str">
        <x:v>Needs review</x:v>
      </x:c>
      <x:c r="R868" s="76" t="str">
        <x:v>High</x:v>
      </x:c>
      <x:c r="S868" s="76" t="str">
        <x:v>Generic/original Jedi, Sith, creature, or Emperor story without a dependable era anchor.</x:v>
      </x:c>
      <x:c r="T868" s="76" t="str">
        <x:v>Unique</x:v>
      </x:c>
    </x:row>
    <x:row r="869" s="23" customFormat="1" ht="36" customHeight="1">
      <x:c r="A869" s="49" t="b">
        <x:v>0</x:v>
      </x:c>
      <x:c r="B869" s="56" t="str">
        <x:v>FV-0453</x:v>
      </x:c>
      <x:c r="C869" s="53" t="str">
        <x:v>Review &amp; decide — placement unresolved</x:v>
      </x:c>
      <x:c r="D869" s="53" t="str">
        <x:v>⚔️ The Jedi Faced the Shadow Beast</x:v>
      </x:c>
      <x:c r="E869" s="53" t="str"/>
      <x:c r="F869" s="53" t="str">
        <x:v>June 12, 2026</x:v>
      </x:c>
      <x:c r="G869" s="53" t="str">
        <x:v>Fan-made / non-canon</x:v>
      </x:c>
      <x:c r="H869" s="53" t="str">
        <x:v>Fan video</x:v>
      </x:c>
      <x:c r="I869" s="53" t="str">
        <x:v>YouTube — search by title</x:v>
      </x:c>
      <x:c r="J869" s="59" t="e">
        <x:f>HYPERLINK("https://www.youtube.com/results?search_query=%E2%9A%94%EF%B8%8F%20The%20Jedi%20Faced%20the%20Shadow%20Beast","Search")</x:f>
        <x:v>HYPERLINK is not implemented. linkLocation=https://www.youtube.com/results?search_query=%E2%9A%94%EF%B8%8F%20The%20Jedi%20Faced%20the%20Shadow%20Beast, friendlyName=Search</x:v>
      </x:c>
      <x:c r="K869" s="53" t="str">
        <x:v>The screenshot does not provide enough event context for a reliable chronological placement.</x:v>
      </x:c>
      <x:c r="L869" s="76" t="str">
        <x:v>Shadow</x:v>
      </x:c>
      <x:c r="M869" s="76" t="str">
        <x:v>⚔️ The Jedi Faced the Shadow Beast</x:v>
      </x:c>
      <x:c r="N869" s="76" t="str">
        <x:v>Deep within a forgotten canyon kingdom, a Jedi
encounters an ancient guardian that cannot be
tracked, cornered, or escaped. Hidden within the
darkness itself, the Shadow Beast turns the ruins
into a deadly battlefield.
#Jedi #ShadowBeast #ForceBeast #Fantasy
#Lightsaber #SciFi #Shorts
How this was made
Made with Al
Sounds or visuals were altered or fully generated. Learn
more</x:v>
      </x:c>
      <x:c r="O869" s="76" t="str">
        <x:v>Below timeline — placement unresolved</x:v>
      </x:c>
      <x:c r="P869" s="76" t="str">
        <x:v>IMG_6639.PNG</x:v>
      </x:c>
      <x:c r="Q869" s="76" t="str">
        <x:v>Needs review</x:v>
      </x:c>
      <x:c r="R869" s="76" t="str">
        <x:v>Low</x:v>
      </x:c>
      <x:c r="S869" s="76" t="str">
        <x:v>The screenshot does not provide enough event context for a reliable chronological placement.</x:v>
      </x:c>
      <x:c r="T869" s="76" t="str">
        <x:v>Unique</x:v>
      </x:c>
    </x:row>
    <x:row r="870" s="23" customFormat="1" ht="36" customHeight="1">
      <x:c r="A870" s="49" t="b">
        <x:v>0</x:v>
      </x:c>
      <x:c r="B870" s="56" t="str">
        <x:v>FV-0448</x:v>
      </x:c>
      <x:c r="C870" s="53" t="str">
        <x:v>Review &amp; decide — placement unresolved</x:v>
      </x:c>
      <x:c r="D870" s="53" t="str">
        <x:v>3 Jedi vs The Glacier Beast | He Should Have Stayed Frozen</x:v>
      </x:c>
      <x:c r="E870" s="53" t="str"/>
      <x:c r="F870" s="53" t="str">
        <x:v>June 11, 2026</x:v>
      </x:c>
      <x:c r="G870" s="53" t="str">
        <x:v>Fan-made / non-canon</x:v>
      </x:c>
      <x:c r="H870" s="53" t="str">
        <x:v>Fan video</x:v>
      </x:c>
      <x:c r="I870" s="53" t="str">
        <x:v>YouTube — search by title</x:v>
      </x:c>
      <x:c r="J870" s="59" t="e">
        <x:f>HYPERLINK("https://www.youtube.com/results?search_query=3%20Jedi%20vs%20The%20Glacier%20Beast%20%7C%20He%20Should%20Have%20Stayed%20Frozen","Search")</x:f>
        <x:v>HYPERLINK is not implemented. linkLocation=https://www.youtube.com/results?search_query=3%20Jedi%20vs%20The%20Glacier%20Beast%20%7C%20He%20Should%20Have%20Stayed%20Frozen, friendlyName=Search</x:v>
      </x:c>
      <x:c r="K870" s="53" t="str">
        <x:v>The screenshot does not provide enough event context for a reliable chronological placement.</x:v>
      </x:c>
      <x:c r="L870" s="76" t="str"/>
      <x:c r="M870" s="76" t="str">
        <x:v>3 Jedi vs The Glacier Beast | He Should Have Stayed Frozen</x:v>
      </x:c>
      <x:c r="N870" s="76" t="str">
        <x:v>Deep within an ancient frozen wasteland, a lone
Jedi awakens something that should have remained
buried beneath the ice forever. The Glacier Beast
rises from the frozen earth, towering above the
battlefield as snow and ice erupt in every direction.
What follows is a brutal clash between the Force
and an ancient titan of ice.
Will the Jedi survive the frozen giant?
#StarWars #Jedi #Lightsaber #GlacierBeast
#Fantasy #EpicBattle #ForceUser #Cinematic #SciFi
#MonsterBattle #Shorts #YouTubeShorts
#Unleashed
This video is an original Al-assisted production
created. directed. and edited by Blaine Henrv. The</x:v>
      </x:c>
      <x:c r="O870" s="76" t="str">
        <x:v>Below timeline — placement unresolved</x:v>
      </x:c>
      <x:c r="P870" s="76" t="str">
        <x:v>IMG_6634.PNG</x:v>
      </x:c>
      <x:c r="Q870" s="76" t="str">
        <x:v>Needs review</x:v>
      </x:c>
      <x:c r="R870" s="76" t="str">
        <x:v>Low</x:v>
      </x:c>
      <x:c r="S870" s="76" t="str">
        <x:v>The screenshot does not provide enough event context for a reliable chronological placement.</x:v>
      </x:c>
      <x:c r="T870" s="76" t="str">
        <x:v>Unique</x:v>
      </x:c>
    </x:row>
    <x:row r="871" s="23" customFormat="1" ht="36" customHeight="1">
      <x:c r="A871" s="49" t="b">
        <x:v>0</x:v>
      </x:c>
      <x:c r="B871" s="56" t="str">
        <x:v>FV-0442</x:v>
      </x:c>
      <x:c r="C871" s="53" t="str">
        <x:v>Review &amp; decide — placement unresolved</x:v>
      </x:c>
      <x:c r="D871" s="53" t="str">
        <x:v>3. The Volcano Beast Never Saw the Final Strike</x:v>
      </x:c>
      <x:c r="E871" s="53" t="str"/>
      <x:c r="F871" s="53" t="str">
        <x:v>June 10, 2026</x:v>
      </x:c>
      <x:c r="G871" s="53" t="str">
        <x:v>Fan-made / non-canon</x:v>
      </x:c>
      <x:c r="H871" s="53" t="str">
        <x:v>Fan video</x:v>
      </x:c>
      <x:c r="I871" s="53" t="str">
        <x:v>YouTube — search by title</x:v>
      </x:c>
      <x:c r="J871" s="59" t="e">
        <x:f>HYPERLINK("https://www.youtube.com/results?search_query=3.%20The%20Volcano%20Beast%20Never%20Saw%20the%20Final%20Strike","Search")</x:f>
        <x:v>HYPERLINK is not implemented. linkLocation=https://www.youtube.com/results?search_query=3.%20The%20Volcano%20Beast%20Never%20Saw%20the%20Final%20Strike, friendlyName=Search</x:v>
      </x:c>
      <x:c r="K871" s="53" t="str">
        <x:v>The screenshot does not provide enough event context for a reliable chronological placement.</x:v>
      </x:c>
      <x:c r="L871" s="76" t="str"/>
      <x:c r="M871" s="76" t="str">
        <x:v>3. The Volcano Beast Never Saw the Final Strike</x:v>
      </x:c>
      <x:c r="N871" s="76" t="str">
        <x:v>A lone Jedi ventures into a volcanic wasteland
where rivers of lava cut through the mountains.
Hidden beneath the molten rock lies an ancient
beast forged by fire itself.
When the monster erupts from the lava, an
explosive battle begins. Surrounded by fire, ash,
and collapsing stone, the Jedi must rely on both
skill and the Force to survive.
The volcano beast ruled this world... until the Jedi
arrived.
#Jedi #VolcanoBeast #LavaMonster #TheForce
#Lightsaber #EpicBattle #FantasyAdventure
#MonsterHunter #ActionShorts #SciFiShorts
#CreatureBattle #DarkFantasv #EpicFiaght</x:v>
      </x:c>
      <x:c r="O871" s="76" t="str">
        <x:v>Below timeline — placement unresolved</x:v>
      </x:c>
      <x:c r="P871" s="76" t="str">
        <x:v>IMG_6628.PNG</x:v>
      </x:c>
      <x:c r="Q871" s="76" t="str">
        <x:v>Needs review</x:v>
      </x:c>
      <x:c r="R871" s="76" t="str">
        <x:v>Low</x:v>
      </x:c>
      <x:c r="S871" s="76" t="str">
        <x:v>The screenshot does not provide enough event context for a reliable chronological placement.</x:v>
      </x:c>
      <x:c r="T871" s="76" t="str">
        <x:v>Unique</x:v>
      </x:c>
    </x:row>
    <x:row r="872" s="23" customFormat="1" ht="36" customHeight="1">
      <x:c r="A872" s="49" t="b">
        <x:v>0</x:v>
      </x:c>
      <x:c r="B872" s="56" t="str">
        <x:v>FV-0486</x:v>
      </x:c>
      <x:c r="C872" s="53" t="str">
        <x:v>Review &amp; decide — placement unresolved</x:v>
      </x:c>
      <x:c r="D872" s="53" t="str">
        <x:v>4 Emperor’s Wrath | The Jedi Never Had A Chance</x:v>
      </x:c>
      <x:c r="E872" s="53" t="str"/>
      <x:c r="F872" s="53" t="str">
        <x:v>June 15, 2026</x:v>
      </x:c>
      <x:c r="G872" s="53" t="str">
        <x:v>Fan-made / non-canon</x:v>
      </x:c>
      <x:c r="H872" s="53" t="str">
        <x:v>Fan video</x:v>
      </x:c>
      <x:c r="I872" s="53" t="str">
        <x:v>YouTube — search by title</x:v>
      </x:c>
      <x:c r="J872" s="59" t="e">
        <x:f>HYPERLINK("https://www.youtube.com/results?search_query=4%20Emperor%E2%80%99s%20Wrath%20%7C%20The%20Jedi%20Never%20Had%20A%20Chance","Search")</x:f>
        <x:v>HYPERLINK is not implemented. linkLocation=https://www.youtube.com/results?search_query=4%20Emperor%E2%80%99s%20Wrath%20%7C%20The%20Jedi%20Never%20Had%20A%20Chance, friendlyName=Search</x:v>
      </x:c>
      <x:c r="K872" s="53" t="str">
        <x:v>The screenshot does not provide enough event context for a reliable chronological placement.</x:v>
      </x:c>
      <x:c r="L872" s="76" t="str"/>
      <x:c r="M872" s="76" t="str">
        <x:v>4 Emperor’s Wrath | The Jedi Never Had A Chance</x:v>
      </x:c>
      <x:c r="N872" s="76" t="str">
        <x:v>A lone Jedi confronts the most feared master of the
dark side in a storm-ravaged ancient temple. Armed
with a green lightsaber and unwavering courage, he
fights with everything he has—but some enemies
are more powerful than legend.
% Force lightning
® Green lightsaber
™ Realistic lightsaber duel
@ Ancient temple showdown
Not every Jedi walks away from a battle with the
Emperor.
#StarWars #Jedi #Lightsaber #Emperor
#ForceLightning #EpicBattle #JediMaster
#1 eqendarvJedi #Shorts #YouTUubeShorts</x:v>
      </x:c>
      <x:c r="O872" s="76" t="str">
        <x:v>Below timeline — placement unresolved</x:v>
      </x:c>
      <x:c r="P872" s="76" t="str">
        <x:v>IMG_6675.PNG</x:v>
      </x:c>
      <x:c r="Q872" s="76" t="str">
        <x:v>Needs review</x:v>
      </x:c>
      <x:c r="R872" s="76" t="str">
        <x:v>Low</x:v>
      </x:c>
      <x:c r="S872" s="76" t="str">
        <x:v>The screenshot does not provide enough event context for a reliable chronological placement.</x:v>
      </x:c>
      <x:c r="T872" s="76" t="str">
        <x:v>Unique</x:v>
      </x:c>
    </x:row>
    <x:row r="873" s="23" customFormat="1" ht="36" customHeight="1">
      <x:c r="A873" s="49" t="b">
        <x:v>0</x:v>
      </x:c>
      <x:c r="B873" s="56" t="str">
        <x:v>FV-0478</x:v>
      </x:c>
      <x:c r="C873" s="53" t="str">
        <x:v>Review &amp; decide — placement unresolved</x:v>
      </x:c>
      <x:c r="D873" s="53" t="str">
        <x:v>A Jedi vs The Maintenance Level Creature | Something Lived Below</x:v>
      </x:c>
      <x:c r="E873" s="53" t="str"/>
      <x:c r="F873" s="53" t="str">
        <x:v>June 14, 2026</x:v>
      </x:c>
      <x:c r="G873" s="53" t="str">
        <x:v>Fan-made / non-canon</x:v>
      </x:c>
      <x:c r="H873" s="53" t="str">
        <x:v>Fan video</x:v>
      </x:c>
      <x:c r="I873" s="53" t="str">
        <x:v>YouTube — search by title</x:v>
      </x:c>
      <x:c r="J873" s="59" t="e">
        <x:f>HYPERLINK("https://www.youtube.com/results?search_query=A%20Jedi%20vs%20The%20Maintenance%20Level%20Creature%20%7C%20Something%20Lived%20Below","Search")</x:f>
        <x:v>HYPERLINK is not implemented. linkLocation=https://www.youtube.com/results?search_query=A%20Jedi%20vs%20The%20Maintenance%20Level%20Creature%20%7C%20Something%20Lived%20Below, friendlyName=Search</x:v>
      </x:c>
      <x:c r="K873" s="53" t="str">
        <x:v>The screenshot does not provide enough event context for a reliable chronological placement.</x:v>
      </x:c>
      <x:c r="L873" s="76" t="str"/>
      <x:c r="M873" s="76" t="str">
        <x:v>A Jedi vs The Maintenance Level Creature | Something Lived Below</x:v>
      </x:c>
      <x:c r="N873" s="76" t="str">
        <x:v>Deep beneath the ancient facility, something was
waiting in the maintenance levels. When a lone Jedi
investigates the darkness below, he comes face-to-
face with a terrifying creature that should have
remained forgotten. Armed with only his lightsaber
and the Force, survival becomes a fight against the
unknown.
What would you do if you heard something moving
in the darkness below?
™ Follow for more Jedi adventures, ancient
creatures, and cinematic battles.
#Jedi #CreatureFeature #MaintenanceLevel
#Lightsaber #ForceUser #SciFi #Fantasy
#EpicBattle #Cinematic #Shorts</x:v>
      </x:c>
      <x:c r="O873" s="76" t="str">
        <x:v>Below timeline — placement unresolved</x:v>
      </x:c>
      <x:c r="P873" s="76" t="str">
        <x:v>IMG_6667.PNG</x:v>
      </x:c>
      <x:c r="Q873" s="76" t="str">
        <x:v>Needs review</x:v>
      </x:c>
      <x:c r="R873" s="76" t="str">
        <x:v>Low</x:v>
      </x:c>
      <x:c r="S873" s="76" t="str">
        <x:v>The screenshot does not provide enough event context for a reliable chronological placement.</x:v>
      </x:c>
      <x:c r="T873" s="76" t="str">
        <x:v>Unique</x:v>
      </x:c>
    </x:row>
    <x:row r="874" s="23" customFormat="1" ht="36" customHeight="1">
      <x:c r="A874" s="49" t="b">
        <x:v>0</x:v>
      </x:c>
      <x:c r="B874" s="56" t="str">
        <x:v>FV-0322</x:v>
      </x:c>
      <x:c r="C874" s="53" t="str">
        <x:v>Review &amp; decide — placement unresolved</x:v>
      </x:c>
      <x:c r="D874" s="53" t="str">
        <x:v>Anakin Was Becoming Something the Jedi Should Have Feared @ @</x:v>
      </x:c>
      <x:c r="E874" s="53" t="str"/>
      <x:c r="F874" s="53" t="str">
        <x:v>August 29, 2026</x:v>
      </x:c>
      <x:c r="G874" s="53" t="str">
        <x:v>Fan-made / non-canon</x:v>
      </x:c>
      <x:c r="H874" s="53" t="str">
        <x:v>Fan video</x:v>
      </x:c>
      <x:c r="I874" s="53" t="str">
        <x:v>YouTube — search by title</x:v>
      </x:c>
      <x:c r="J874" s="59" t="e">
        <x:f>HYPERLINK("https://www.youtube.com/results?search_query=Anakin%20Was%20Becoming%20Something%20the%20Jedi%20Should%20Have%20Feared%20%40%20%40","Search")</x:f>
        <x:v>HYPERLINK is not implemented. linkLocation=https://www.youtube.com/results?search_query=Anakin%20Was%20Becoming%20Something%20the%20Jedi%20Should%20Have%20Feared%20%40%20%40, friendlyName=Search</x:v>
      </x:c>
      <x:c r="K874" s="53" t="str">
        <x:v>The screenshot does not provide enough event context for a reliable chronological placement.</x:v>
      </x:c>
      <x:c r="L874" s="76" t="str"/>
      <x:c r="M874" s="76" t="str">
        <x:v>Anakin Was Becoming Something the Jedi Should Have Feared @ @</x:v>
      </x:c>
      <x:c r="N874" s="76" t="str">
        <x:v>Cash App: $brednew
PayPal: @blainehenry688
The blue lightsaber is still there.
But the Jedi who once carried it is disappearing.
Beneath the black hood, Anakin's eyes have
changed—and so has the way he fights.
No patience.
No mercy.
No retreat.
His attacks are heavier. His anger is controlled. And
every strike gives us another glimpse of the warrior
he is becoming.</x:v>
      </x:c>
      <x:c r="O874" s="76" t="str">
        <x:v>Below timeline — placement unresolved</x:v>
      </x:c>
      <x:c r="P874" s="76" t="str">
        <x:v>IMG_6508.PNG</x:v>
      </x:c>
      <x:c r="Q874" s="76" t="str">
        <x:v>Needs review</x:v>
      </x:c>
      <x:c r="R874" s="76" t="str">
        <x:v>Low</x:v>
      </x:c>
      <x:c r="S874" s="76" t="str">
        <x:v>The screenshot does not provide enough event context for a reliable chronological placement.</x:v>
      </x:c>
      <x:c r="T874" s="76" t="str">
        <x:v>Unique</x:v>
      </x:c>
    </x:row>
    <x:row r="875" s="23" customFormat="1" ht="36" customHeight="1">
      <x:c r="A875" s="49" t="b">
        <x:v>0</x:v>
      </x:c>
      <x:c r="B875" s="56" t="str">
        <x:v>FV-0300</x:v>
      </x:c>
      <x:c r="C875" s="53" t="str">
        <x:v>Review &amp; decide — placement unresolved</x:v>
      </x:c>
      <x:c r="D875" s="53" t="str">
        <x:v>August 31, 2026</x:v>
      </x:c>
      <x:c r="E875" s="53" t="str"/>
      <x:c r="F875" s="53" t="str">
        <x:v>August 31, 2026</x:v>
      </x:c>
      <x:c r="G875" s="53" t="str">
        <x:v>Fan-made / non-canon</x:v>
      </x:c>
      <x:c r="H875" s="53" t="str">
        <x:v>Fan video</x:v>
      </x:c>
      <x:c r="I875" s="53" t="str">
        <x:v>YouTube — search by title</x:v>
      </x:c>
      <x:c r="J875" s="59" t="e">
        <x:f>HYPERLINK("https://www.youtube.com/results?search_query=August%2031%2C%202026","Search")</x:f>
        <x:v>HYPERLINK is not implemented. linkLocation=https://www.youtube.com/results?search_query=August%2031%2C%202026, friendlyName=Search</x:v>
      </x:c>
      <x:c r="K875" s="53" t="str">
        <x:v>The screenshot does not provide enough event context for a reliable chronological placement.</x:v>
      </x:c>
      <x:c r="L875" s="76" t="str"/>
      <x:c r="M875" s="76" t="str">
        <x:v>August 31, 2026</x:v>
      </x:c>
      <x:c r="N875" s="76" t="str">
        <x:v>No description text is visible in the screenshot.</x:v>
      </x:c>
      <x:c r="O875" s="76" t="str">
        <x:v>Below timeline — placement unresolved</x:v>
      </x:c>
      <x:c r="P875" s="76" t="str">
        <x:v>IMG_6486.PNG</x:v>
      </x:c>
      <x:c r="Q875" s="76" t="str">
        <x:v>Needs review</x:v>
      </x:c>
      <x:c r="R875" s="76" t="str">
        <x:v>Low</x:v>
      </x:c>
      <x:c r="S875" s="76" t="str">
        <x:v>The screenshot does not provide enough event context for a reliable chronological placement.</x:v>
      </x:c>
      <x:c r="T875" s="76" t="str">
        <x:v>Unique</x:v>
      </x:c>
    </x:row>
    <x:row r="876" s="23" customFormat="1" ht="36" customHeight="1">
      <x:c r="A876" s="49" t="b">
        <x:v>0</x:v>
      </x:c>
      <x:c r="B876" s="56" t="str">
        <x:v>FV-0276</x:v>
      </x:c>
      <x:c r="C876" s="53" t="str">
        <x:v>Review &amp; decide — placement unresolved</x:v>
      </x:c>
      <x:c r="D876" s="53" t="str">
        <x:v>Axiom-87 Awakens—“Why Do | Remember Him?”</x:v>
      </x:c>
      <x:c r="E876" s="53" t="str"/>
      <x:c r="F876" s="53" t="str">
        <x:v>September 3, 2026</x:v>
      </x:c>
      <x:c r="G876" s="53" t="str">
        <x:v>Fan-made / non-canon</x:v>
      </x:c>
      <x:c r="H876" s="53" t="str">
        <x:v>Fan video</x:v>
      </x:c>
      <x:c r="I876" s="53" t="str">
        <x:v>YouTube — search by title</x:v>
      </x:c>
      <x:c r="J876" s="59" t="e">
        <x:f>HYPERLINK("https://www.youtube.com/results?search_query=Axiom-87%20Awakens%E2%80%94%E2%80%9CWhy%20Do%20%7C%20Remember%20Him%3F%E2%80%9D","Search")</x:f>
        <x:v>HYPERLINK is not implemented. linkLocation=https://www.youtube.com/results?search_query=Axiom-87%20Awakens%E2%80%94%E2%80%9CWhy%20Do%20%7C%20Remember%20Him%3F%E2%80%9D, friendlyName=Search</x:v>
      </x:c>
      <x:c r="K876" s="53" t="str">
        <x:v>The screenshot does not provide enough event context for a reliable chronological placement.</x:v>
      </x:c>
      <x:c r="L876" s="76" t="str"/>
      <x:c r="M876" s="76" t="str">
        <x:v>Axiom-87 Awakens—“Why Do | Remember Him?”</x:v>
      </x:c>
      <x:c r="N876" s="76"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876" s="76" t="str">
        <x:v>Below timeline — placement unresolved</x:v>
      </x:c>
      <x:c r="P876" s="76" t="str">
        <x:v>IMG_6461.PNG</x:v>
      </x:c>
      <x:c r="Q876" s="76" t="str">
        <x:v>Needs review</x:v>
      </x:c>
      <x:c r="R876" s="76" t="str">
        <x:v>Low</x:v>
      </x:c>
      <x:c r="S876" s="76" t="str">
        <x:v>The screenshot does not provide enough event context for a reliable chronological placement.</x:v>
      </x:c>
      <x:c r="T876" s="76" t="str">
        <x:v>Unique</x:v>
      </x:c>
    </x:row>
    <x:row r="877" s="23" customFormat="1" ht="36" customHeight="1">
      <x:c r="A877" s="49" t="b">
        <x:v>0</x:v>
      </x:c>
      <x:c r="B877" s="56" t="str">
        <x:v>FV-0513</x:v>
      </x:c>
      <x:c r="C877" s="53" t="str">
        <x:v>Review &amp; decide — placement unresolved</x:v>
      </x:c>
      <x:c r="D877" s="53" t="str">
        <x:v>Before He Became Emperor i 4</x:v>
      </x:c>
      <x:c r="E877" s="53" t="str"/>
      <x:c r="F877" s="53" t="str">
        <x:v>June 18, 2026</x:v>
      </x:c>
      <x:c r="G877" s="53" t="str">
        <x:v>Fan-made / non-canon</x:v>
      </x:c>
      <x:c r="H877" s="53" t="str">
        <x:v>Fan video</x:v>
      </x:c>
      <x:c r="I877" s="53" t="str">
        <x:v>YouTube — search by title</x:v>
      </x:c>
      <x:c r="J877" s="59" t="e">
        <x:f>HYPERLINK("https://www.youtube.com/results?search_query=Before%20He%20Became%20Emperor%20i%204","Search")</x:f>
        <x:v>HYPERLINK is not implemented. linkLocation=https://www.youtube.com/results?search_query=Before%20He%20Became%20Emperor%20i%204, friendlyName=Search</x:v>
      </x:c>
      <x:c r="K877" s="53" t="str">
        <x:v>The screenshot does not provide enough event context for a reliable chronological placement.</x:v>
      </x:c>
      <x:c r="L877" s="76" t="str"/>
      <x:c r="M877" s="76" t="str">
        <x:v>Before He Became Emperor i 4</x:v>
      </x:c>
      <x:c r="N877" s="76"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877" s="76" t="str">
        <x:v>Below timeline — placement unresolved</x:v>
      </x:c>
      <x:c r="P877" s="76" t="str">
        <x:v>IMG_6702.PNG</x:v>
      </x:c>
      <x:c r="Q877" s="76" t="str">
        <x:v>Needs review</x:v>
      </x:c>
      <x:c r="R877" s="76" t="str">
        <x:v>Low</x:v>
      </x:c>
      <x:c r="S877" s="76" t="str">
        <x:v>The screenshot does not provide enough event context for a reliable chronological placement.</x:v>
      </x:c>
      <x:c r="T877" s="76" t="str">
        <x:v>Unique</x:v>
      </x:c>
    </x:row>
    <x:row r="878" s="23" customFormat="1" ht="36" customHeight="1">
      <x:c r="A878" s="49" t="b">
        <x:v>0</x:v>
      </x:c>
      <x:c r="B878" s="56" t="str">
        <x:v>FV-0280</x:v>
      </x:c>
      <x:c r="C878" s="53" t="str">
        <x:v>Review &amp; decide — placement unresolved</x:v>
      </x:c>
      <x:c r="D878" s="53" t="str">
        <x:v>DARTH KRAYT — The Sith Who Rejected the Rule of Two</x:v>
      </x:c>
      <x:c r="E878" s="53" t="str"/>
      <x:c r="F878" s="53" t="str">
        <x:v>September 2, 2026</x:v>
      </x:c>
      <x:c r="G878" s="53" t="str">
        <x:v>Fan-made / non-canon</x:v>
      </x:c>
      <x:c r="H878" s="53" t="str">
        <x:v>Fan video</x:v>
      </x:c>
      <x:c r="I878" s="53" t="str">
        <x:v>YouTube — search by title</x:v>
      </x:c>
      <x:c r="J878" s="59" t="e">
        <x:f>HYPERLINK("https://www.youtube.com/results?search_query=DARTH%20KRAYT%20%E2%80%94%20The%20Sith%20Who%20Rejected%20the%20Rule%20of%20Two","Search")</x:f>
        <x:v>HYPERLINK is not implemented. linkLocation=https://www.youtube.com/results?search_query=DARTH%20KRAYT%20%E2%80%94%20The%20Sith%20Who%20Rejected%20the%20Rule%20of%20Two, friendlyName=Search</x:v>
      </x:c>
      <x:c r="K878" s="53" t="str">
        <x:v>The screenshot does not provide enough event context for a reliable chronological placement.</x:v>
      </x:c>
      <x:c r="L878" s="76" t="str"/>
      <x:c r="M878" s="76" t="str">
        <x:v>DARTH KRAYT — The Sith Who Rejected the Rule of Two</x:v>
      </x:c>
      <x:c r="N878" s="76"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878" s="76" t="str">
        <x:v>Below timeline — placement unresolved</x:v>
      </x:c>
      <x:c r="P878" s="76" t="str">
        <x:v>IMG_6465.PNG</x:v>
      </x:c>
      <x:c r="Q878" s="76" t="str">
        <x:v>Needs review</x:v>
      </x:c>
      <x:c r="R878" s="76" t="str">
        <x:v>Low</x:v>
      </x:c>
      <x:c r="S878" s="76" t="str">
        <x:v>The screenshot does not provide enough event context for a reliable chronological placement.</x:v>
      </x:c>
      <x:c r="T878" s="76" t="str">
        <x:v>Unique</x:v>
      </x:c>
    </x:row>
    <x:row r="879" s="23" customFormat="1" ht="36" customHeight="1">
      <x:c r="A879" s="49" t="b">
        <x:v>0</x:v>
      </x:c>
      <x:c r="B879" s="56" t="str">
        <x:v>FV-0217</x:v>
      </x:c>
      <x:c r="C879" s="53" t="str">
        <x:v>Review &amp; decide — placement unresolved</x:v>
      </x:c>
      <x:c r="D879" s="53" t="str">
        <x:v>Darth Krayt: Everything Kneels | Episode 1</x:v>
      </x:c>
      <x:c r="E879" s="53" t="str">
        <x:v>Episode 1</x:v>
      </x:c>
      <x:c r="F879" s="53" t="str">
        <x:v>September 13, 2026</x:v>
      </x:c>
      <x:c r="G879" s="53" t="str">
        <x:v>Fan-made / non-canon</x:v>
      </x:c>
      <x:c r="H879" s="53" t="str">
        <x:v>Fan video</x:v>
      </x:c>
      <x:c r="I879" s="53" t="str">
        <x:v>YouTube — search by title</x:v>
      </x:c>
      <x:c r="J879" s="59" t="e">
        <x:f>HYPERLINK("https://www.youtube.com/results?search_query=Darth%20Krayt%3A%20Everything%20Kneels%20%7C%20Episode%201","Search")</x:f>
        <x:v>HYPERLINK is not implemented. linkLocation=https://www.youtube.com/results?search_query=Darth%20Krayt%3A%20Everything%20Kneels%20%7C%20Episode%201, friendlyName=Search</x:v>
      </x:c>
      <x:c r="K879" s="53" t="str">
        <x:v>The screenshot does not provide enough event context for a reliable chronological placement.</x:v>
      </x:c>
      <x:c r="L879" s="76" t="str">
        <x:v>Darth Krayt: Everything Kneels</x:v>
      </x:c>
      <x:c r="M879" s="76" t="str">
        <x:v>Darth Krayt: Everything Kneels | Episode 1</x:v>
      </x:c>
      <x:c r="N879" s="76"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879" s="76" t="str">
        <x:v>Below timeline — placement unresolved</x:v>
      </x:c>
      <x:c r="P879" s="76" t="str">
        <x:v>IMG_6400.PNG</x:v>
      </x:c>
      <x:c r="Q879" s="76" t="str">
        <x:v>Needs review</x:v>
      </x:c>
      <x:c r="R879" s="76" t="str">
        <x:v>Low</x:v>
      </x:c>
      <x:c r="S879" s="76" t="str">
        <x:v>The screenshot does not provide enough event context for a reliable chronological placement.</x:v>
      </x:c>
      <x:c r="T879" s="76" t="str">
        <x:v>Unique</x:v>
      </x:c>
    </x:row>
    <x:row r="880" s="23" customFormat="1" ht="36" customHeight="1">
      <x:c r="A880" s="49" t="b">
        <x:v>0</x:v>
      </x:c>
      <x:c r="B880" s="56" t="str">
        <x:v>FV-0070</x:v>
      </x:c>
      <x:c r="C880" s="53" t="str">
        <x:v>Review &amp; decide — placement unresolved</x:v>
      </x:c>
      <x:c r="D880" s="53" t="str">
        <x:v>Dooku Disarms Maul... Sidious Delivers the Real Blow | Episode 3</x:v>
      </x:c>
      <x:c r="E880" s="53" t="str">
        <x:v>Episode 3</x:v>
      </x:c>
      <x:c r="F880" s="53" t="str">
        <x:v>October 8, 2026</x:v>
      </x:c>
      <x:c r="G880" s="53" t="str">
        <x:v>Fan-made / non-canon</x:v>
      </x:c>
      <x:c r="H880" s="53" t="str">
        <x:v>Fan video</x:v>
      </x:c>
      <x:c r="I880" s="53" t="str">
        <x:v>YouTube — search by title</x:v>
      </x:c>
      <x:c r="J880" s="59" t="e">
        <x:f>HYPERLINK("https://www.youtube.com/results?search_query=Dooku%20Disarms%20Maul...%20Sidious%20Delivers%20the%20Real%20Blow%20%7C%20Episode%203","Search")</x:f>
        <x:v>HYPERLINK is not implemented. linkLocation=https://www.youtube.com/results?search_query=Dooku%20Disarms%20Maul...%20Sidious%20Delivers%20the%20Real%20Blow%20%7C%20Episode%203, friendlyName=Search</x:v>
      </x:c>
      <x:c r="K880" s="53" t="str">
        <x:v>The screenshot does not provide enough event context for a reliable chronological placement.</x:v>
      </x:c>
      <x:c r="L880" s="76" t="str">
        <x:v>Dooku Disarms Maul... Sidious Delivers the Real Blow</x:v>
      </x:c>
      <x:c r="M880" s="76" t="str">
        <x:v>Dooku Disarms Maul... Sidious Delivers the Real Blow | Episode 3</x:v>
      </x:c>
      <x:c r="N880" s="76" t="str">
        <x:v>Maul brings the fury. Dooku brings precision. But
Sidious has the final word.
One brutal lesson leaves Maul disarmed—and his
pride wounded.
“Your anger announces every move.”
Episode 3: “Prove It.”
An original, fan-made Star Wars scene.
#StarWars #CountDooku #DarthMaul #DarthSidious
#Sith
Star Wars™ and its characters belong to Lucasfilm
Ltd.
Support the channel:</x:v>
      </x:c>
      <x:c r="O880" s="76" t="str">
        <x:v>Below timeline — placement unresolved</x:v>
      </x:c>
      <x:c r="P880" s="76" t="str">
        <x:v>IMG_6253.PNG</x:v>
      </x:c>
      <x:c r="Q880" s="76" t="str">
        <x:v>Needs review</x:v>
      </x:c>
      <x:c r="R880" s="76" t="str">
        <x:v>Low</x:v>
      </x:c>
      <x:c r="S880" s="76" t="str">
        <x:v>The screenshot does not provide enough event context for a reliable chronological placement.</x:v>
      </x:c>
      <x:c r="T880" s="76" t="str">
        <x:v>Unique</x:v>
      </x:c>
    </x:row>
    <x:row r="881" s="23" customFormat="1" ht="36" customHeight="1">
      <x:c r="A881" s="49" t="b">
        <x:v>0</x:v>
      </x:c>
      <x:c r="B881" s="56" t="str">
        <x:v>FV-0469</x:v>
      </x:c>
      <x:c r="C881" s="53" t="str">
        <x:v>Review &amp; decide — placement unresolved</x:v>
      </x:c>
      <x:c r="D881" s="53" t="str">
        <x:v>fl The Strength of a Jedi Was Never Meant for Mortals</x:v>
      </x:c>
      <x:c r="E881" s="53" t="str"/>
      <x:c r="F881" s="53" t="str">
        <x:v>June 14, 2026</x:v>
      </x:c>
      <x:c r="G881" s="53" t="str">
        <x:v>Fan-made / non-canon</x:v>
      </x:c>
      <x:c r="H881" s="53" t="str">
        <x:v>Fan video</x:v>
      </x:c>
      <x:c r="I881" s="53" t="str">
        <x:v>YouTube — search by title</x:v>
      </x:c>
      <x:c r="J881" s="59" t="e">
        <x:f>HYPERLINK("https://www.youtube.com/results?search_query=fl%20The%20Strength%20of%20a%20Jedi%20Was%20Never%20Meant%20for%20Mortals","Search")</x:f>
        <x:v>HYPERLINK is not implemented. linkLocation=https://www.youtube.com/results?search_query=fl%20The%20Strength%20of%20a%20Jedi%20Was%20Never%20Meant%20for%20Mortals, friendlyName=Search</x:v>
      </x:c>
      <x:c r="K881" s="53" t="str">
        <x:v>The screenshot does not provide enough event context for a reliable chronological placement.</x:v>
      </x:c>
      <x:c r="L881" s="76" t="str"/>
      <x:c r="M881" s="76" t="str">
        <x:v>fl The Strength of a Jedi Was Never Meant for Mortals</x:v>
      </x:c>
      <x:c r="N881" s="76" t="str">
        <x:v>An ancient gate collapses. A giant beast charges.
One Jedi stands alone between destruction and
survival.
No army. No backup. Just impossible strength,
unshakable resolve, and the power of the Force.
% Would you trust a Jedi to save your world?
#StarWars #Jedi #TheForce #Lightsaber
#JediMaster #SciFi #Cinematic #Fantasy
#ForceUser #Shorts #YouTubeShorts #VoidProtocol
#LegendaryJediFeats
This video is an original Al-assisted production
created, directed, and edited by Blaine Henry. The
conceot. storv. characters. scene direction. action</x:v>
      </x:c>
      <x:c r="O881" s="76" t="str">
        <x:v>Below timeline — placement unresolved</x:v>
      </x:c>
      <x:c r="P881" s="76" t="str">
        <x:v>IMG_6658.PNG</x:v>
      </x:c>
      <x:c r="Q881" s="76" t="str">
        <x:v>Needs review</x:v>
      </x:c>
      <x:c r="R881" s="76" t="str">
        <x:v>Low</x:v>
      </x:c>
      <x:c r="S881" s="76" t="str">
        <x:v>The screenshot does not provide enough event context for a reliable chronological placement.</x:v>
      </x:c>
      <x:c r="T881" s="76" t="str">
        <x:v>Unique</x:v>
      </x:c>
    </x:row>
    <x:row r="882" s="23" customFormat="1" ht="36" customHeight="1">
      <x:c r="A882" s="49" t="b">
        <x:v>0</x:v>
      </x:c>
      <x:c r="B882" s="56" t="str">
        <x:v>FV-0305</x:v>
      </x:c>
      <x:c r="C882" s="53" t="str">
        <x:v>Review &amp; decide — placement unresolved</x:v>
      </x:c>
      <x:c r="D882" s="53" t="str">
        <x:v>FORCE SABER III — THE DARKNESS WITHIN</x:v>
      </x:c>
      <x:c r="E882" s="53" t="str"/>
      <x:c r="F882" s="53" t="str">
        <x:v>August 31, 2026</x:v>
      </x:c>
      <x:c r="G882" s="53" t="str">
        <x:v>Fan-made / non-canon</x:v>
      </x:c>
      <x:c r="H882" s="53" t="str">
        <x:v>Fan video</x:v>
      </x:c>
      <x:c r="I882" s="53" t="str">
        <x:v>YouTube — search by title</x:v>
      </x:c>
      <x:c r="J882" s="59" t="e">
        <x:f>HYPERLINK("https://www.youtube.com/results?search_query=FORCE%20SABER%20III%20%E2%80%94%20THE%20DARKNESS%20WITHIN","Search")</x:f>
        <x:v>HYPERLINK is not implemented. linkLocation=https://www.youtube.com/results?search_query=FORCE%20SABER%20III%20%E2%80%94%20THE%20DARKNESS%20WITHIN, friendlyName=Search</x:v>
      </x:c>
      <x:c r="K882" s="53" t="str">
        <x:v>The screenshot does not provide enough event context for a reliable chronological placement.</x:v>
      </x:c>
      <x:c r="L882" s="76" t="str"/>
      <x:c r="M882" s="76" t="str">
        <x:v>FORCE SABER III — THE DARKNESS WITHIN</x:v>
      </x:c>
      <x:c r="N882" s="76" t="str">
        <x:v>The Force Saber has chosen its wielder... but
something is wrong.
What begins as the discovery of a mysterious
ancient weapon quickly becomes something far
more dangerous when the blade reveals the
darkness hidden inside it. The Jedi may have
believed they were studying the saber—but the
saber was studying them.
And now it has chosen.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x:v>
      </x:c>
      <x:c r="O882" s="76" t="str">
        <x:v>Below timeline — placement unresolved</x:v>
      </x:c>
      <x:c r="P882" s="76" t="str">
        <x:v>IMG_6491.PNG</x:v>
      </x:c>
      <x:c r="Q882" s="76" t="str">
        <x:v>Needs review</x:v>
      </x:c>
      <x:c r="R882" s="76" t="str">
        <x:v>Low</x:v>
      </x:c>
      <x:c r="S882" s="76" t="str">
        <x:v>The screenshot does not provide enough event context for a reliable chronological placement.</x:v>
      </x:c>
      <x:c r="T882" s="76" t="str">
        <x:v>Unique</x:v>
      </x:c>
    </x:row>
    <x:row r="883" s="23" customFormat="1" ht="36" customHeight="1">
      <x:c r="A883" s="49" t="b">
        <x:v>0</x:v>
      </x:c>
      <x:c r="B883" s="56" t="str">
        <x:v>FV-0426</x:v>
      </x:c>
      <x:c r="C883" s="53" t="str">
        <x:v>Review &amp; decide — placement unresolved</x:v>
      </x:c>
      <x:c r="D883" s="53" t="str">
        <x:v>He Thought the Jedi Was Finished... Then the Force Struck Back</x:v>
      </x:c>
      <x:c r="E883" s="53" t="str"/>
      <x:c r="F883" s="53" t="str">
        <x:v>June 6, 2026</x:v>
      </x:c>
      <x:c r="G883" s="53" t="str">
        <x:v>Fan-made / non-canon</x:v>
      </x:c>
      <x:c r="H883" s="53" t="str">
        <x:v>Fan video</x:v>
      </x:c>
      <x:c r="I883" s="53" t="str">
        <x:v>YouTube — search by title</x:v>
      </x:c>
      <x:c r="J883" s="59" t="e">
        <x:f>HYPERLINK("https://www.youtube.com/results?search_query=He%20Thought%20the%20Jedi%20Was%20Finished...%20Then%20the%20Force%20Struck%20Back","Search")</x:f>
        <x:v>HYPERLINK is not implemented. linkLocation=https://www.youtube.com/results?search_query=He%20Thought%20the%20Jedi%20Was%20Finished...%20Then%20the%20Force%20Struck%20Back, friendlyName=Search</x:v>
      </x:c>
      <x:c r="K883" s="53" t="str">
        <x:v>The screenshot does not provide enough event context for a reliable chronological placement.</x:v>
      </x:c>
      <x:c r="L883" s="76" t="str"/>
      <x:c r="M883" s="76" t="str">
        <x:v>He Thought the Jedi Was Finished... Then the Force Struck Back</x:v>
      </x:c>
      <x:c r="N883" s="76" t="str">
        <x:v>The battle looked over until the Jedi unleashed the
Force in a way nobody expected. One mistake, one
opening, and the fight changed instantly.
A fast-paced Force-powered duel featuring
lightsabers, precision combat, and an unforgettable
finish.
#StarWarsInspired #Jedi #TheForce
#LightsaberBattle #SciFiShorts #VoidProtocol
#FantasyBattle #EpicDuel #CinematicShorts
#AlAnimation #Shorts
© ORIGINAL Al CINEMATIC CREATION
This is an original Unleashed production created
from mv own storv concept and creative direction. |</x:v>
      </x:c>
      <x:c r="O883" s="76" t="str">
        <x:v>Below timeline — placement unresolved</x:v>
      </x:c>
      <x:c r="P883" s="76" t="str">
        <x:v>IMG_6612.PNG</x:v>
      </x:c>
      <x:c r="Q883" s="76" t="str">
        <x:v>Needs review</x:v>
      </x:c>
      <x:c r="R883" s="76" t="str">
        <x:v>Low</x:v>
      </x:c>
      <x:c r="S883" s="76" t="str">
        <x:v>The screenshot does not provide enough event context for a reliable chronological placement.</x:v>
      </x:c>
      <x:c r="T883" s="76" t="str">
        <x:v>Unique</x:v>
      </x:c>
    </x:row>
    <x:row r="884" s="23" customFormat="1" ht="36" customHeight="1">
      <x:c r="A884" s="49" t="b">
        <x:v>0</x:v>
      </x:c>
      <x:c r="B884" s="56" t="str">
        <x:v>FV-0425</x:v>
      </x:c>
      <x:c r="C884" s="53" t="str">
        <x:v>Review &amp; decide — placement unresolved</x:v>
      </x:c>
      <x:c r="D884" s="53" t="str">
        <x:v>He Thought The Jedi Was Trapped... Then THIS Happened @ *</x:v>
      </x:c>
      <x:c r="E884" s="53" t="str"/>
      <x:c r="F884" s="53" t="str">
        <x:v>June 5, 2026</x:v>
      </x:c>
      <x:c r="G884" s="53" t="str">
        <x:v>Fan-made / non-canon</x:v>
      </x:c>
      <x:c r="H884" s="53" t="str">
        <x:v>Fan video</x:v>
      </x:c>
      <x:c r="I884" s="53" t="str">
        <x:v>YouTube — search by title</x:v>
      </x:c>
      <x:c r="J884" s="59" t="e">
        <x:f>HYPERLINK("https://www.youtube.com/results?search_query=He%20Thought%20The%20Jedi%20Was%20Trapped...%20Then%20THIS%20Happened%20%40%20*","Search")</x:f>
        <x:v>HYPERLINK is not implemented. linkLocation=https://www.youtube.com/results?search_query=He%20Thought%20The%20Jedi%20Was%20Trapped...%20Then%20THIS%20Happened%20%40%20*, friendlyName=Search</x:v>
      </x:c>
      <x:c r="K884" s="53" t="str">
        <x:v>The screenshot does not provide enough event context for a reliable chronological placement.</x:v>
      </x:c>
      <x:c r="L884" s="76" t="str"/>
      <x:c r="M884" s="76" t="str">
        <x:v>He Thought The Jedi Was Trapped... Then THIS Happened @ *</x:v>
      </x:c>
      <x:c r="N884" s="76" t="str">
        <x:v>The creature had every advantage. Ancient ruins.
Heavy armor. A deadly charge.
But it never expected what the hooded Jedi would
do next.
One Force move changed everything... and the
ending shocked everyone watching.
Would you have survived this encounter?
#VoidProtocol #TheForce #JediBattle #Lightsaber
#EpicFight #DarkFantasy #CreatureAttack
#SciFiShorts #ActionShorts #ViralVideo
#FantasyBattle #Shorts #Cinematic #AIFilm
#EpicEnding</x:v>
      </x:c>
      <x:c r="O884" s="76" t="str">
        <x:v>Below timeline — placement unresolved</x:v>
      </x:c>
      <x:c r="P884" s="76" t="str">
        <x:v>IMG_6611.PNG</x:v>
      </x:c>
      <x:c r="Q884" s="76" t="str">
        <x:v>Needs review</x:v>
      </x:c>
      <x:c r="R884" s="76" t="str">
        <x:v>Low</x:v>
      </x:c>
      <x:c r="S884" s="76" t="str">
        <x:v>The screenshot does not provide enough event context for a reliable chronological placement.</x:v>
      </x:c>
      <x:c r="T884" s="76" t="str">
        <x:v>Unique</x:v>
      </x:c>
    </x:row>
    <x:row r="885" s="23" customFormat="1" ht="36" customHeight="1">
      <x:c r="A885" s="49" t="b">
        <x:v>0</x:v>
      </x:c>
      <x:c r="B885" s="56" t="str">
        <x:v>FV-0543</x:v>
      </x:c>
      <x:c r="C885" s="53" t="str">
        <x:v>Review &amp; decide — placement unresolved</x:v>
      </x:c>
      <x:c r="D885" s="53" t="str">
        <x:v>High Keeper Elyra Holds the Line | Epic Jedi Battlefield Defense</x:v>
      </x:c>
      <x:c r="E885" s="53" t="str">
        <x:v>Epic</x:v>
      </x:c>
      <x:c r="F885" s="53" t="str">
        <x:v>July 28, 2026</x:v>
      </x:c>
      <x:c r="G885" s="53" t="str">
        <x:v>Fan-made / non-canon</x:v>
      </x:c>
      <x:c r="H885" s="53" t="str">
        <x:v>Fan video</x:v>
      </x:c>
      <x:c r="I885" s="53" t="str">
        <x:v>YouTube — search by title</x:v>
      </x:c>
      <x:c r="J885" s="59" t="e">
        <x:f>HYPERLINK("https://www.youtube.com/results?search_query=High%20Keeper%20Elyra%20Holds%20the%20Line%20%7C%20Epic%20Jedi%20Battlefield%20Defense","Search")</x:f>
        <x:v>HYPERLINK is not implemented. linkLocation=https://www.youtube.com/results?search_query=High%20Keeper%20Elyra%20Holds%20the%20Line%20%7C%20Epic%20Jedi%20Battlefield%20Defense, friendlyName=Search</x:v>
      </x:c>
      <x:c r="K885" s="53" t="str">
        <x:v>The screenshot does not provide enough event context for a reliable chronological placement.</x:v>
      </x:c>
      <x:c r="L885" s="76" t="str">
        <x:v>High Keeper Elyra Holds the Line</x:v>
      </x:c>
      <x:c r="M885" s="76" t="str">
        <x:v>High Keeper Elyra Holds the Line | Epic Jedi Battlefield Defense</x:v>
      </x:c>
      <x:c r="N885" s="76" t="str">
        <x:v>When the battlefield begins to fall and every soldier
is forced into retreat, one Jedi Master refuses to
yield.
High Keeper Elyra walks alone into the chaos with
unmatched calm and unwavering resolve. Armed
with only her blue lightsaber and centuries of
discipline, she stands between an advancing enemy
army and the defenders who have lost all hope.
Every movement is precise. Every strike has
purpose. Sometimes the strongest warrior is the
one who never loses their composure.
If you enjoy cinematic Jedi battles, subscribe for
more epic adventures and exclusive content:
Facebook: https://www.facebook.com/
JediChroniclesbyUnleashed</x:v>
      </x:c>
      <x:c r="O885" s="76" t="str">
        <x:v>Below timeline — placement unresolved</x:v>
      </x:c>
      <x:c r="P885" s="76" t="str">
        <x:v>IMG_6732.PNG</x:v>
      </x:c>
      <x:c r="Q885" s="76" t="str">
        <x:v>Needs review</x:v>
      </x:c>
      <x:c r="R885" s="76" t="str">
        <x:v>Low</x:v>
      </x:c>
      <x:c r="S885" s="76" t="str">
        <x:v>The screenshot does not provide enough event context for a reliable chronological placement.</x:v>
      </x:c>
      <x:c r="T885" s="76" t="str">
        <x:v>Unique</x:v>
      </x:c>
    </x:row>
    <x:row r="886" s="23" customFormat="1" ht="36" customHeight="1">
      <x:c r="A886" s="49" t="b">
        <x:v>0</x:v>
      </x:c>
      <x:c r="B886" s="56" t="str">
        <x:v>FV-0406</x:v>
      </x:c>
      <x:c r="C886" s="53" t="str">
        <x:v>Review &amp; decide — placement unresolved</x:v>
      </x:c>
      <x:c r="D886" s="53" t="str">
        <x:v>Jedi vs Unknown....Too Fast To React</x:v>
      </x:c>
      <x:c r="E886" s="53" t="str"/>
      <x:c r="F886" s="53" t="str">
        <x:v>May 11, 2026</x:v>
      </x:c>
      <x:c r="G886" s="53" t="str">
        <x:v>Fan-made / non-canon</x:v>
      </x:c>
      <x:c r="H886" s="53" t="str">
        <x:v>Fan video</x:v>
      </x:c>
      <x:c r="I886" s="53" t="str">
        <x:v>YouTube — search by title</x:v>
      </x:c>
      <x:c r="J886" s="59" t="e">
        <x:f>HYPERLINK("https://www.youtube.com/results?search_query=Jedi%20vs%20Unknown....Too%20Fast%20To%20React","Search")</x:f>
        <x:v>HYPERLINK is not implemented. linkLocation=https://www.youtube.com/results?search_query=Jedi%20vs%20Unknown....Too%20Fast%20To%20React, friendlyName=Search</x:v>
      </x:c>
      <x:c r="K886" s="53" t="str">
        <x:v>The screenshot does not provide enough event context for a reliable chronological placement.</x:v>
      </x:c>
      <x:c r="L886" s="76" t="str"/>
      <x:c r="M886" s="76" t="str">
        <x:v>Jedi vs Unknown....Too Fast To React</x:v>
      </x:c>
      <x:c r="N886" s="76" t="str">
        <x:v>Too fast to see.
Too close to stop.
One mistake...
and it's over.
Out here, even a Jedi doesn’t get a second chance.
Every move counts.
Every second matters.
Would you survive this fight?
#VoidProtocol #JediVsTheUnknown #Lightsaber
#Cinematic #Shorts #Action</x:v>
      </x:c>
      <x:c r="O886" s="76" t="str">
        <x:v>Below timeline — placement unresolved</x:v>
      </x:c>
      <x:c r="P886" s="76" t="str">
        <x:v>IMG_6592.PNG</x:v>
      </x:c>
      <x:c r="Q886" s="76" t="str">
        <x:v>Needs review</x:v>
      </x:c>
      <x:c r="R886" s="76" t="str">
        <x:v>Low</x:v>
      </x:c>
      <x:c r="S886" s="76" t="str">
        <x:v>The screenshot does not provide enough event context for a reliable chronological placement.</x:v>
      </x:c>
      <x:c r="T886" s="76" t="str">
        <x:v>Unique</x:v>
      </x:c>
    </x:row>
    <x:row r="887" s="23" customFormat="1" ht="36" customHeight="1">
      <x:c r="A887" s="49" t="b">
        <x:v>0</x:v>
      </x:c>
      <x:c r="B887" s="56" t="str">
        <x:v>FV-0255</x:v>
      </x:c>
      <x:c r="C887" s="53" t="str">
        <x:v>Review &amp; decide — placement unresolved</x:v>
      </x:c>
      <x:c r="D887" s="53" t="str">
        <x:v>KAR VASTOR — THEY BROUGHT AN ARMY INTO HIS JUNGLE</x:v>
      </x:c>
      <x:c r="E887" s="53" t="str"/>
      <x:c r="F887" s="53" t="str">
        <x:v>September 5, 2026</x:v>
      </x:c>
      <x:c r="G887" s="53" t="str">
        <x:v>Fan-made / non-canon</x:v>
      </x:c>
      <x:c r="H887" s="53" t="str">
        <x:v>Fan video</x:v>
      </x:c>
      <x:c r="I887" s="53" t="str">
        <x:v>YouTube — search by title</x:v>
      </x:c>
      <x:c r="J887" s="59" t="e">
        <x:f>HYPERLINK("https://www.youtube.com/results?search_query=KAR%20VASTOR%20%E2%80%94%20THEY%20BROUGHT%20AN%20ARMY%20INTO%20HIS%20JUNGLE","Search")</x:f>
        <x:v>HYPERLINK is not implemented. linkLocation=https://www.youtube.com/results?search_query=KAR%20VASTOR%20%E2%80%94%20THEY%20BROUGHT%20AN%20ARMY%20INTO%20HIS%20JUNGLE, friendlyName=Search</x:v>
      </x:c>
      <x:c r="K887" s="53" t="str">
        <x:v>The screenshot does not provide enough event context for a reliable chronological placement.</x:v>
      </x:c>
      <x:c r="L887" s="76" t="str"/>
      <x:c r="M887" s="76" t="str">
        <x:v>KAR VASTOR — THEY BROUGHT AN ARMY INTO HIS JUNGLE</x:v>
      </x:c>
      <x:c r="N887" s="76"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887" s="76" t="str">
        <x:v>Below timeline — placement unresolved</x:v>
      </x:c>
      <x:c r="P887" s="76" t="str">
        <x:v>IMG_6440.PNG</x:v>
      </x:c>
      <x:c r="Q887" s="76" t="str">
        <x:v>Needs review</x:v>
      </x:c>
      <x:c r="R887" s="76" t="str">
        <x:v>Low</x:v>
      </x:c>
      <x:c r="S887" s="76" t="str">
        <x:v>The screenshot does not provide enough event context for a reliable chronological placement.</x:v>
      </x:c>
      <x:c r="T887" s="76" t="str">
        <x:v>Unique</x:v>
      </x:c>
    </x:row>
    <x:row r="888" s="23" customFormat="1" ht="36" customHeight="1">
      <x:c r="A888" s="49" t="b">
        <x:v>0</x:v>
      </x:c>
      <x:c r="B888" s="56" t="str">
        <x:v>FV-0481</x:v>
      </x:c>
      <x:c r="C888" s="53" t="str">
        <x:v>Review &amp; decide — placement unresolved</x:v>
      </x:c>
      <x:c r="D888" s="53" t="str">
        <x:v>Lone Warrior vs An Impossible Alien Creature</x:v>
      </x:c>
      <x:c r="E888" s="53" t="str"/>
      <x:c r="F888" s="53" t="str">
        <x:v>June 14, 2026</x:v>
      </x:c>
      <x:c r="G888" s="53" t="str">
        <x:v>Fan-made / non-canon</x:v>
      </x:c>
      <x:c r="H888" s="53" t="str">
        <x:v>Fan video</x:v>
      </x:c>
      <x:c r="I888" s="53" t="str">
        <x:v>YouTube — search by title</x:v>
      </x:c>
      <x:c r="J888" s="59" t="e">
        <x:f>HYPERLINK("https://www.youtube.com/results?search_query=Lone%20Warrior%20vs%20An%20Impossible%20Alien%20Creature","Search")</x:f>
        <x:v>HYPERLINK is not implemented. linkLocation=https://www.youtube.com/results?search_query=Lone%20Warrior%20vs%20An%20Impossible%20Alien%20Creature, friendlyName=Search</x:v>
      </x:c>
      <x:c r="K888" s="53" t="str">
        <x:v>The screenshot does not provide enough event context for a reliable chronological placement.</x:v>
      </x:c>
      <x:c r="L888" s="76" t="str"/>
      <x:c r="M888" s="76" t="str">
        <x:v>Lone Warrior vs An Impossible Alien Creature</x:v>
      </x:c>
      <x:c r="N888" s="76" t="str">
        <x:v>Alone in a forgotten world, a lone warrior comes
face-to-face with a creature that should not exist.
Bigger, faster, and more dangerous than anything
he's ever encountered, survival becomes a battle
against the impossible.
Who would win this fight?
™ Follow for more epic warriors, alien creatures,
ancient worlds, and cinematic battles.
#LoneWarrior #AlienCreature #EpicBattle #SciFi
#Fantasy #Cinematic #MonsterBattle
#CreatureFeature #Shorts #ImpossibleOdds
#WarriorVsMonster
bmene cla tm encdiae wats ciclo</x:v>
      </x:c>
      <x:c r="O888" s="76" t="str">
        <x:v>Below timeline — placement unresolved</x:v>
      </x:c>
      <x:c r="P888" s="76" t="str">
        <x:v>IMG_6670.PNG</x:v>
      </x:c>
      <x:c r="Q888" s="76" t="str">
        <x:v>Needs review</x:v>
      </x:c>
      <x:c r="R888" s="76" t="str">
        <x:v>Low</x:v>
      </x:c>
      <x:c r="S888" s="76" t="str">
        <x:v>The screenshot does not provide enough event context for a reliable chronological placement.</x:v>
      </x:c>
      <x:c r="T888" s="76" t="str">
        <x:v>Unique</x:v>
      </x:c>
    </x:row>
    <x:row r="889" s="23" customFormat="1" ht="36" customHeight="1">
      <x:c r="A889" s="49" t="b">
        <x:v>0</x:v>
      </x:c>
      <x:c r="B889" s="56" t="str">
        <x:v>FV-0227</x:v>
      </x:c>
      <x:c r="C889" s="53" t="str">
        <x:v>Review &amp; decide — placement unresolved</x:v>
      </x:c>
      <x:c r="D889" s="53" t="str">
        <x:v>NIGHTSISTERS: THE GRAVE THORN | EPISODE 1</x:v>
      </x:c>
      <x:c r="E889" s="53" t="str">
        <x:v>EPISODE 1</x:v>
      </x:c>
      <x:c r="F889" s="53" t="str">
        <x:v>September 12, 2026</x:v>
      </x:c>
      <x:c r="G889" s="53" t="str">
        <x:v>Fan-made / non-canon</x:v>
      </x:c>
      <x:c r="H889" s="53" t="str">
        <x:v>Fan video</x:v>
      </x:c>
      <x:c r="I889" s="53" t="str">
        <x:v>YouTube — search by title</x:v>
      </x:c>
      <x:c r="J889" s="59" t="e">
        <x:f>HYPERLINK("https://www.youtube.com/results?search_query=NIGHTSISTERS%3A%20THE%20GRAVE%20THORN%20%7C%20EPISODE%201","Search")</x:f>
        <x:v>HYPERLINK is not implemented. linkLocation=https://www.youtube.com/results?search_query=NIGHTSISTERS%3A%20THE%20GRAVE%20THORN%20%7C%20EPISODE%201, friendlyName=Search</x:v>
      </x:c>
      <x:c r="K889" s="53" t="str">
        <x:v>The screenshot does not provide enough event context for a reliable chronological placement.</x:v>
      </x:c>
      <x:c r="L889" s="76" t="str">
        <x:v>NIGHTSISTERS: THE GRAVE THORN</x:v>
      </x:c>
      <x:c r="M889" s="76" t="str">
        <x:v>NIGHTSISTERS: THE GRAVE THORN | EPISODE 1</x:v>
      </x:c>
      <x:c r="N889" s="76"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889" s="76" t="str">
        <x:v>Below timeline — placement unresolved</x:v>
      </x:c>
      <x:c r="P889" s="76" t="str">
        <x:v>IMG_6410.PNG</x:v>
      </x:c>
      <x:c r="Q889" s="76" t="str">
        <x:v>Needs review</x:v>
      </x:c>
      <x:c r="R889" s="76" t="str">
        <x:v>Low</x:v>
      </x:c>
      <x:c r="S889" s="76" t="str">
        <x:v>The screenshot does not provide enough event context for a reliable chronological placement.</x:v>
      </x:c>
      <x:c r="T889" s="76" t="str">
        <x:v>Unique</x:v>
      </x:c>
    </x:row>
    <x:row r="890" s="23" customFormat="1" ht="36" customHeight="1">
      <x:c r="A890" s="49" t="b">
        <x:v>0</x:v>
      </x:c>
      <x:c r="B890" s="56" t="str">
        <x:v>FV-0362</x:v>
      </x:c>
      <x:c r="C890" s="53" t="str">
        <x:v>Review &amp; decide — placement unresolved</x:v>
      </x:c>
      <x:c r="D890" s="53" t="str">
        <x:v>Obi-Wan Builds the Bridge While the Train Is Still Moving</x:v>
      </x:c>
      <x:c r="E890" s="53" t="str"/>
      <x:c r="F890" s="53" t="str">
        <x:v>August 25, 2026</x:v>
      </x:c>
      <x:c r="G890" s="53" t="str">
        <x:v>Fan-made / non-canon</x:v>
      </x:c>
      <x:c r="H890" s="53" t="str">
        <x:v>Fan video</x:v>
      </x:c>
      <x:c r="I890" s="53" t="str">
        <x:v>YouTube — search by title</x:v>
      </x:c>
      <x:c r="J890" s="59" t="e">
        <x:f>HYPERLINK("https://www.youtube.com/results?search_query=Obi-Wan%20Builds%20the%20Bridge%20While%20the%20Train%20Is%20Still%20Moving","Search")</x:f>
        <x:v>HYPERLINK is not implemented. linkLocation=https://www.youtube.com/results?search_query=Obi-Wan%20Builds%20the%20Bridge%20While%20the%20Train%20Is%20Still%20Moving, friendlyName=Search</x:v>
      </x:c>
      <x:c r="K890" s="53" t="str">
        <x:v>The screenshot does not provide enough event context for a reliable chronological placement.</x:v>
      </x:c>
      <x:c r="L890" s="76" t="str"/>
      <x:c r="M890" s="76" t="str">
        <x:v>Obi-Wan Builds the Bridge While the Train Is Still Moving</x:v>
      </x:c>
      <x:c r="N890" s="76" t="str">
        <x:v>Cash App: $brednew | PayPal: @blainehenry688
The bridge is collapsing. The evacuation train can't
stop. Hundreds of lives are racing toward a gap with
nothing but open sky beneath it.
Obi-Wan doesn't stop the train.
He builds the bridge in front of it. &amp; @
Piece by piece. Second by second. With the road
disappearing behind him and hundreds of people
depending on what he does next.
Sometimes being a Jedi isn't about winning a duel.
Sometimes it's about doing the impossible.</x:v>
      </x:c>
      <x:c r="O890" s="76" t="str">
        <x:v>Below timeline — placement unresolved</x:v>
      </x:c>
      <x:c r="P890" s="76" t="str">
        <x:v>IMG_6548.PNG</x:v>
      </x:c>
      <x:c r="Q890" s="76" t="str">
        <x:v>Needs review</x:v>
      </x:c>
      <x:c r="R890" s="76" t="str">
        <x:v>Low</x:v>
      </x:c>
      <x:c r="S890" s="76" t="str">
        <x:v>The screenshot does not provide enough event context for a reliable chronological placement.</x:v>
      </x:c>
      <x:c r="T890" s="76" t="str">
        <x:v>Unique</x:v>
      </x:c>
    </x:row>
    <x:row r="891" s="23" customFormat="1" ht="36" customHeight="1">
      <x:c r="A891" s="49" t="b">
        <x:v>0</x:v>
      </x:c>
      <x:c r="B891" s="56" t="str">
        <x:v>FV-0287</x:v>
      </x:c>
      <x:c r="C891" s="53" t="str">
        <x:v>Review &amp; decide — placement unresolved</x:v>
      </x:c>
      <x:c r="D891" s="53" t="str">
        <x:v>OMEGA FROST: The Empire's Planet-Freezing Weapon</x:v>
      </x:c>
      <x:c r="E891" s="53" t="str"/>
      <x:c r="F891" s="53" t="str">
        <x:v>September 2, 2026</x:v>
      </x:c>
      <x:c r="G891" s="53" t="str">
        <x:v>Fan-made / non-canon</x:v>
      </x:c>
      <x:c r="H891" s="53" t="str">
        <x:v>Fan video</x:v>
      </x:c>
      <x:c r="I891" s="53" t="str">
        <x:v>YouTube — search by title</x:v>
      </x:c>
      <x:c r="J891" s="59" t="e">
        <x:f>HYPERLINK("https://www.youtube.com/results?search_query=OMEGA%20FROST%3A%20The%20Empire's%20Planet-Freezing%20Weapon","Search")</x:f>
        <x:v>HYPERLINK is not implemented. linkLocation=https://www.youtube.com/results?search_query=OMEGA%20FROST%3A%20The%20Empire's%20Planet-Freezing%20Weapon, friendlyName=Search</x:v>
      </x:c>
      <x:c r="K891" s="53" t="str">
        <x:v>The screenshot does not provide enough event context for a reliable chronological placement.</x:v>
      </x:c>
      <x:c r="L891" s="76" t="str"/>
      <x:c r="M891" s="76" t="str">
        <x:v>OMEGA FROST: The Empire's Planet-Freezing Weapon</x:v>
      </x:c>
      <x:c r="N891" s="76" t="str">
        <x:v>The Empire has developed a terrifying new
technology.
From orbit, Omega Frost activates—and an
unstoppable wave of freezing energy begins
spreading across the planet below.
Cities, terrain, and entire regions disappear beneath
the advancing cold as the Empire demonstrates a
weapon capable of turning a living world into a
frozen wasteland.
This isn't planetary destruction by fire.
The Empire is freezing worlds alive.
#StarWars #GalacticEmpire #OmegaFrost</x:v>
      </x:c>
      <x:c r="O891" s="76" t="str">
        <x:v>Below timeline — placement unresolved</x:v>
      </x:c>
      <x:c r="P891" s="76" t="str">
        <x:v>IMG_6472.PNG</x:v>
      </x:c>
      <x:c r="Q891" s="76" t="str">
        <x:v>Needs review</x:v>
      </x:c>
      <x:c r="R891" s="76" t="str">
        <x:v>Low</x:v>
      </x:c>
      <x:c r="S891" s="76" t="str">
        <x:v>The screenshot does not provide enough event context for a reliable chronological placement.</x:v>
      </x:c>
      <x:c r="T891" s="76" t="str">
        <x:v>Unique</x:v>
      </x:c>
    </x:row>
    <x:row r="892" s="23" customFormat="1" ht="36" customHeight="1">
      <x:c r="A892" s="49" t="b">
        <x:v>0</x:v>
      </x:c>
      <x:c r="B892" s="56" t="str">
        <x:v>FV-0228</x:v>
      </x:c>
      <x:c r="C892" s="53" t="str">
        <x:v>Review &amp; decide — placement unresolved</x:v>
      </x:c>
      <x:c r="D892" s="53" t="str">
        <x:v>September 10, 2026</x:v>
      </x:c>
      <x:c r="E892" s="53" t="str"/>
      <x:c r="F892" s="53" t="str">
        <x:v>September 10, 2026</x:v>
      </x:c>
      <x:c r="G892" s="53" t="str">
        <x:v>Fan-made / non-canon</x:v>
      </x:c>
      <x:c r="H892" s="53" t="str">
        <x:v>Fan video</x:v>
      </x:c>
      <x:c r="I892" s="53" t="str">
        <x:v>YouTube — search by title</x:v>
      </x:c>
      <x:c r="J892" s="59" t="e">
        <x:f>HYPERLINK("https://www.youtube.com/results?search_query=September%2010%2C%202026","Search")</x:f>
        <x:v>HYPERLINK is not implemented. linkLocation=https://www.youtube.com/results?search_query=September%2010%2C%202026, friendlyName=Search</x:v>
      </x:c>
      <x:c r="K892" s="53" t="str">
        <x:v>The screenshot does not provide enough event context for a reliable chronological placement.</x:v>
      </x:c>
      <x:c r="L892" s="76" t="str"/>
      <x:c r="M892" s="76" t="str">
        <x:v>September 10, 2026</x:v>
      </x:c>
      <x:c r="N892" s="76" t="str">
        <x:v>How this was made
Made with Al
Sounds or visuals were altered or fully generated. Learn
more</x:v>
      </x:c>
      <x:c r="O892" s="76" t="str">
        <x:v>Below timeline — placement unresolved</x:v>
      </x:c>
      <x:c r="P892" s="76" t="str">
        <x:v>IMG_6411.PNG</x:v>
      </x:c>
      <x:c r="Q892" s="76" t="str">
        <x:v>Needs review</x:v>
      </x:c>
      <x:c r="R892" s="76" t="str">
        <x:v>Low</x:v>
      </x:c>
      <x:c r="S892" s="76" t="str">
        <x:v>The screenshot does not provide enough event context for a reliable chronological placement.</x:v>
      </x:c>
      <x:c r="T892" s="76" t="str">
        <x:v>Unique</x:v>
      </x:c>
    </x:row>
    <x:row r="893" s="23" customFormat="1" ht="36" customHeight="1">
      <x:c r="A893" s="49" t="b">
        <x:v>0</x:v>
      </x:c>
      <x:c r="B893" s="56" t="str">
        <x:v>FV-0253</x:v>
      </x:c>
      <x:c r="C893" s="53" t="str">
        <x:v>Review &amp; decide — placement unresolved</x:v>
      </x:c>
      <x:c r="D893" s="53" t="str">
        <x:v>September 5, 2026</x:v>
      </x:c>
      <x:c r="E893" s="53" t="str"/>
      <x:c r="F893" s="53" t="str">
        <x:v>September 5, 2026</x:v>
      </x:c>
      <x:c r="G893" s="53" t="str">
        <x:v>Fan-made / non-canon</x:v>
      </x:c>
      <x:c r="H893" s="53" t="str">
        <x:v>Fan video</x:v>
      </x:c>
      <x:c r="I893" s="53" t="str">
        <x:v>YouTube — search by title</x:v>
      </x:c>
      <x:c r="J893" s="59" t="e">
        <x:f>HYPERLINK("https://www.youtube.com/results?search_query=September%205%2C%202026","Search")</x:f>
        <x:v>HYPERLINK is not implemented. linkLocation=https://www.youtube.com/results?search_query=September%205%2C%202026, friendlyName=Search</x:v>
      </x:c>
      <x:c r="K893" s="53" t="str">
        <x:v>The screenshot does not provide enough event context for a reliable chronological placement.</x:v>
      </x:c>
      <x:c r="L893" s="76" t="str"/>
      <x:c r="M893" s="76" t="str">
        <x:v>September 5, 2026</x:v>
      </x:c>
      <x:c r="N893" s="76" t="str">
        <x:v>No description text is visible in the screenshot.</x:v>
      </x:c>
      <x:c r="O893" s="76" t="str">
        <x:v>Below timeline — placement unresolved</x:v>
      </x:c>
      <x:c r="P893" s="76" t="str">
        <x:v>IMG_6438.PNG</x:v>
      </x:c>
      <x:c r="Q893" s="76" t="str">
        <x:v>Needs review</x:v>
      </x:c>
      <x:c r="R893" s="76" t="str">
        <x:v>Low</x:v>
      </x:c>
      <x:c r="S893" s="76" t="str">
        <x:v>The screenshot does not provide enough event context for a reliable chronological placement.</x:v>
      </x:c>
      <x:c r="T893" s="76" t="str">
        <x:v>Unique</x:v>
      </x:c>
    </x:row>
    <x:row r="894" s="23" customFormat="1" ht="36" customHeight="1">
      <x:c r="A894" s="49" t="b">
        <x:v>0</x:v>
      </x:c>
      <x:c r="B894" s="56" t="str">
        <x:v>FV-0565</x:v>
      </x:c>
      <x:c r="C894" s="53" t="str">
        <x:v>Review &amp; decide — placement unresolved</x:v>
      </x:c>
      <x:c r="D894" s="53" t="str">
        <x:v>SHADOW — They Never Saw Him Coming *~</x:v>
      </x:c>
      <x:c r="E894" s="53" t="str"/>
      <x:c r="F894" s="53" t="str">
        <x:v>August 21, 2026</x:v>
      </x:c>
      <x:c r="G894" s="53" t="str">
        <x:v>Fan-made / non-canon</x:v>
      </x:c>
      <x:c r="H894" s="53" t="str">
        <x:v>Fan video</x:v>
      </x:c>
      <x:c r="I894" s="53" t="str">
        <x:v>YouTube — search by title</x:v>
      </x:c>
      <x:c r="J894" s="59" t="e">
        <x:f>HYPERLINK("https://www.youtube.com/results?search_query=SHADOW%20%E2%80%94%20They%20Never%20Saw%20Him%20Coming%20*~","Search")</x:f>
        <x:v>HYPERLINK is not implemented. linkLocation=https://www.youtube.com/results?search_query=SHADOW%20%E2%80%94%20They%20Never%20Saw%20Him%20Coming%20*~, friendlyName=Search</x:v>
      </x:c>
      <x:c r="K894" s="53" t="str">
        <x:v>The screenshot does not provide enough event context for a reliable chronological placement.</x:v>
      </x:c>
      <x:c r="L894" s="76" t="str">
        <x:v>Shadow</x:v>
      </x:c>
      <x:c r="M894" s="76" t="str">
        <x:v>SHADOW — They Never Saw Him Coming *~</x:v>
      </x:c>
      <x:c r="N894" s="76" t="str">
        <x:v>3 Cash App: $brednew
© PayPal: @blainehenry688
SHADOW ¥~
Black hood. Blue blade. No hesitation.
In the middle of a rain-soaked battlefield, Shadow
doesn't overpower his enemies with noise or
intimidation.
He lets the blade do the talking.
By the time they understand what they're facing,
he's already moving on.</x:v>
      </x:c>
      <x:c r="O894" s="76" t="str">
        <x:v>Below timeline — placement unresolved</x:v>
      </x:c>
      <x:c r="P894" s="76" t="str">
        <x:v>IMG_6755.PNG</x:v>
      </x:c>
      <x:c r="Q894" s="76" t="str">
        <x:v>Needs review</x:v>
      </x:c>
      <x:c r="R894" s="76" t="str">
        <x:v>Low</x:v>
      </x:c>
      <x:c r="S894" s="76" t="str">
        <x:v>The screenshot does not provide enough event context for a reliable chronological placement.</x:v>
      </x:c>
      <x:c r="T894" s="76" t="str">
        <x:v>Unique</x:v>
      </x:c>
    </x:row>
    <x:row r="895" s="23" customFormat="1" ht="36" customHeight="1">
      <x:c r="A895" s="49" t="b">
        <x:v>0</x:v>
      </x:c>
      <x:c r="B895" s="56" t="str">
        <x:v>FV-0528</x:v>
      </x:c>
      <x:c r="C895" s="53" t="str">
        <x:v>Review &amp; decide — placement unresolved</x:v>
      </x:c>
      <x:c r="D895" s="53" t="str">
        <x:v>Shadow Faced The Guardian | Part 4</x:v>
      </x:c>
      <x:c r="E895" s="53" t="str">
        <x:v>Part 4</x:v>
      </x:c>
      <x:c r="F895" s="53" t="str">
        <x:v>June 20, 2026</x:v>
      </x:c>
      <x:c r="G895" s="53" t="str">
        <x:v>Fan-made / non-canon</x:v>
      </x:c>
      <x:c r="H895" s="53" t="str">
        <x:v>Fan video</x:v>
      </x:c>
      <x:c r="I895" s="53" t="str">
        <x:v>YouTube — search by title</x:v>
      </x:c>
      <x:c r="J895" s="59" t="e">
        <x:f>HYPERLINK("https://www.youtube.com/results?search_query=Shadow%20Faced%20The%20Guardian%20%7C%20Part%204","Search")</x:f>
        <x:v>HYPERLINK is not implemented. linkLocation=https://www.youtube.com/results?search_query=Shadow%20Faced%20The%20Guardian%20%7C%20Part%204, friendlyName=Search</x:v>
      </x:c>
      <x:c r="K895" s="53" t="str">
        <x:v>The screenshot does not provide enough event context for a reliable chronological placement.</x:v>
      </x:c>
      <x:c r="L895" s="76" t="str">
        <x:v>Shadow</x:v>
      </x:c>
      <x:c r="M895" s="76" t="str">
        <x:v>Shadow Faced The Guardian | Part 4</x:v>
      </x:c>
      <x:c r="N895" s="76" t="str">
        <x:v>The stories had already begun.
The sightings had spread across the frontier.
But legends are only stories until they are tested.
Deep within Blackwater Swamp, Shadow
encountered an ancient guardian feared by every
traveler who entered the fog.
A creature older than the kingdoms themselves.
A creature no one dared challenge.
Most would have turned back.
Shadow stepped forward.</x:v>
      </x:c>
      <x:c r="O895" s="76" t="str">
        <x:v>Below timeline — placement unresolved</x:v>
      </x:c>
      <x:c r="P895" s="76" t="str">
        <x:v>IMG_6717.PNG</x:v>
      </x:c>
      <x:c r="Q895" s="76" t="str">
        <x:v>Needs review</x:v>
      </x:c>
      <x:c r="R895" s="76" t="str">
        <x:v>Low</x:v>
      </x:c>
      <x:c r="S895" s="76" t="str">
        <x:v>The screenshot does not provide enough event context for a reliable chronological placement.</x:v>
      </x:c>
      <x:c r="T895" s="76" t="str">
        <x:v>Unique</x:v>
      </x:c>
    </x:row>
    <x:row r="896" s="23" customFormat="1" ht="36" customHeight="1">
      <x:c r="A896" s="49" t="b">
        <x:v>0</x:v>
      </x:c>
      <x:c r="B896" s="56" t="str">
        <x:v>FV-0035</x:v>
      </x:c>
      <x:c r="C896" s="53" t="str">
        <x:v>Review &amp; decide — placement unresolved</x:v>
      </x:c>
      <x:c r="D896" s="53" t="str">
        <x:v>Sidious Ordered One to Survive... Maul Defied Him | Star Wars</x:v>
      </x:c>
      <x:c r="E896" s="53" t="str"/>
      <x:c r="F896" s="53" t="str">
        <x:v>October 12, 2026</x:v>
      </x:c>
      <x:c r="G896" s="53" t="str">
        <x:v>Fan-made / non-canon</x:v>
      </x:c>
      <x:c r="H896" s="53" t="str">
        <x:v>Fan video</x:v>
      </x:c>
      <x:c r="I896" s="53" t="str">
        <x:v>YouTube — search by title</x:v>
      </x:c>
      <x:c r="J896" s="59" t="e">
        <x:f>HYPERLINK("https://www.youtube.com/results?search_query=Sidious%20Ordered%20One%20to%20Survive...%20Maul%20Defied%20Him%20%7C%20Star%20Wars","Search")</x:f>
        <x:v>HYPERLINK is not implemented. linkLocation=https://www.youtube.com/results?search_query=Sidious%20Ordered%20One%20to%20Survive...%20Maul%20Defied%20Him%20%7C%20Star%20Wars, friendlyName=Search</x:v>
      </x:c>
      <x:c r="K896" s="53" t="str">
        <x:v>The screenshot does not provide enough event context for a reliable chronological placement.</x:v>
      </x:c>
      <x:c r="L896" s="76" t="str"/>
      <x:c r="M896" s="76" t="str">
        <x:v>Sidious Ordered One to Survive... Maul Defied Him | Star Wars</x:v>
      </x:c>
      <x:c r="N896" s="76" t="str">
        <x:v>Sidious turns Maul and Dooku’s rivalry into a deadly
test: only one needs to return.
But Maul makes an unexpected choice—and Dooku
returns the favor.
Two rivals. One collapsing platform. A master willing
to sacrifice either of them.
Subscribe for more cinematic Star Wars stories!
Original, unofficial fan-made scene inspired by Star
Wars.
Star Wars™ and related characters belong to
Lucasfilm Ltd. All trademarks belong to their
respective owners.</x:v>
      </x:c>
      <x:c r="O896" s="76" t="str">
        <x:v>Below timeline — placement unresolved</x:v>
      </x:c>
      <x:c r="P896" s="76" t="str">
        <x:v>IMG_6218.PNG</x:v>
      </x:c>
      <x:c r="Q896" s="76" t="str">
        <x:v>Needs review</x:v>
      </x:c>
      <x:c r="R896" s="76" t="str">
        <x:v>Low</x:v>
      </x:c>
      <x:c r="S896" s="76" t="str">
        <x:v>The screenshot does not provide enough event context for a reliable chronological placement.</x:v>
      </x:c>
      <x:c r="T896" s="76" t="str">
        <x:v>Unique</x:v>
      </x:c>
    </x:row>
    <x:row r="897" s="23" customFormat="1" ht="36" customHeight="1">
      <x:c r="A897" s="49" t="b">
        <x:v>0</x:v>
      </x:c>
      <x:c r="B897" s="56" t="str">
        <x:v>FV-0207</x:v>
      </x:c>
      <x:c r="C897" s="53" t="str">
        <x:v>Review &amp; decide — placement unresolved</x:v>
      </x:c>
      <x:c r="D897" s="53" t="str">
        <x:v>Sith Apprentice Trials | Patience Breaks Stone</x:v>
      </x:c>
      <x:c r="E897" s="53" t="str"/>
      <x:c r="F897" s="53" t="str">
        <x:v>September 15, 2026</x:v>
      </x:c>
      <x:c r="G897" s="53" t="str">
        <x:v>Fan-made / non-canon</x:v>
      </x:c>
      <x:c r="H897" s="53" t="str">
        <x:v>Fan video</x:v>
      </x:c>
      <x:c r="I897" s="53" t="str">
        <x:v>YouTube — search by title</x:v>
      </x:c>
      <x:c r="J897" s="59" t="e">
        <x:f>HYPERLINK("https://www.youtube.com/results?search_query=Sith%20Apprentice%20Trials%20%7C%20Patience%20Breaks%20Stone","Search")</x:f>
        <x:v>HYPERLINK is not implemented. linkLocation=https://www.youtube.com/results?search_query=Sith%20Apprentice%20Trials%20%7C%20Patience%20Breaks%20Stone, friendlyName=Search</x:v>
      </x:c>
      <x:c r="K897" s="53" t="str">
        <x:v>The screenshot does not provide enough event context for a reliable chronological placement.</x:v>
      </x:c>
      <x:c r="L897" s="76" t="str"/>
      <x:c r="M897" s="76" t="str">
        <x:v>Sith Apprentice Trials | Patience Breaks Stone</x:v>
      </x:c>
      <x:c r="N897" s="76" t="str">
        <x:v>Cash App: $brednew
PayPal: @blainehenry688
A young Sith apprentice stands before an enormous
wall carved with the figure of an ancient warrior. It
was built to withstand anger, power and reckless
attacks—but the apprentice refuses to be provoked.
He studies the structure, patiently cuts its weakest
points with his lightsaber and drives the Force deep
into its foundation.
The entire monument crumbles.
Without celebrating or looking back, he calmly
walks through the destruction.
Power can strike a wall. Patience knows exactly</x:v>
      </x:c>
      <x:c r="O897" s="76" t="str">
        <x:v>Below timeline — placement unresolved</x:v>
      </x:c>
      <x:c r="P897" s="76" t="str">
        <x:v>IMG_6390.PNG</x:v>
      </x:c>
      <x:c r="Q897" s="76" t="str">
        <x:v>Needs review</x:v>
      </x:c>
      <x:c r="R897" s="76" t="str">
        <x:v>Low</x:v>
      </x:c>
      <x:c r="S897" s="76" t="str">
        <x:v>The screenshot does not provide enough event context for a reliable chronological placement.</x:v>
      </x:c>
      <x:c r="T897" s="76" t="str">
        <x:v>Unique</x:v>
      </x:c>
    </x:row>
    <x:row r="898" s="23" customFormat="1" ht="36" customHeight="1">
      <x:c r="A898" s="49" t="b">
        <x:v>0</x:v>
      </x:c>
      <x:c r="B898" s="56" t="str">
        <x:v>FV-0458</x:v>
      </x:c>
      <x:c r="C898" s="53" t="str">
        <x:v>Review &amp; decide — placement unresolved</x:v>
      </x:c>
      <x:c r="D898" s="53" t="str">
        <x:v>SITH VS LAVA BEAST</x:v>
      </x:c>
      <x:c r="E898" s="53" t="str"/>
      <x:c r="F898" s="53" t="str">
        <x:v>June 13, 2026</x:v>
      </x:c>
      <x:c r="G898" s="53" t="str">
        <x:v>Fan-made / non-canon</x:v>
      </x:c>
      <x:c r="H898" s="53" t="str">
        <x:v>Fan video</x:v>
      </x:c>
      <x:c r="I898" s="53" t="str">
        <x:v>YouTube — search by title</x:v>
      </x:c>
      <x:c r="J898" s="59" t="e">
        <x:f>HYPERLINK("https://www.youtube.com/results?search_query=SITH%20VS%20LAVA%20BEAST","Search")</x:f>
        <x:v>HYPERLINK is not implemented. linkLocation=https://www.youtube.com/results?search_query=SITH%20VS%20LAVA%20BEAST, friendlyName=Search</x:v>
      </x:c>
      <x:c r="K898" s="53" t="str">
        <x:v>The screenshot does not provide enough event context for a reliable chronological placement.</x:v>
      </x:c>
      <x:c r="L898" s="76" t="str"/>
      <x:c r="M898" s="76" t="str">
        <x:v>SITH VS LAVA BEAST</x:v>
      </x:c>
      <x:c r="N898" s="76" t="str">
        <x:v>A legendary Sith warrior enters an ancient forgotten
kingdom and awakens a monstrous guardian that
should have remained buried. What follows is a
display of terrifying Force power, impossible speed,
and devastating lightsaber mastery.
The beast thought it had found prey.
It found a Sith.
#StarWars #Sith #Lightsaber #Jedi #Monster
#Fantasy #SciFi #Cinematic #Shorts #ForcePowers
#DarkSide #EpicBattle
How this was made</x:v>
      </x:c>
      <x:c r="O898" s="76" t="str">
        <x:v>Below timeline — placement unresolved</x:v>
      </x:c>
      <x:c r="P898" s="76" t="str">
        <x:v>IMG_6647.PNG</x:v>
      </x:c>
      <x:c r="Q898" s="76" t="str">
        <x:v>Needs review</x:v>
      </x:c>
      <x:c r="R898" s="76" t="str">
        <x:v>Low</x:v>
      </x:c>
      <x:c r="S898" s="76" t="str">
        <x:v>The screenshot does not provide enough event context for a reliable chronological placement.</x:v>
      </x:c>
      <x:c r="T898" s="76" t="str">
        <x:v>Unique</x:v>
      </x:c>
    </x:row>
    <x:row r="899" s="23" customFormat="1" ht="36" customHeight="1">
      <x:c r="A899" s="49" t="b">
        <x:v>0</x:v>
      </x:c>
      <x:c r="B899" s="56" t="str">
        <x:v>FV-0022</x:v>
      </x:c>
      <x:c r="C899" s="53" t="str">
        <x:v>Review &amp; decide — placement unresolved</x:v>
      </x:c>
      <x:c r="D899" s="53" t="str">
        <x:v>Star Wars Canon Inspired | Ezra Draws His Saber... Kanan Sees the Truth — Episode 1</x:v>
      </x:c>
      <x:c r="E899" s="53" t="str">
        <x:v>Episode 1</x:v>
      </x:c>
      <x:c r="F899" s="53" t="str">
        <x:v>October 14, 2026</x:v>
      </x:c>
      <x:c r="G899" s="53" t="str">
        <x:v>Fan-made / non-canon</x:v>
      </x:c>
      <x:c r="H899" s="53" t="str">
        <x:v>Fan video</x:v>
      </x:c>
      <x:c r="I899" s="53" t="str">
        <x:v>YouTube — search by title</x:v>
      </x:c>
      <x:c r="J899" s="59" t="e">
        <x:f>HYPERLINK("https://www.youtube.com/results?search_query=Star%20Wars%20Canon%20Inspired%20%7C%20Ezra%20Draws%20His%20Saber...%20Kanan%20Sees%20the%20Truth%20%E2%80%94%20Episode%201","Search")</x:f>
        <x:v>HYPERLINK is not implemented. linkLocation=https://www.youtube.com/results?search_query=Star%20Wars%20Canon%20Inspired%20%7C%20Ezra%20Draws%20His%20Saber...%20Kanan%20Sees%20the%20Truth%20%E2%80%94%20Episode%201, friendlyName=Search</x:v>
      </x:c>
      <x:c r="K899" s="53" t="str">
        <x:v>The screenshot does not provide enough event context for a reliable chronological placement.</x:v>
      </x:c>
      <x:c r="L899" s="76" t="str">
        <x:v>Ezra Draws His Saber... Kanan Sees the Truth</x:v>
      </x:c>
      <x:c r="M899" s="76" t="str">
        <x:v>Star Wars Canon Inspired | Ezra Draws His Saber... Kanan Sees the Truth — Episode 1</x:v>
      </x:c>
      <x:c r="N899" s="76"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899" s="76" t="str">
        <x:v>Below timeline — placement unresolved</x:v>
      </x:c>
      <x:c r="P899" s="76" t="str">
        <x:v>IMG_6205.PNG</x:v>
      </x:c>
      <x:c r="Q899" s="76" t="str">
        <x:v>Needs review</x:v>
      </x:c>
      <x:c r="R899" s="76" t="str">
        <x:v>Low</x:v>
      </x:c>
      <x:c r="S899" s="76" t="str">
        <x:v>The screenshot does not provide enough event context for a reliable chronological placement.</x:v>
      </x:c>
      <x:c r="T899" s="76" t="str">
        <x:v>Unique</x:v>
      </x:c>
    </x:row>
    <x:row r="900" s="23" customFormat="1" ht="36" customHeight="1">
      <x:c r="A900" s="49" t="b">
        <x:v>0</x:v>
      </x:c>
      <x:c r="B900" s="56" t="str">
        <x:v>FV-0431</x:v>
      </x:c>
      <x:c r="C900" s="53" t="str">
        <x:v>Review &amp; decide — placement unresolved</x:v>
      </x:c>
      <x:c r="D900" s="53" t="str">
        <x:v>The Alien Chose the Wrong Jedi mx</x:v>
      </x:c>
      <x:c r="E900" s="53" t="str"/>
      <x:c r="F900" s="53" t="str">
        <x:v>June 7, 2026</x:v>
      </x:c>
      <x:c r="G900" s="53" t="str">
        <x:v>Fan-made / non-canon</x:v>
      </x:c>
      <x:c r="H900" s="53" t="str">
        <x:v>Fan video</x:v>
      </x:c>
      <x:c r="I900" s="53" t="str">
        <x:v>YouTube — search by title</x:v>
      </x:c>
      <x:c r="J900" s="59" t="e">
        <x:f>HYPERLINK("https://www.youtube.com/results?search_query=The%20Alien%20Chose%20the%20Wrong%20Jedi%20mx","Search")</x:f>
        <x:v>HYPERLINK is not implemented. linkLocation=https://www.youtube.com/results?search_query=The%20Alien%20Chose%20the%20Wrong%20Jedi%20mx, friendlyName=Search</x:v>
      </x:c>
      <x:c r="K900" s="53" t="str">
        <x:v>The screenshot does not provide enough event context for a reliable chronological placement.</x:v>
      </x:c>
      <x:c r="L900" s="76" t="str"/>
      <x:c r="M900" s="76" t="str">
        <x:v>The Alien Chose the Wrong Jedi mx</x:v>
      </x:c>
      <x:c r="N900" s="76" t="str">
        <x:v>Deep inside a damaged starship, a deadly alien
hunter thought it had found an easy target. One
mistake changed everything. The blue blade strikes,
sparks fly, and acid blood hits the deck as the battle
turns into a fight for survival.
Who wins this encounter?
#Unleashed #SciFiShorts #SpaceBattle
#AlienHunter #JediWarrior #EpicDuel #AcidBlood
#SpaceHorror #Cinematic #Shorts #ViralShorts
#ScienceFiction #ActionShorts #SpaceAdventure
#EpicFight
This video is an original Al-assisted production
created, directed, and edited by Blaine Henry. The
concept, story, characters, scene direction, action
choreography, and creative decisions were</x:v>
      </x:c>
      <x:c r="O900" s="76" t="str">
        <x:v>Below timeline — placement unresolved</x:v>
      </x:c>
      <x:c r="P900" s="76" t="str">
        <x:v>IMG_6617.PNG</x:v>
      </x:c>
      <x:c r="Q900" s="76" t="str">
        <x:v>Needs review</x:v>
      </x:c>
      <x:c r="R900" s="76" t="str">
        <x:v>Low</x:v>
      </x:c>
      <x:c r="S900" s="76" t="str">
        <x:v>The screenshot does not provide enough event context for a reliable chronological placement.</x:v>
      </x:c>
      <x:c r="T900" s="76" t="str">
        <x:v>Unique</x:v>
      </x:c>
    </x:row>
    <x:row r="901" s="23" customFormat="1" ht="36" customHeight="1">
      <x:c r="A901" s="49" t="b">
        <x:v>0</x:v>
      </x:c>
      <x:c r="B901" s="56" t="str">
        <x:v>FV-0343</x:v>
      </x:c>
      <x:c r="C901" s="53" t="str">
        <x:v>Review &amp; decide — placement unresolved</x:v>
      </x:c>
      <x:c r="D901" s="53" t="str">
        <x:v>The Arrow Jedi Makes the Impossible Shot |</x:v>
      </x:c>
      <x:c r="E901" s="53" t="str"/>
      <x:c r="F901" s="53" t="str">
        <x:v>August 27, 2026</x:v>
      </x:c>
      <x:c r="G901" s="53" t="str">
        <x:v>Fan-made / non-canon</x:v>
      </x:c>
      <x:c r="H901" s="53" t="str">
        <x:v>Fan video</x:v>
      </x:c>
      <x:c r="I901" s="53" t="str">
        <x:v>YouTube — search by title</x:v>
      </x:c>
      <x:c r="J901" s="59" t="e">
        <x:f>HYPERLINK("https://www.youtube.com/results?search_query=The%20Arrow%20Jedi%20Makes%20the%20Impossible%20Shot%20%7C","Search")</x:f>
        <x:v>HYPERLINK is not implemented. linkLocation=https://www.youtube.com/results?search_query=The%20Arrow%20Jedi%20Makes%20the%20Impossible%20Shot%20%7C, friendlyName=Search</x:v>
      </x:c>
      <x:c r="K901" s="53" t="str">
        <x:v>The screenshot does not provide enough event context for a reliable chronological placement.</x:v>
      </x:c>
      <x:c r="L901" s="76" t="str"/>
      <x:c r="M901" s="76" t="str">
        <x:v>The Arrow Jedi Makes the Impossible Shot |</x:v>
      </x:c>
      <x:c r="N901" s="76" t="str">
        <x:v>One bow. One arrow. One impossible shot.
The Arrow Jedi doesn’t need to get close. Once that
arrow leaves the bow, the Force decides where it
lands. Yh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901" s="76" t="str">
        <x:v>Below timeline — placement unresolved</x:v>
      </x:c>
      <x:c r="P901" s="76" t="str">
        <x:v>IMG_6529.PNG</x:v>
      </x:c>
      <x:c r="Q901" s="76" t="str">
        <x:v>Needs review</x:v>
      </x:c>
      <x:c r="R901" s="76" t="str">
        <x:v>Low</x:v>
      </x:c>
      <x:c r="S901" s="76" t="str">
        <x:v>The screenshot does not provide enough event context for a reliable chronological placement.</x:v>
      </x:c>
      <x:c r="T901" s="76" t="str">
        <x:v>Unique</x:v>
      </x:c>
    </x:row>
    <x:row r="902" s="23" customFormat="1" ht="36" customHeight="1">
      <x:c r="A902" s="49" t="b">
        <x:v>0</x:v>
      </x:c>
      <x:c r="B902" s="56" t="str">
        <x:v>FV-0387</x:v>
      </x:c>
      <x:c r="C902" s="53" t="str">
        <x:v>Review &amp; decide — placement unresolved</x:v>
      </x:c>
      <x:c r="D902" s="53" t="str">
        <x:v>The Boomerang Jedi | The Weapon Always Comes Back</x:v>
      </x:c>
      <x:c r="E902" s="53" t="str"/>
      <x:c r="F902" s="53" t="str">
        <x:v>August 23, 2026</x:v>
      </x:c>
      <x:c r="G902" s="53" t="str">
        <x:v>Fan-made / non-canon</x:v>
      </x:c>
      <x:c r="H902" s="53" t="str">
        <x:v>Fan video</x:v>
      </x:c>
      <x:c r="I902" s="53" t="str">
        <x:v>YouTube — search by title</x:v>
      </x:c>
      <x:c r="J902" s="59" t="e">
        <x:f>HYPERLINK("https://www.youtube.com/results?search_query=The%20Boomerang%20Jedi%20%7C%20The%20Weapon%20Always%20Comes%20Back","Search")</x:f>
        <x:v>HYPERLINK is not implemented. linkLocation=https://www.youtube.com/results?search_query=The%20Boomerang%20Jedi%20%7C%20The%20Weapon%20Always%20Comes%20Back, friendlyName=Search</x:v>
      </x:c>
      <x:c r="K902" s="53" t="str">
        <x:v>The screenshot does not provide enough event context for a reliable chronological placement.</x:v>
      </x:c>
      <x:c r="L902" s="76" t="str"/>
      <x:c r="M902" s="76" t="str">
        <x:v>The Boomerang Jedi | The Weapon Always Comes Back</x:v>
      </x:c>
      <x:c r="N902" s="76" t="str">
        <x:v>MS Cash App: $brednew
© PayPal: @blainehenry688
The battlefield is chaos—but this Jedi fights
differently.
Surrounded by enemies, the Boomerang Jedi
unleashes his signature weapon across the
battlefield. One throw can change the entire fight.
And when the weapon leaves his hand...
it always comes back.
#BoomerangJedi #Jedi #StarWars #StarWarsLore
#TheForce #Cinematic</x:v>
      </x:c>
      <x:c r="O902" s="76" t="str">
        <x:v>Below timeline — placement unresolved</x:v>
      </x:c>
      <x:c r="P902" s="76" t="str">
        <x:v>IMG_6573.PNG</x:v>
      </x:c>
      <x:c r="Q902" s="76" t="str">
        <x:v>Needs review</x:v>
      </x:c>
      <x:c r="R902" s="76" t="str">
        <x:v>Low</x:v>
      </x:c>
      <x:c r="S902" s="76" t="str">
        <x:v>The screenshot does not provide enough event context for a reliable chronological placement.</x:v>
      </x:c>
      <x:c r="T902" s="76" t="str">
        <x:v>Unique</x:v>
      </x:c>
    </x:row>
    <x:row r="903" s="23" customFormat="1" ht="36" customHeight="1">
      <x:c r="A903" s="49" t="b">
        <x:v>0</x:v>
      </x:c>
      <x:c r="B903" s="56" t="str">
        <x:v>FV-0449</x:v>
      </x:c>
      <x:c r="C903" s="53" t="str">
        <x:v>Review &amp; decide — placement unresolved</x:v>
      </x:c>
      <x:c r="D903" s="53" t="str">
        <x:v>The Canyon Predator Found a Jedi</x:v>
      </x:c>
      <x:c r="E903" s="53" t="str"/>
      <x:c r="F903" s="53" t="str">
        <x:v>June 12, 2026</x:v>
      </x:c>
      <x:c r="G903" s="53" t="str">
        <x:v>Fan-made / non-canon</x:v>
      </x:c>
      <x:c r="H903" s="53" t="str">
        <x:v>Fan video</x:v>
      </x:c>
      <x:c r="I903" s="53" t="str">
        <x:v>YouTube — search by title</x:v>
      </x:c>
      <x:c r="J903" s="59" t="e">
        <x:f>HYPERLINK("https://www.youtube.com/results?search_query=The%20Canyon%20Predator%20Found%20a%20Jedi","Search")</x:f>
        <x:v>HYPERLINK is not implemented. linkLocation=https://www.youtube.com/results?search_query=The%20Canyon%20Predator%20Found%20a%20Jedi, friendlyName=Search</x:v>
      </x:c>
      <x:c r="K903" s="53" t="str">
        <x:v>The screenshot does not provide enough event context for a reliable chronological placement.</x:v>
      </x:c>
      <x:c r="L903" s="76" t="str"/>
      <x:c r="M903" s="76" t="str">
        <x:v>The Canyon Predator Found a Jedi</x:v>
      </x:c>
      <x:c r="N903" s="76" t="str">
        <x:v>A lone Jedi ventures into a narrow canyon and
comes face to face with a predator that should
never have existed. With nowhere to run and no
backup coming, survival depends on a single
decision.
Would you turn back... or keep going?
#Jedi #WrongWorld #MonsterBattle #Lightsaber
#EpicFight #Fantasy #Adventure #Shorts #SciFi
#Unleashed
How this was made
Made with Al
Sounds or visuals were altered or fully generated. Learn</x:v>
      </x:c>
      <x:c r="O903" s="76" t="str">
        <x:v>Below timeline — placement unresolved</x:v>
      </x:c>
      <x:c r="P903" s="76" t="str">
        <x:v>IMG_6635.PNG</x:v>
      </x:c>
      <x:c r="Q903" s="76" t="str">
        <x:v>Needs review</x:v>
      </x:c>
      <x:c r="R903" s="76" t="str">
        <x:v>Low</x:v>
      </x:c>
      <x:c r="S903" s="76" t="str">
        <x:v>The screenshot does not provide enough event context for a reliable chronological placement.</x:v>
      </x:c>
      <x:c r="T903" s="76" t="str">
        <x:v>Unique</x:v>
      </x:c>
    </x:row>
    <x:row r="904" s="23" customFormat="1" ht="36" customHeight="1">
      <x:c r="A904" s="49" t="b">
        <x:v>0</x:v>
      </x:c>
      <x:c r="B904" s="56" t="str">
        <x:v>FV-0441</x:v>
      </x:c>
      <x:c r="C904" s="53" t="str">
        <x:v>Review &amp; decide — placement unresolved</x:v>
      </x:c>
      <x:c r="D904" s="53" t="str">
        <x:v>The Cave Beast Thought Darkness Would Save It</x:v>
      </x:c>
      <x:c r="E904" s="53" t="str"/>
      <x:c r="F904" s="53" t="str">
        <x:v>June 10, 2026</x:v>
      </x:c>
      <x:c r="G904" s="53" t="str">
        <x:v>Fan-made / non-canon</x:v>
      </x:c>
      <x:c r="H904" s="53" t="str">
        <x:v>Fan video</x:v>
      </x:c>
      <x:c r="I904" s="53" t="str">
        <x:v>YouTube — search by title</x:v>
      </x:c>
      <x:c r="J904" s="59" t="e">
        <x:f>HYPERLINK("https://www.youtube.com/results?search_query=The%20Cave%20Beast%20Thought%20Darkness%20Would%20Save%20It","Search")</x:f>
        <x:v>HYPERLINK is not implemented. linkLocation=https://www.youtube.com/results?search_query=The%20Cave%20Beast%20Thought%20Darkness%20Would%20Save%20It, friendlyName=Search</x:v>
      </x:c>
      <x:c r="K904" s="53" t="str">
        <x:v>The screenshot does not provide enough event context for a reliable chronological placement.</x:v>
      </x:c>
      <x:c r="L904" s="76" t="str"/>
      <x:c r="M904" s="76" t="str">
        <x:v>The Cave Beast Thought Darkness Would Save It</x:v>
      </x:c>
      <x:c r="N904" s="76" t="str">
        <x:v>Deep beneath the mountain, a forgotten monster
awakens. Hidden for centuries inside an ancient
cave, the beast has never faced a Jedi before. What
follows is a battle of strength, courage, and the
Force itself.
Will the Jedi escape the darkness... or become part
of it?
#Jedi #TheForce #Lightsaber #EpicBattle #Fantasy
#SciFi #Creature #Monster #CaveBeast #Adventure
#Shorts #YouTubeShorts #ViralShorts #Action
This video is an original Al-assisted production
created, directed, and edited by Blaine Henry. The
concept, story, characters, scene direction, action</x:v>
      </x:c>
      <x:c r="O904" s="76" t="str">
        <x:v>Below timeline — placement unresolved</x:v>
      </x:c>
      <x:c r="P904" s="76" t="str">
        <x:v>IMG_6627.PNG</x:v>
      </x:c>
      <x:c r="Q904" s="76" t="str">
        <x:v>Needs review</x:v>
      </x:c>
      <x:c r="R904" s="76" t="str">
        <x:v>Low</x:v>
      </x:c>
      <x:c r="S904" s="76" t="str">
        <x:v>The screenshot does not provide enough event context for a reliable chronological placement.</x:v>
      </x:c>
      <x:c r="T904" s="76" t="str">
        <x:v>Unique</x:v>
      </x:c>
    </x:row>
    <x:row r="905" s="23" customFormat="1" ht="36" customHeight="1">
      <x:c r="A905" s="49" t="b">
        <x:v>0</x:v>
      </x:c>
      <x:c r="B905" s="56" t="str">
        <x:v>FV-0395</x:v>
      </x:c>
      <x:c r="C905" s="53" t="str">
        <x:v>Review &amp; decide — placement unresolved</x:v>
      </x:c>
      <x:c r="D905" s="53" t="str">
        <x:v>The Dark Acolyte — Still Reaching for the Light?</x:v>
      </x:c>
      <x:c r="E905" s="53" t="str"/>
      <x:c r="F905" s="53" t="str">
        <x:v>August 23, 2026</x:v>
      </x:c>
      <x:c r="G905" s="53" t="str">
        <x:v>Fan-made / non-canon</x:v>
      </x:c>
      <x:c r="H905" s="53" t="str">
        <x:v>Fan video</x:v>
      </x:c>
      <x:c r="I905" s="53" t="str">
        <x:v>YouTube — search by title</x:v>
      </x:c>
      <x:c r="J905" s="59" t="e">
        <x:f>HYPERLINK("https://www.youtube.com/results?search_query=The%20Dark%20Acolyte%20%E2%80%94%20Still%20Reaching%20for%20the%20Light%3F","Search")</x:f>
        <x:v>HYPERLINK is not implemented. linkLocation=https://www.youtube.com/results?search_query=The%20Dark%20Acolyte%20%E2%80%94%20Still%20Reaching%20for%20the%20Light%3F, friendlyName=Search</x:v>
      </x:c>
      <x:c r="K905" s="53" t="str">
        <x:v>The screenshot does not provide enough event context for a reliable chronological placement.</x:v>
      </x:c>
      <x:c r="L905" s="76" t="str"/>
      <x:c r="M905" s="76" t="str">
        <x:v>The Dark Acolyte — Still Reaching for the Light?</x:v>
      </x:c>
      <x:c r="N905" s="76" t="str">
        <x:v>Cash App: $brednew
© PayPal: @blainehenry688
Beautiful. Calm. Absolutely lethal.
A wounded Jedi reaches for his weapon—but the
Dark Acolyte is already one step ahead. She doesn't
need rage to intimidate him. She knows exactly how
much power she holds.
The darkness has a new face.
© Blaine Henry — Original cinematic concept and
production.</x:v>
      </x:c>
      <x:c r="O905" s="76" t="str">
        <x:v>Below timeline — placement unresolved</x:v>
      </x:c>
      <x:c r="P905" s="76" t="str">
        <x:v>IMG_6581.PNG, IMG_6769.PNG</x:v>
      </x:c>
      <x:c r="Q905" s="76" t="str">
        <x:v>Needs review</x:v>
      </x:c>
      <x:c r="R905" s="76" t="str">
        <x:v>Low</x:v>
      </x:c>
      <x:c r="S905" s="76" t="str">
        <x:v>The screenshot does not provide enough event context for a reliable chronological placement.</x:v>
      </x:c>
      <x:c r="T905" s="76" t="str">
        <x:v>Primary — DUP-004</x:v>
      </x:c>
    </x:row>
    <x:row r="906" s="23" customFormat="1" ht="36" customHeight="1">
      <x:c r="A906" s="49" t="b">
        <x:v>0</x:v>
      </x:c>
      <x:c r="B906" s="56" t="str">
        <x:v>FV-0554</x:v>
      </x:c>
      <x:c r="C906" s="53" t="str">
        <x:v>Review &amp; decide — placement unresolved</x:v>
      </x:c>
      <x:c r="D906" s="53" t="str">
        <x:v>The Dark Acolyte Finally Gave In to the Darkness</x:v>
      </x:c>
      <x:c r="E906" s="53" t="str"/>
      <x:c r="F906" s="53" t="str">
        <x:v>August 20, 2026</x:v>
      </x:c>
      <x:c r="G906" s="53" t="str">
        <x:v>Fan-made / non-canon</x:v>
      </x:c>
      <x:c r="H906" s="53" t="str">
        <x:v>Fan video</x:v>
      </x:c>
      <x:c r="I906" s="53" t="str">
        <x:v>YouTube — search by title</x:v>
      </x:c>
      <x:c r="J906" s="59" t="e">
        <x:f>HYPERLINK("https://www.youtube.com/results?search_query=The%20Dark%20Acolyte%20Finally%20Gave%20In%20to%20the%20Darkness","Search")</x:f>
        <x:v>HYPERLINK is not implemented. linkLocation=https://www.youtube.com/results?search_query=The%20Dark%20Acolyte%20Finally%20Gave%20In%20to%20the%20Darkness, friendlyName=Search</x:v>
      </x:c>
      <x:c r="K906" s="53" t="str">
        <x:v>The screenshot does not provide enough event context for a reliable chronological placement.</x:v>
      </x:c>
      <x:c r="L906" s="76" t="str"/>
      <x:c r="M906" s="76" t="str">
        <x:v>The Dark Acolyte Finally Gave In to the Darkness</x:v>
      </x:c>
      <x:c r="N906" s="76" t="str">
        <x:v>M3 Cash App: $brednew
© PayPal: @blainehenry688
ry SUPPORT THE CHANNEL &amp;
Even 5¢, 10¢, 25¢, or $1 helps us continue creating
these cinematic stories. Thank you to everyone
supporting what we're building.
The Dark Acolyte is changing.
At first, it's only in his eyes. Then the darkness
begins to take hold, the red glow grows stronger,
and something inside him finally breaks free.
But the most frightening part isn't the
transformation.</x:v>
      </x:c>
      <x:c r="O906" s="76" t="str">
        <x:v>Below timeline — placement unresolved</x:v>
      </x:c>
      <x:c r="P906" s="76" t="str">
        <x:v>IMG_6744.PNG</x:v>
      </x:c>
      <x:c r="Q906" s="76" t="str">
        <x:v>Needs review</x:v>
      </x:c>
      <x:c r="R906" s="76" t="str">
        <x:v>Low</x:v>
      </x:c>
      <x:c r="S906" s="76" t="str">
        <x:v>The screenshot does not provide enough event context for a reliable chronological placement.</x:v>
      </x:c>
      <x:c r="T906" s="76" t="str">
        <x:v>Unique</x:v>
      </x:c>
    </x:row>
    <x:row r="907" s="23" customFormat="1" ht="36" customHeight="1">
      <x:c r="A907" s="49" t="b">
        <x:v>0</x:v>
      </x:c>
      <x:c r="B907" s="56" t="str">
        <x:v>FV-0467</x:v>
      </x:c>
      <x:c r="C907" s="53" t="str">
        <x:v>Review &amp; decide — placement unresolved</x:v>
      </x:c>
      <x:c r="D907" s="53" t="str">
        <x:v>The Dread Marsh King Awakened “2 *</x:v>
      </x:c>
      <x:c r="E907" s="53" t="str"/>
      <x:c r="F907" s="53" t="str">
        <x:v>June 13, 2026</x:v>
      </x:c>
      <x:c r="G907" s="53" t="str">
        <x:v>Fan-made / non-canon</x:v>
      </x:c>
      <x:c r="H907" s="53" t="str">
        <x:v>Fan video</x:v>
      </x:c>
      <x:c r="I907" s="53" t="str">
        <x:v>YouTube — search by title</x:v>
      </x:c>
      <x:c r="J907" s="59" t="e">
        <x:f>HYPERLINK("https://www.youtube.com/results?search_query=The%20Dread%20Marsh%20King%20Awakened%20%E2%80%9C2%20*","Search")</x:f>
        <x:v>HYPERLINK is not implemented. linkLocation=https://www.youtube.com/results?search_query=The%20Dread%20Marsh%20King%20Awakened%20%E2%80%9C2%20*, friendlyName=Search</x:v>
      </x:c>
      <x:c r="K907" s="53" t="str">
        <x:v>The screenshot does not provide enough event context for a reliable chronological placement.</x:v>
      </x:c>
      <x:c r="L907" s="76" t="str"/>
      <x:c r="M907" s="76" t="str">
        <x:v>The Dread Marsh King Awakened “2 *</x:v>
      </x:c>
      <x:c r="N907" s="76" t="str">
        <x:v>Hidden beneath the black waters of a forgotten
swamp, the Dread Marsh King has ruled the
marshlands for centuries. When the ancient giant
finally rises from the depths, a lone Jedi answers
the challenge.
What follows is a relentless battle of speed,
precision, and survival as the Jedi races through the
swamp, always one step ahead of the monster.
® Ancient swamp giant
Force-speed combat
Hl Forgotten marshlands
@ Athletic Jedi movement
@ Colossal creature battle
#Jedi #DreadMarshKing #ForceSpeed
#CreatureBattle #SwampMonster #EpicFantasy</x:v>
      </x:c>
      <x:c r="O907" s="76" t="str">
        <x:v>Below timeline — placement unresolved</x:v>
      </x:c>
      <x:c r="P907" s="76" t="str">
        <x:v>IMG_6656.PNG</x:v>
      </x:c>
      <x:c r="Q907" s="76" t="str">
        <x:v>Needs review</x:v>
      </x:c>
      <x:c r="R907" s="76" t="str">
        <x:v>Low</x:v>
      </x:c>
      <x:c r="S907" s="76" t="str">
        <x:v>The screenshot does not provide enough event context for a reliable chronological placement.</x:v>
      </x:c>
      <x:c r="T907" s="76" t="str">
        <x:v>Unique</x:v>
      </x:c>
    </x:row>
    <x:row r="908" s="23" customFormat="1" ht="36" customHeight="1">
      <x:c r="A908" s="49" t="b">
        <x:v>0</x:v>
      </x:c>
      <x:c r="B908" s="56" t="str">
        <x:v>FV-0089</x:v>
      </x:c>
      <x:c r="C908" s="53" t="str">
        <x:v>Review &amp; decide — placement unresolved</x:v>
      </x:c>
      <x:c r="D908" s="53" t="str">
        <x:v>The Fall of Veyrhold — Episode 1 | Something Inside the Bell</x:v>
      </x:c>
      <x:c r="E908" s="53" t="str">
        <x:v>Episode 1</x:v>
      </x:c>
      <x:c r="F908" s="53" t="str">
        <x:v>October 4, 2026</x:v>
      </x:c>
      <x:c r="G908" s="53" t="str">
        <x:v>Fan-made / non-canon</x:v>
      </x:c>
      <x:c r="H908" s="53" t="str">
        <x:v>Fan video</x:v>
      </x:c>
      <x:c r="I908" s="53" t="str">
        <x:v>YouTube — search by title</x:v>
      </x:c>
      <x:c r="J908" s="59" t="e">
        <x:f>HYPERLINK("https://www.youtube.com/results?search_query=The%20Fall%20of%20Veyrhold%20%E2%80%94%20Episode%201%20%7C%20Something%20Inside%20the%20Bell","Search")</x:f>
        <x:v>HYPERLINK is not implemented. linkLocation=https://www.youtube.com/results?search_query=The%20Fall%20of%20Veyrhold%20%E2%80%94%20Episode%201%20%7C%20Something%20Inside%20the%20Bell, friendlyName=Search</x:v>
      </x:c>
      <x:c r="K908" s="53" t="str">
        <x:v>The screenshot does not provide enough event context for a reliable chronological placement.</x:v>
      </x:c>
      <x:c r="L908" s="76" t="str">
        <x:v>The Fall of Veyrhold</x:v>
      </x:c>
      <x:c r="M908" s="76" t="str">
        <x:v>The Fall of Veyrhold — Episode 1 | Something Inside the Bell</x:v>
      </x:c>
      <x:c r="N908" s="76" t="str">
        <x:v>The alarm bell rang. Something inside it answered.
Winged horrors descend from the towers. A
colossal siege beast tears open the gates. As
monsters flood the courtyard, one captain stands
between her people and the fall of Veyrhold.
The siege begins in UNLEASHED'’s original dark
fantasy series.
© UNLEASHED. Original fantasy characters and
setting.
Support the channel: Cash App - PayPal</x:v>
      </x:c>
      <x:c r="O908" s="76" t="str">
        <x:v>Below timeline — placement unresolved</x:v>
      </x:c>
      <x:c r="P908" s="76" t="str">
        <x:v>IMG_6272.PNG</x:v>
      </x:c>
      <x:c r="Q908" s="76" t="str">
        <x:v>Needs review</x:v>
      </x:c>
      <x:c r="R908" s="76" t="str">
        <x:v>Low</x:v>
      </x:c>
      <x:c r="S908" s="76" t="str">
        <x:v>The screenshot does not provide enough event context for a reliable chronological placement.</x:v>
      </x:c>
      <x:c r="T908" s="76" t="str">
        <x:v>Unique</x:v>
      </x:c>
    </x:row>
    <x:row r="909" s="23" customFormat="1" ht="36" customHeight="1">
      <x:c r="A909" s="49" t="b">
        <x:v>0</x:v>
      </x:c>
      <x:c r="B909" s="56" t="str">
        <x:v>FV-0277</x:v>
      </x:c>
      <x:c r="C909" s="53" t="str">
        <x:v>Review &amp; decide — placement unresolved</x:v>
      </x:c>
      <x:c r="D909" s="53" t="str">
        <x:v>The Force Saber: The Blade Chose Him</x:v>
      </x:c>
      <x:c r="E909" s="53" t="str"/>
      <x:c r="F909" s="53" t="str">
        <x:v>September 3, 2026</x:v>
      </x:c>
      <x:c r="G909" s="53" t="str">
        <x:v>Fan-made / non-canon</x:v>
      </x:c>
      <x:c r="H909" s="53" t="str">
        <x:v>Fan video</x:v>
      </x:c>
      <x:c r="I909" s="53" t="str">
        <x:v>YouTube — search by title</x:v>
      </x:c>
      <x:c r="J909" s="59" t="e">
        <x:f>HYPERLINK("https://www.youtube.com/results?search_query=The%20Force%20Saber%3A%20The%20Blade%20Chose%20Him","Search")</x:f>
        <x:v>HYPERLINK is not implemented. linkLocation=https://www.youtube.com/results?search_query=The%20Force%20Saber%3A%20The%20Blade%20Chose%20Him, friendlyName=Search</x:v>
      </x:c>
      <x:c r="K909" s="53" t="str">
        <x:v>The screenshot does not provide enough event context for a reliable chronological placement.</x:v>
      </x:c>
      <x:c r="L909" s="76" t="str"/>
      <x:c r="M909" s="76" t="str">
        <x:v>The Force Saber: The Blade Chose Him</x:v>
      </x:c>
      <x:c r="N909" s="76" t="str">
        <x:v>Hidden inside an ancient Jedi chamber, a
mysterious lightsaber waits upon a stone altar. The
moment the Jedi reaches through the Force, the
weapon rises into his hand—and an impossibly
bright white blade awakens. Some lightsabers are
constructed. Others choose their master</x:v>
      </x:c>
      <x:c r="O909" s="76" t="str">
        <x:v>Below timeline — placement unresolved</x:v>
      </x:c>
      <x:c r="P909" s="76" t="str">
        <x:v>IMG_6462.PNG</x:v>
      </x:c>
      <x:c r="Q909" s="76" t="str">
        <x:v>Needs review</x:v>
      </x:c>
      <x:c r="R909" s="76" t="str">
        <x:v>Low</x:v>
      </x:c>
      <x:c r="S909" s="76" t="str">
        <x:v>The screenshot does not provide enough event context for a reliable chronological placement.</x:v>
      </x:c>
      <x:c r="T909" s="76" t="str">
        <x:v>Unique</x:v>
      </x:c>
    </x:row>
    <x:row r="910" s="23" customFormat="1" ht="36" customHeight="1">
      <x:c r="A910" s="49" t="b">
        <x:v>0</x:v>
      </x:c>
      <x:c r="B910" s="56" t="str">
        <x:v>FV-0424</x:v>
      </x:c>
      <x:c r="C910" s="53" t="str">
        <x:v>Review &amp; decide — placement unresolved</x:v>
      </x:c>
      <x:c r="D910" s="53" t="str">
        <x:v>The Frost Beast Never Saw The Force Coming</x:v>
      </x:c>
      <x:c r="E910" s="53" t="str"/>
      <x:c r="F910" s="53" t="str">
        <x:v>June 4, 2026</x:v>
      </x:c>
      <x:c r="G910" s="53" t="str">
        <x:v>Fan-made / non-canon</x:v>
      </x:c>
      <x:c r="H910" s="53" t="str">
        <x:v>Fan video</x:v>
      </x:c>
      <x:c r="I910" s="53" t="str">
        <x:v>YouTube — search by title</x:v>
      </x:c>
      <x:c r="J910" s="59" t="e">
        <x:f>HYPERLINK("https://www.youtube.com/results?search_query=The%20Frost%20Beast%20Never%20Saw%20The%20Force%20Coming","Search")</x:f>
        <x:v>HYPERLINK is not implemented. linkLocation=https://www.youtube.com/results?search_query=The%20Frost%20Beast%20Never%20Saw%20The%20Force%20Coming, friendlyName=Search</x:v>
      </x:c>
      <x:c r="K910" s="53" t="str">
        <x:v>The screenshot does not provide enough event context for a reliable chronological placement.</x:v>
      </x:c>
      <x:c r="L910" s="76" t="str"/>
      <x:c r="M910" s="76" t="str">
        <x:v>The Frost Beast Never Saw The Force Coming</x:v>
      </x:c>
      <x:c r="N910" s="76" t="str">
        <x:v>A frozen mountain. An ancient predator. One
perfectly timed use of the Force changed
everything.
#VoidProtocol #Jedilnspired #TheForce #Fantasy
#SciFi #FrostBeast #Cinematic #AlShortFilm
#Shorts
© ORIGINAL Al CINEMATIC STORY
| developed this Frost Beast encounter as an
original Unleashed scene, including the story
concept, action, and creative direction. | developed
the prompts, generated the original Al video
sequences, selected the footage, and edited and
assembled the finished Short.</x:v>
      </x:c>
      <x:c r="O910" s="76" t="str">
        <x:v>Below timeline — placement unresolved</x:v>
      </x:c>
      <x:c r="P910" s="76" t="str">
        <x:v>IMG_6610.PNG</x:v>
      </x:c>
      <x:c r="Q910" s="76" t="str">
        <x:v>Needs review</x:v>
      </x:c>
      <x:c r="R910" s="76" t="str">
        <x:v>Low</x:v>
      </x:c>
      <x:c r="S910" s="76" t="str">
        <x:v>The screenshot does not provide enough event context for a reliable chronological placement.</x:v>
      </x:c>
      <x:c r="T910" s="76" t="str">
        <x:v>Unique</x:v>
      </x:c>
    </x:row>
    <x:row r="911" s="23" customFormat="1" ht="36" customHeight="1">
      <x:c r="A911" s="49" t="b">
        <x:v>0</x:v>
      </x:c>
      <x:c r="B911" s="56" t="str">
        <x:v>FV-0466</x:v>
      </x:c>
      <x:c r="C911" s="53" t="str">
        <x:v>Review &amp; decide — placement unresolved</x:v>
      </x:c>
      <x:c r="D911" s="53" t="str">
        <x:v>The Guardian Never Saw Him Coming * €,</x:v>
      </x:c>
      <x:c r="E911" s="53" t="str"/>
      <x:c r="F911" s="53" t="str">
        <x:v>June 13, 2026</x:v>
      </x:c>
      <x:c r="G911" s="53" t="str">
        <x:v>Fan-made / non-canon</x:v>
      </x:c>
      <x:c r="H911" s="53" t="str">
        <x:v>Fan video</x:v>
      </x:c>
      <x:c r="I911" s="53" t="str">
        <x:v>YouTube — search by title</x:v>
      </x:c>
      <x:c r="J911" s="59" t="e">
        <x:f>HYPERLINK("https://www.youtube.com/results?search_query=The%20Guardian%20Never%20Saw%20Him%20Coming%20*%20%E2%82%AC%2C","Search")</x:f>
        <x:v>HYPERLINK is not implemented. linkLocation=https://www.youtube.com/results?search_query=The%20Guardian%20Never%20Saw%20Him%20Coming%20*%20%E2%82%AC%2C, friendlyName=Search</x:v>
      </x:c>
      <x:c r="K911" s="53" t="str">
        <x:v>The screenshot does not provide enough event context for a reliable chronological placement.</x:v>
      </x:c>
      <x:c r="L911" s="76" t="str"/>
      <x:c r="M911" s="76" t="str">
        <x:v>The Guardian Never Saw Him Coming * €,</x:v>
      </x:c>
      <x:c r="N911" s="76" t="str">
        <x:v>An ancient sea guardian awakens atop the cliffs of
Manaan... but before it can strike, a lone Jedi
appears in a blur of impossible speed.
Across crumbling ocean ruins, the battle becomes a
test of reflexes, precision, and mastery of the Force.
The guardian is powerful, but it cannot catch an
opponent who is always one step ahead.
&amp; Ancient cliffs of Manaan
™ Lightning-fast Jedi combat
é Midair lightsaber recovery
4 Force-enhanced speed and precision
ff Forgotten ocean ruins
#Jedi #Manaan #ForceSpeed #SeaGuardian
#LightsaberBattle #EpicFantasy #AncientRuins
#CreatureBattle #JediMaster #StarWarsinspired</x:v>
      </x:c>
      <x:c r="O911" s="76" t="str">
        <x:v>Below timeline — placement unresolved</x:v>
      </x:c>
      <x:c r="P911" s="76" t="str">
        <x:v>IMG_6655.PNG</x:v>
      </x:c>
      <x:c r="Q911" s="76" t="str">
        <x:v>Needs review</x:v>
      </x:c>
      <x:c r="R911" s="76" t="str">
        <x:v>Low</x:v>
      </x:c>
      <x:c r="S911" s="76" t="str">
        <x:v>The screenshot does not provide enough event context for a reliable chronological placement.</x:v>
      </x:c>
      <x:c r="T911" s="76" t="str">
        <x:v>Unique</x:v>
      </x:c>
    </x:row>
    <x:row r="912" s="23" customFormat="1" ht="36" customHeight="1">
      <x:c r="A912" s="49" t="b">
        <x:v>0</x:v>
      </x:c>
      <x:c r="B912" s="56" t="str">
        <x:v>FV-0043</x:v>
      </x:c>
      <x:c r="C912" s="53" t="str">
        <x:v>Review &amp; decide — placement unresolved</x:v>
      </x:c>
      <x:c r="D912" s="53" t="str">
        <x:v>The Iron Knights: They Tried to Scrap a Jedi... | Episode 1</x:v>
      </x:c>
      <x:c r="E912" s="53" t="str">
        <x:v>Episode 1</x:v>
      </x:c>
      <x:c r="F912" s="53" t="str">
        <x:v>October 11, 2026</x:v>
      </x:c>
      <x:c r="G912" s="53" t="str">
        <x:v>Fan-made / non-canon</x:v>
      </x:c>
      <x:c r="H912" s="53" t="str">
        <x:v>Fan video</x:v>
      </x:c>
      <x:c r="I912" s="53" t="str">
        <x:v>YouTube — search by title</x:v>
      </x:c>
      <x:c r="J912" s="59" t="e">
        <x:f>HYPERLINK("https://www.youtube.com/results?search_query=The%20Iron%20Knights%3A%20They%20Tried%20to%20Scrap%20a%20Jedi...%20%7C%20Episode%201","Search")</x:f>
        <x:v>HYPERLINK is not implemented. linkLocation=https://www.youtube.com/results?search_query=The%20Iron%20Knights%3A%20They%20Tried%20to%20Scrap%20a%20Jedi...%20%7C%20Episode%201, friendlyName=Search</x:v>
      </x:c>
      <x:c r="K912" s="53" t="str">
        <x:v>The screenshot does not provide enough event context for a reliable chronological placement.</x:v>
      </x:c>
      <x:c r="L912" s="76" t="str">
        <x:v>The Iron Knights: They Tried to Scrap a Jedi...</x:v>
      </x:c>
      <x:c r="M912" s="76" t="str">
        <x:v>The Iron Knights: They Tried to Scrap a Jedi... | Episode 1</x:v>
      </x:c>
      <x:c r="N912" s="76" t="str">
        <x:v>An ancient war droid saves a small maintenance
droid from destruction—and reveals the Jedi within.
But six living crystals are still marked for
incineration.
The rescue has only begun.
Episode 1 of our original Star Wars Legends-
inspired fan-animation series.
#StarWars #lronKnights #StarWarsLegends #Jedi
#Shorts
UNLEASHED™
Cash App: $brednew
PayPal: https://paypal.me/blainehenry688</x:v>
      </x:c>
      <x:c r="O912" s="76" t="str">
        <x:v>Below timeline — placement unresolved</x:v>
      </x:c>
      <x:c r="P912" s="76" t="str">
        <x:v>IMG_6226.PNG</x:v>
      </x:c>
      <x:c r="Q912" s="76" t="str">
        <x:v>Needs review</x:v>
      </x:c>
      <x:c r="R912" s="76" t="str">
        <x:v>Low</x:v>
      </x:c>
      <x:c r="S912" s="76" t="str">
        <x:v>The screenshot does not provide enough event context for a reliable chronological placement.</x:v>
      </x:c>
      <x:c r="T912" s="76" t="str">
        <x:v>Unique</x:v>
      </x:c>
    </x:row>
    <x:row r="913" s="23" customFormat="1" ht="36" customHeight="1">
      <x:c r="A913" s="49" t="b">
        <x:v>0</x:v>
      </x:c>
      <x:c r="B913" s="56" t="str">
        <x:v>FV-0457</x:v>
      </x:c>
      <x:c r="C913" s="53" t="str">
        <x:v>Review &amp; decide — placement unresolved</x:v>
      </x:c>
      <x:c r="D913" s="53" t="str">
        <x:v>The Jedi Discovered the Lighthouse of the Ancients £,*</x:v>
      </x:c>
      <x:c r="E913" s="53" t="str"/>
      <x:c r="F913" s="53" t="str">
        <x:v>June 13, 2026</x:v>
      </x:c>
      <x:c r="G913" s="53" t="str">
        <x:v>Fan-made / non-canon</x:v>
      </x:c>
      <x:c r="H913" s="53" t="str">
        <x:v>Fan video</x:v>
      </x:c>
      <x:c r="I913" s="53" t="str">
        <x:v>YouTube — search by title</x:v>
      </x:c>
      <x:c r="J913" s="59" t="e">
        <x:f>HYPERLINK("https://www.youtube.com/results?search_query=The%20Jedi%20Discovered%20the%20Lighthouse%20of%20the%20Ancients%20%C2%A3%2C*","Search")</x:f>
        <x:v>HYPERLINK is not implemented. linkLocation=https://www.youtube.com/results?search_query=The%20Jedi%20Discovered%20the%20Lighthouse%20of%20the%20Ancients%20%C2%A3%2C*, friendlyName=Search</x:v>
      </x:c>
      <x:c r="K913" s="53" t="str">
        <x:v>The screenshot does not provide enough event context for a reliable chronological placement.</x:v>
      </x:c>
      <x:c r="L913" s="76" t="str"/>
      <x:c r="M913" s="76" t="str">
        <x:v>The Jedi Discovered the Lighthouse of the Ancients £,*</x:v>
      </x:c>
      <x:c r="N913" s="76" t="str">
        <x:v>For centuries, the Lighthouse of the Ancients stood
alone above the sea, guiding no ships and hiding a
secret no one was meant to find. When a lone Jedi
enters the forgotten structure, an ancient guardian
awakens and a lost civilization reveals itself beneath
the waves.
Who built the lighthouse... and what was it
protecting?
#Jedi #Manaan #LighthouseOfTheAncients
#StarWarsinspired #AncientRuins #LostKingdom
#FantasyWorld #LightsaberBattle #EpicAdventure
#Cinematic #SciFi #ForceUser #Shorts #ViralVideo</x:v>
      </x:c>
      <x:c r="O913" s="76" t="str">
        <x:v>Below timeline — placement unresolved</x:v>
      </x:c>
      <x:c r="P913" s="76" t="str">
        <x:v>IMG_6643.PNG</x:v>
      </x:c>
      <x:c r="Q913" s="76" t="str">
        <x:v>Needs review</x:v>
      </x:c>
      <x:c r="R913" s="76" t="str">
        <x:v>Low</x:v>
      </x:c>
      <x:c r="S913" s="76" t="str">
        <x:v>The screenshot does not provide enough event context for a reliable chronological placement.</x:v>
      </x:c>
      <x:c r="T913" s="76" t="str">
        <x:v>Unique</x:v>
      </x:c>
    </x:row>
    <x:row r="914" s="23" customFormat="1" ht="36" customHeight="1">
      <x:c r="A914" s="49" t="b">
        <x:v>0</x:v>
      </x:c>
      <x:c r="B914" s="56" t="str">
        <x:v>FV-0465</x:v>
      </x:c>
      <x:c r="C914" s="53" t="str">
        <x:v>Review &amp; decide — placement unresolved</x:v>
      </x:c>
      <x:c r="D914" s="53" t="str">
        <x:v>The Jedi Discovered the Lost Temple of Manaan 4 *</x:v>
      </x:c>
      <x:c r="E914" s="53" t="str"/>
      <x:c r="F914" s="53" t="str">
        <x:v>June 13, 2026</x:v>
      </x:c>
      <x:c r="G914" s="53" t="str">
        <x:v>Fan-made / non-canon</x:v>
      </x:c>
      <x:c r="H914" s="53" t="str">
        <x:v>Fan video</x:v>
      </x:c>
      <x:c r="I914" s="53" t="str">
        <x:v>YouTube — search by title</x:v>
      </x:c>
      <x:c r="J914" s="59" t="e">
        <x:f>HYPERLINK("https://www.youtube.com/results?search_query=The%20Jedi%20Discovered%20the%20Lost%20Temple%20of%20Manaan%204%20*","Search")</x:f>
        <x:v>HYPERLINK is not implemented. linkLocation=https://www.youtube.com/results?search_query=The%20Jedi%20Discovered%20the%20Lost%20Temple%20of%20Manaan%204%20*, friendlyName=Search</x:v>
      </x:c>
      <x:c r="K914" s="53" t="str">
        <x:v>The screenshot does not provide enough event context for a reliable chronological placement.</x:v>
      </x:c>
      <x:c r="L914" s="76" t="str"/>
      <x:c r="M914" s="76" t="str">
        <x:v>The Jedi Discovered the Lost Temple of Manaan 4 *</x:v>
      </x:c>
      <x:c r="N914" s="76" t="str">
        <x:v>Perched above the endless oceans of Manaan, a
forgotten temple has remained hidden for centuries.
When a lone Jedi ventures into the ancient ruins, he
awakens a terrifying guardian that has waited
beneath the sea for generations.
What follows is a lightning-fast battle of speed, skill,
and survival on the edge of the world.
&amp; Ancient sea temple
Force-speed combat
ff Forgotten ruins
é A guardian from the depths
#Jedi #StarWarsInspired #Manaan #LostTemple
#SeaTemple #AncientRuins #LightsaberBattle
#EpicFantasv #ForceUser #CreatureBattle</x:v>
      </x:c>
      <x:c r="O914" s="76" t="str">
        <x:v>Below timeline — placement unresolved</x:v>
      </x:c>
      <x:c r="P914" s="76" t="str">
        <x:v>IMG_6654.PNG</x:v>
      </x:c>
      <x:c r="Q914" s="76" t="str">
        <x:v>Needs review</x:v>
      </x:c>
      <x:c r="R914" s="76" t="str">
        <x:v>Low</x:v>
      </x:c>
      <x:c r="S914" s="76" t="str">
        <x:v>The screenshot does not provide enough event context for a reliable chronological placement.</x:v>
      </x:c>
      <x:c r="T914" s="76" t="str">
        <x:v>Unique</x:v>
      </x:c>
    </x:row>
    <x:row r="915" s="23" customFormat="1" ht="36" customHeight="1">
      <x:c r="A915" s="49" t="b">
        <x:v>0</x:v>
      </x:c>
      <x:c r="B915" s="56" t="str">
        <x:v>FV-0456</x:v>
      </x:c>
      <x:c r="C915" s="53" t="str">
        <x:v>Review &amp; decide — placement unresolved</x:v>
      </x:c>
      <x:c r="D915" s="53" t="str">
        <x:v>The Jedi Discovered the Lost Temple of Manaan S *</x:v>
      </x:c>
      <x:c r="E915" s="53" t="str"/>
      <x:c r="F915" s="53" t="str">
        <x:v>June 12, 2026</x:v>
      </x:c>
      <x:c r="G915" s="53" t="str">
        <x:v>Fan-made / non-canon</x:v>
      </x:c>
      <x:c r="H915" s="53" t="str">
        <x:v>Fan video</x:v>
      </x:c>
      <x:c r="I915" s="53" t="str">
        <x:v>YouTube — search by title</x:v>
      </x:c>
      <x:c r="J915" s="59" t="e">
        <x:f>HYPERLINK("https://www.youtube.com/results?search_query=The%20Jedi%20Discovered%20the%20Lost%20Temple%20of%20Manaan%20S%20*","Search")</x:f>
        <x:v>HYPERLINK is not implemented. linkLocation=https://www.youtube.com/results?search_query=The%20Jedi%20Discovered%20the%20Lost%20Temple%20of%20Manaan%20S%20*, friendlyName=Search</x:v>
      </x:c>
      <x:c r="K915" s="53" t="str">
        <x:v>The screenshot does not provide enough event context for a reliable chronological placement.</x:v>
      </x:c>
      <x:c r="L915" s="76" t="str"/>
      <x:c r="M915" s="76" t="str">
        <x:v>The Jedi Discovered the Lost Temple of Manaan S *</x:v>
      </x:c>
      <x:c r="N915" s="76" t="str">
        <x:v>Perched above a raging ocean, an ancient temple
has remained hidden for centuries.
But something still lives beneath the cliffs.
When a lone Jedi investigates the ruins, he awakens
a forgotten guardian from the depths. The ocean
erupts as the battle reaches the temple itself—and
the Jedi realizes he may have awakened something
that was never meant to return.
&amp; Some temples protect treasure. Others imprison
monsters.
© ORIGINAL Al CINEMATIC CREATION
This video was created specifically for Unleashed</x:v>
      </x:c>
      <x:c r="O915" s="76" t="str">
        <x:v>Below timeline — placement unresolved</x:v>
      </x:c>
      <x:c r="P915" s="76" t="str">
        <x:v>IMG_6642.PNG, IMG_6644.PNG, IMG_6646.PNG</x:v>
      </x:c>
      <x:c r="Q915" s="76" t="str">
        <x:v>Needs review</x:v>
      </x:c>
      <x:c r="R915" s="76" t="str">
        <x:v>Low</x:v>
      </x:c>
      <x:c r="S915" s="76" t="str">
        <x:v>The screenshot does not provide enough event context for a reliable chronological placement.</x:v>
      </x:c>
      <x:c r="T915" s="76" t="str">
        <x:v>Primary — DUP-010</x:v>
      </x:c>
    </x:row>
    <x:row r="916" s="23" customFormat="1" ht="36" customHeight="1">
      <x:c r="A916" s="49" t="b">
        <x:v>0</x:v>
      </x:c>
      <x:c r="B916" s="56" t="str">
        <x:v>FV-0428</x:v>
      </x:c>
      <x:c r="C916" s="53" t="str">
        <x:v>Review &amp; decide — placement unresolved</x:v>
      </x:c>
      <x:c r="D916" s="53" t="str">
        <x:v>The Jedi Should’ve Never Entered the Ancient Sith’s Tomb</x:v>
      </x:c>
      <x:c r="E916" s="53" t="str"/>
      <x:c r="F916" s="53" t="str">
        <x:v>June 7, 2026</x:v>
      </x:c>
      <x:c r="G916" s="53" t="str">
        <x:v>Fan-made / non-canon</x:v>
      </x:c>
      <x:c r="H916" s="53" t="str">
        <x:v>Fan video</x:v>
      </x:c>
      <x:c r="I916" s="53" t="str">
        <x:v>YouTube — search by title</x:v>
      </x:c>
      <x:c r="J916" s="59" t="e">
        <x:f>HYPERLINK("https://www.youtube.com/results?search_query=The%20Jedi%20Should%E2%80%99ve%20Never%20Entered%20the%20Ancient%20Sith%E2%80%99s%20Tomb","Search")</x:f>
        <x:v>HYPERLINK is not implemented. linkLocation=https://www.youtube.com/results?search_query=The%20Jedi%20Should%E2%80%99ve%20Never%20Entered%20the%20Ancient%20Sith%E2%80%99s%20Tomb, friendlyName=Search</x:v>
      </x:c>
      <x:c r="K916" s="53" t="str">
        <x:v>The screenshot does not provide enough event context for a reliable chronological placement.</x:v>
      </x:c>
      <x:c r="L916" s="76" t="str"/>
      <x:c r="M916" s="76" t="str">
        <x:v>The Jedi Should’ve Never Entered the Ancient Sith’s Tomb</x:v>
      </x:c>
      <x:c r="N916" s="76" t="str">
        <x:v>Deep beneath a forgotten world, an ancient Sith
awakens after centuries of silence. What begins as
a routine exploration quickly turns into a fight for
survival when a lone Jedi steps into the wrong place
at the wrong time. Some secrets were buried for a
reason.
™ Ancient Sith Awakens
(@ Dark Side Power Unleashed
A Lost Tomb Reveals Its Horror
4 The Jedi Should Have Turned Back
#StarWarsInspired #AncientSith #JediVsSith
#DarkSide #LightsaberBattle #SciFiShorts
#EpicBattle #SpaceFantasy #CinematicShorts
#TheForce #Unleashed #Shorts</x:v>
      </x:c>
      <x:c r="O916" s="76" t="str">
        <x:v>Below timeline — placement unresolved</x:v>
      </x:c>
      <x:c r="P916" s="76" t="str">
        <x:v>IMG_6614.PNG</x:v>
      </x:c>
      <x:c r="Q916" s="76" t="str">
        <x:v>Needs review</x:v>
      </x:c>
      <x:c r="R916" s="76" t="str">
        <x:v>Low</x:v>
      </x:c>
      <x:c r="S916" s="76" t="str">
        <x:v>The screenshot does not provide enough event context for a reliable chronological placement.</x:v>
      </x:c>
      <x:c r="T916" s="76" t="str">
        <x:v>Unique</x:v>
      </x:c>
    </x:row>
    <x:row r="917" s="23" customFormat="1" ht="36" customHeight="1">
      <x:c r="A917" s="49" t="b">
        <x:v>0</x:v>
      </x:c>
      <x:c r="B917" s="56" t="str">
        <x:v>FV-0557</x:v>
      </x:c>
      <x:c r="C917" s="53" t="str">
        <x:v>Review &amp; decide — placement unresolved</x:v>
      </x:c>
      <x:c r="D917" s="53" t="str">
        <x:v>The Jedi Trial That Chooses Who Is Worthy</x:v>
      </x:c>
      <x:c r="E917" s="53" t="str"/>
      <x:c r="F917" s="53" t="str">
        <x:v>August 20, 2026</x:v>
      </x:c>
      <x:c r="G917" s="53" t="str">
        <x:v>Fan-made / non-canon</x:v>
      </x:c>
      <x:c r="H917" s="53" t="str">
        <x:v>Fan video</x:v>
      </x:c>
      <x:c r="I917" s="53" t="str">
        <x:v>YouTube — search by title</x:v>
      </x:c>
      <x:c r="J917" s="59" t="e">
        <x:f>HYPERLINK("https://www.youtube.com/results?search_query=The%20Jedi%20Trial%20That%20Chooses%20Who%20Is%20Worthy","Search")</x:f>
        <x:v>HYPERLINK is not implemented. linkLocation=https://www.youtube.com/results?search_query=The%20Jedi%20Trial%20That%20Chooses%20Who%20Is%20Worthy, friendlyName=Search</x:v>
      </x:c>
      <x:c r="K917" s="53" t="str">
        <x:v>The screenshot does not provide enough event context for a reliable chronological placement.</x:v>
      </x:c>
      <x:c r="L917" s="76" t="str"/>
      <x:c r="M917" s="76" t="str">
        <x:v>The Jedi Trial That Chooses Who Is Worthy</x:v>
      </x:c>
      <x:c r="N917" s="76" t="str">
        <x:v>3 Cash App: $brednew
© PayPal: @blainehenry688
@ SUPPORT THE CHANNEL &amp;
Even 5¢, 10¢, 25¢, or $1 helps us continue creating
these cinematic stories. Thank you to everyone
supporting what we're building.
Deep inside an ancient crystal cavern, a young Jedi
faces a trial that cannot be won with strength alone.
The path is dangerous. One wrong move means
failure.
But somewhere inside the cavern, a crystal is
waiting.</x:v>
      </x:c>
      <x:c r="O917" s="76" t="str">
        <x:v>Below timeline — placement unresolved</x:v>
      </x:c>
      <x:c r="P917" s="76" t="str">
        <x:v>IMG_6747.PNG</x:v>
      </x:c>
      <x:c r="Q917" s="76" t="str">
        <x:v>Needs review</x:v>
      </x:c>
      <x:c r="R917" s="76" t="str">
        <x:v>Low</x:v>
      </x:c>
      <x:c r="S917" s="76" t="str">
        <x:v>The screenshot does not provide enough event context for a reliable chronological placement.</x:v>
      </x:c>
      <x:c r="T917" s="76" t="str">
        <x:v>Unique</x:v>
      </x:c>
    </x:row>
    <x:row r="918" s="23" customFormat="1" ht="36" customHeight="1">
      <x:c r="A918" s="49" t="b">
        <x:v>0</x:v>
      </x:c>
      <x:c r="B918" s="56" t="str">
        <x:v>FV-0502</x:v>
      </x:c>
      <x:c r="C918" s="53" t="str">
        <x:v>Review &amp; decide — placement unresolved</x:v>
      </x:c>
      <x:c r="D918" s="53" t="str">
        <x:v>The Jedi Wasn’t Supposed To Survive This</x:v>
      </x:c>
      <x:c r="E918" s="53" t="str"/>
      <x:c r="F918" s="53" t="str">
        <x:v>June 15, 2026</x:v>
      </x:c>
      <x:c r="G918" s="53" t="str">
        <x:v>Fan-made / non-canon</x:v>
      </x:c>
      <x:c r="H918" s="53" t="str">
        <x:v>Fan video</x:v>
      </x:c>
      <x:c r="I918" s="53" t="str">
        <x:v>YouTube — search by title</x:v>
      </x:c>
      <x:c r="J918" s="59" t="e">
        <x:f>HYPERLINK("https://www.youtube.com/results?search_query=The%20Jedi%20Wasn%E2%80%99t%20Supposed%20To%20Survive%20This","Search")</x:f>
        <x:v>HYPERLINK is not implemented. linkLocation=https://www.youtube.com/results?search_query=The%20Jedi%20Wasn%E2%80%99t%20Supposed%20To%20Survive%20This, friendlyName=Search</x:v>
      </x:c>
      <x:c r="K918" s="53" t="str">
        <x:v>The screenshot does not provide enough event context for a reliable chronological placement.</x:v>
      </x:c>
      <x:c r="L918" s="76" t="str"/>
      <x:c r="M918" s="76" t="str">
        <x:v>The Jedi Wasn’t Supposed To Survive This</x:v>
      </x:c>
      <x:c r="N918" s="76" t="str">
        <x:v>A lone Jedi enters a dangerous world where every
step could be his last. Powerful enemies, ancient
kingdoms, forgotten ruins, and impossible battles
stand in his way.
Armed with skill, courage, and mastery of the Force,
the Jedi faces challenges that would destroy almost
anyone else.
™ Ancient worlds.
™ Legendary enemies.
Unforgettable Jedi battles.
Will the Jedi survive this adventure?
™ Enjoyed this adventure? Visit @blainehenry593
for more Jedi battles, legendary duels, and
cinematic stories.</x:v>
      </x:c>
      <x:c r="O918" s="76" t="str">
        <x:v>Below timeline — placement unresolved</x:v>
      </x:c>
      <x:c r="P918" s="76" t="str">
        <x:v>IMG_6691.PNG</x:v>
      </x:c>
      <x:c r="Q918" s="76" t="str">
        <x:v>Needs review</x:v>
      </x:c>
      <x:c r="R918" s="76" t="str">
        <x:v>Low</x:v>
      </x:c>
      <x:c r="S918" s="76" t="str">
        <x:v>The screenshot does not provide enough event context for a reliable chronological placement.</x:v>
      </x:c>
      <x:c r="T918" s="76" t="str">
        <x:v>Unique</x:v>
      </x:c>
    </x:row>
    <x:row r="919" s="23" customFormat="1" ht="36" customHeight="1">
      <x:c r="A919" s="49" t="b">
        <x:v>0</x:v>
      </x:c>
      <x:c r="B919" s="56" t="str">
        <x:v>FV-0454</x:v>
      </x:c>
      <x:c r="C919" s="53" t="str">
        <x:v>Review &amp; decide — placement unresolved</x:v>
      </x:c>
      <x:c r="D919" s="53" t="str">
        <x:v>The Jedi Who Faced the Titan Beast</x:v>
      </x:c>
      <x:c r="E919" s="53" t="str"/>
      <x:c r="F919" s="53" t="str">
        <x:v>June 12, 2026</x:v>
      </x:c>
      <x:c r="G919" s="53" t="str">
        <x:v>Fan-made / non-canon</x:v>
      </x:c>
      <x:c r="H919" s="53" t="str">
        <x:v>Fan video</x:v>
      </x:c>
      <x:c r="I919" s="53" t="str">
        <x:v>YouTube — search by title</x:v>
      </x:c>
      <x:c r="J919" s="59" t="e">
        <x:f>HYPERLINK("https://www.youtube.com/results?search_query=The%20Jedi%20Who%20Faced%20the%20Titan%20Beast","Search")</x:f>
        <x:v>HYPERLINK is not implemented. linkLocation=https://www.youtube.com/results?search_query=The%20Jedi%20Who%20Faced%20the%20Titan%20Beast, friendlyName=Search</x:v>
      </x:c>
      <x:c r="K919" s="53" t="str">
        <x:v>The screenshot does not provide enough event context for a reliable chronological placement.</x:v>
      </x:c>
      <x:c r="L919" s="76" t="str"/>
      <x:c r="M919" s="76" t="str">
        <x:v>The Jedi Who Faced the Titan Beast</x:v>
      </x:c>
      <x:c r="N919" s="76" t="str">
        <x:v>A lone Jedi enters a forgotten land and comes face
to face with a Titan Beast powerful enough to shake
the ground beneath him. Armed with only his
lightsaber, the Jedi must rely on skill, timing, and
the Force to survive a battle that should have been
impossible to win.
Will the Jedi prevail, or has he finally met a creature
too powerful to defeat?
#StarWars #Jedi #Lightsaber #TitanBeast
#ForceUser #SciFi #Fantasy #EpicBattle #Shorts
#Unleashed
This video is an original Al-assisted production
created, directed, and edited by Blaine Henry. The
concept, story, characters, scene direction, action
choreography, and creative decisions were</x:v>
      </x:c>
      <x:c r="O919" s="76" t="str">
        <x:v>Below timeline — placement unresolved</x:v>
      </x:c>
      <x:c r="P919" s="76" t="str">
        <x:v>IMG_6640.PNG</x:v>
      </x:c>
      <x:c r="Q919" s="76" t="str">
        <x:v>Needs review</x:v>
      </x:c>
      <x:c r="R919" s="76" t="str">
        <x:v>Low</x:v>
      </x:c>
      <x:c r="S919" s="76" t="str">
        <x:v>The screenshot does not provide enough event context for a reliable chronological placement.</x:v>
      </x:c>
      <x:c r="T919" s="76" t="str">
        <x:v>Unique</x:v>
      </x:c>
    </x:row>
    <x:row r="920" s="23" customFormat="1" ht="36" customHeight="1">
      <x:c r="A920" s="49" t="b">
        <x:v>0</x:v>
      </x:c>
      <x:c r="B920" s="56" t="str">
        <x:v>FV-0383</x:v>
      </x:c>
      <x:c r="C920" s="53" t="str">
        <x:v>Review &amp; decide — placement unresolved</x:v>
      </x:c>
      <x:c r="D920" s="53" t="str">
        <x:v>The Jedi Who Fought Beneath the Ocean x</x:v>
      </x:c>
      <x:c r="E920" s="53" t="str"/>
      <x:c r="F920" s="53" t="str">
        <x:v>August 23, 2026</x:v>
      </x:c>
      <x:c r="G920" s="53" t="str">
        <x:v>Fan-made / non-canon</x:v>
      </x:c>
      <x:c r="H920" s="53" t="str">
        <x:v>Fan video</x:v>
      </x:c>
      <x:c r="I920" s="53" t="str">
        <x:v>YouTube — search by title</x:v>
      </x:c>
      <x:c r="J920" s="59" t="e">
        <x:f>HYPERLINK("https://www.youtube.com/results?search_query=The%20Jedi%20Who%20Fought%20Beneath%20the%20Ocean%20x","Search")</x:f>
        <x:v>HYPERLINK is not implemented. linkLocation=https://www.youtube.com/results?search_query=The%20Jedi%20Who%20Fought%20Beneath%20the%20Ocean%20x, friendlyName=Search</x:v>
      </x:c>
      <x:c r="K920" s="53" t="str">
        <x:v>The screenshot does not provide enough event context for a reliable chronological placement.</x:v>
      </x:c>
      <x:c r="L920" s="76" t="str"/>
      <x:c r="M920" s="76" t="str">
        <x:v>The Jedi Who Fought Beneath the Ocean x</x:v>
      </x:c>
      <x:c r="N920" s="76" t="str">
        <x:v>3 Cash App: $brednew
© PayPal: @blainehenry688
Deep beneath an alien ocean, a Jedi discovers the
ruins of a forgotten world.
What begins as a peaceful journey through an
ancient underwater temple quickly becomes a fight
for survival. Surrounded by aquatic war machines,
the Jedi turns their own attack against them — and
brings the ruins crashing down.
But what else is hiding beneath the ocean floor?
Welcome to Jedi Unleashed.</x:v>
      </x:c>
      <x:c r="O920" s="76" t="str">
        <x:v>Below timeline — placement unresolved</x:v>
      </x:c>
      <x:c r="P920" s="76" t="str">
        <x:v>IMG_6569.PNG</x:v>
      </x:c>
      <x:c r="Q920" s="76" t="str">
        <x:v>Needs review</x:v>
      </x:c>
      <x:c r="R920" s="76" t="str">
        <x:v>Low</x:v>
      </x:c>
      <x:c r="S920" s="76" t="str">
        <x:v>The screenshot does not provide enough event context for a reliable chronological placement.</x:v>
      </x:c>
      <x:c r="T920" s="76" t="str">
        <x:v>Unique</x:v>
      </x:c>
    </x:row>
    <x:row r="921" s="23" customFormat="1" ht="36" customHeight="1">
      <x:c r="A921" s="49" t="b">
        <x:v>0</x:v>
      </x:c>
      <x:c r="B921" s="56" t="str">
        <x:v>FV-0363</x:v>
      </x:c>
      <x:c r="C921" s="53" t="str">
        <x:v>Review &amp; decide — placement unresolved</x:v>
      </x:c>
      <x:c r="D921" s="53" t="str">
        <x:v>The Jedi Who Jumped Off a Falling City</x:v>
      </x:c>
      <x:c r="E921" s="53" t="str"/>
      <x:c r="F921" s="53" t="str">
        <x:v>August 25, 2026</x:v>
      </x:c>
      <x:c r="G921" s="53" t="str">
        <x:v>Fan-made / non-canon</x:v>
      </x:c>
      <x:c r="H921" s="53" t="str">
        <x:v>Fan video</x:v>
      </x:c>
      <x:c r="I921" s="53" t="str">
        <x:v>YouTube — search by title</x:v>
      </x:c>
      <x:c r="J921" s="59" t="e">
        <x:f>HYPERLINK("https://www.youtube.com/results?search_query=The%20Jedi%20Who%20Jumped%20Off%20a%20Falling%20City","Search")</x:f>
        <x:v>HYPERLINK is not implemented. linkLocation=https://www.youtube.com/results?search_query=The%20Jedi%20Who%20Jumped%20Off%20a%20Falling%20City, friendlyName=Search</x:v>
      </x:c>
      <x:c r="K921" s="53" t="str">
        <x:v>The screenshot does not provide enough event context for a reliable chronological placement.</x:v>
      </x:c>
      <x:c r="L921" s="76" t="str"/>
      <x:c r="M921" s="76" t="str">
        <x:v>The Jedi Who Jumped Off a Falling City</x:v>
      </x:c>
      <x:c r="N921" s="76" t="str">
        <x:v>Cash App: $brednew | PayPal: @blainehenry688
An entire city is falling from the sky.
Thousands are trapped. The engines are destroyed.
A transport full of children is sliding toward the
edge—and one Jedi refuses to accept that everyone
is already dead.
He saves the children. He holds back a collapsing
tower.
Then he discovers there may be one final chance.
The problem?
It's hundreds of feet beneath the falling city.</x:v>
      </x:c>
      <x:c r="O921" s="76" t="str">
        <x:v>Below timeline — placement unresolved</x:v>
      </x:c>
      <x:c r="P921" s="76" t="str">
        <x:v>IMG_6549.PNG</x:v>
      </x:c>
      <x:c r="Q921" s="76" t="str">
        <x:v>Needs review</x:v>
      </x:c>
      <x:c r="R921" s="76" t="str">
        <x:v>Low</x:v>
      </x:c>
      <x:c r="S921" s="76" t="str">
        <x:v>The screenshot does not provide enough event context for a reliable chronological placement.</x:v>
      </x:c>
      <x:c r="T921" s="76" t="str">
        <x:v>Unique</x:v>
      </x:c>
    </x:row>
    <x:row r="922" s="23" customFormat="1" ht="36" customHeight="1">
      <x:c r="A922" s="49" t="b">
        <x:v>0</x:v>
      </x:c>
      <x:c r="B922" s="56" t="str">
        <x:v>FV-0223</x:v>
      </x:c>
      <x:c r="C922" s="53" t="str">
        <x:v>Review &amp; decide — placement unresolved</x:v>
      </x:c>
      <x:c r="D922" s="53" t="str">
        <x:v>The Jedi Who Outgrew the Blade | Vernestra Rwoh</x:v>
      </x:c>
      <x:c r="E922" s="53" t="str"/>
      <x:c r="F922" s="53" t="str">
        <x:v>September 13, 2026</x:v>
      </x:c>
      <x:c r="G922" s="53" t="str">
        <x:v>Fan-made / non-canon</x:v>
      </x:c>
      <x:c r="H922" s="53" t="str">
        <x:v>Fan video</x:v>
      </x:c>
      <x:c r="I922" s="53" t="str">
        <x:v>YouTube — search by title</x:v>
      </x:c>
      <x:c r="J922" s="59" t="e">
        <x:f>HYPERLINK("https://www.youtube.com/results?search_query=The%20Jedi%20Who%20Outgrew%20the%20Blade%20%7C%20Vernestra%20Rwoh","Search")</x:f>
        <x:v>HYPERLINK is not implemented. linkLocation=https://www.youtube.com/results?search_query=The%20Jedi%20Who%20Outgrew%20the%20Blade%20%7C%20Vernestra%20Rwoh, friendlyName=Search</x:v>
      </x:c>
      <x:c r="K922" s="53" t="str">
        <x:v>The screenshot does not provide enough event context for a reliable chronological placement.</x:v>
      </x:c>
      <x:c r="L922" s="76" t="str"/>
      <x:c r="M922" s="76" t="str">
        <x:v>The Jedi Who Outgrew the Blade | Vernestra Rwoh</x:v>
      </x:c>
      <x:c r="N922" s="76"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922" s="76" t="str">
        <x:v>Below timeline — placement unresolved</x:v>
      </x:c>
      <x:c r="P922" s="76" t="str">
        <x:v>IMG_6406.PNG</x:v>
      </x:c>
      <x:c r="Q922" s="76" t="str">
        <x:v>Needs review</x:v>
      </x:c>
      <x:c r="R922" s="76" t="str">
        <x:v>Low</x:v>
      </x:c>
      <x:c r="S922" s="76" t="str">
        <x:v>The screenshot does not provide enough event context for a reliable chronological placement.</x:v>
      </x:c>
      <x:c r="T922" s="76" t="str">
        <x:v>Unique</x:v>
      </x:c>
    </x:row>
    <x:row r="923" s="23" customFormat="1" ht="36" customHeight="1">
      <x:c r="A923" s="49" t="b">
        <x:v>0</x:v>
      </x:c>
      <x:c r="B923" s="56" t="str">
        <x:v>FV-0410</x:v>
      </x:c>
      <x:c r="C923" s="53" t="str">
        <x:v>Review &amp; decide — placement unresolved</x:v>
      </x:c>
      <x:c r="D923" s="53" t="str">
        <x:v>THE MAINTENANCE LEVEL &amp; | Something Is Moving Below the Facility</x:v>
      </x:c>
      <x:c r="E923" s="53" t="str"/>
      <x:c r="F923" s="53" t="str">
        <x:v>May 26, 2026</x:v>
      </x:c>
      <x:c r="G923" s="53" t="str">
        <x:v>Fan-made / non-canon</x:v>
      </x:c>
      <x:c r="H923" s="53" t="str">
        <x:v>Fan video</x:v>
      </x:c>
      <x:c r="I923" s="53" t="str">
        <x:v>YouTube — search by title</x:v>
      </x:c>
      <x:c r="J923" s="59" t="e">
        <x:f>HYPERLINK("https://www.youtube.com/results?search_query=THE%20MAINTENANCE%20LEVEL%20%26%20%7C%20Something%20Is%20Moving%20Below%20the%20Facility","Search")</x:f>
        <x:v>HYPERLINK is not implemented. linkLocation=https://www.youtube.com/results?search_query=THE%20MAINTENANCE%20LEVEL%20%26%20%7C%20Something%20Is%20Moving%20Below%20the%20Facility, friendlyName=Search</x:v>
      </x:c>
      <x:c r="K923" s="53" t="str">
        <x:v>The screenshot does not provide enough event context for a reliable chronological placement.</x:v>
      </x:c>
      <x:c r="L923" s="76" t="str"/>
      <x:c r="M923" s="76" t="str">
        <x:v>THE MAINTENANCE LEVEL &amp; | Something Is Moving Below the Facility</x:v>
      </x:c>
      <x:c r="N923" s="76" t="str">
        <x:v>The deeper he goes... the quieter it gets.
No backup. No sunlight. Just miles of dark industrial
tunnels beneath the facility. Then the motion tracker
starts picking something up in the maintenance
level.
Steam. Metal. Screaming alarms.
One survivor trapped underground with a creature
that was never supposed to escape.
Hyper-real cinematic sci-fi horror inspired by
classic underground creature films and industrial
nightmare environments.
#scifi #alien #horror #voidprotocol #cinematic
#creature #darkscifi #survival #monster #shortfilm
#Hindustrial #suspense #viral #fvo</x:v>
      </x:c>
      <x:c r="O923" s="76" t="str">
        <x:v>Below timeline — placement unresolved</x:v>
      </x:c>
      <x:c r="P923" s="76" t="str">
        <x:v>IMG_6596.PNG</x:v>
      </x:c>
      <x:c r="Q923" s="76" t="str">
        <x:v>Needs review</x:v>
      </x:c>
      <x:c r="R923" s="76" t="str">
        <x:v>Low</x:v>
      </x:c>
      <x:c r="S923" s="76" t="str">
        <x:v>The screenshot does not provide enough event context for a reliable chronological placement.</x:v>
      </x:c>
      <x:c r="T923" s="76" t="str">
        <x:v>Unique</x:v>
      </x:c>
    </x:row>
    <x:row r="924" s="23" customFormat="1" ht="36" customHeight="1">
      <x:c r="A924" s="49" t="b">
        <x:v>0</x:v>
      </x:c>
      <x:c r="B924" s="56" t="str">
        <x:v>FV-0289</x:v>
      </x:c>
      <x:c r="C924" s="53" t="str">
        <x:v>Review &amp; decide — placement unresolved</x:v>
      </x:c>
      <x:c r="D924" s="53" t="str">
        <x:v>The Matukai — Force Warriors Who Were Never Jedi</x:v>
      </x:c>
      <x:c r="E924" s="53" t="str"/>
      <x:c r="F924" s="53" t="str">
        <x:v>September 1, 2026</x:v>
      </x:c>
      <x:c r="G924" s="53" t="str">
        <x:v>Fan-made / non-canon</x:v>
      </x:c>
      <x:c r="H924" s="53" t="str">
        <x:v>Fan video</x:v>
      </x:c>
      <x:c r="I924" s="53" t="str">
        <x:v>YouTube — search by title</x:v>
      </x:c>
      <x:c r="J924" s="59" t="e">
        <x:f>HYPERLINK("https://www.youtube.com/results?search_query=The%20Matukai%20%E2%80%94%20Force%20Warriors%20Who%20Were%20Never%20Jedi","Search")</x:f>
        <x:v>HYPERLINK is not implemented. linkLocation=https://www.youtube.com/results?search_query=The%20Matukai%20%E2%80%94%20Force%20Warriors%20Who%20Were%20Never%20Jedi, friendlyName=Search</x:v>
      </x:c>
      <x:c r="K924" s="53" t="str">
        <x:v>The screenshot does not provide enough event context for a reliable chronological placement.</x:v>
      </x:c>
      <x:c r="L924" s="76" t="str"/>
      <x:c r="M924" s="76" t="str">
        <x:v>The Matukai — Force Warriors Who Were Never Jedi</x:v>
      </x:c>
      <x:c r="N924" s="76" t="str">
        <x:v>They could touch the Force—but they were never
Jedi.
The Matukai followed a different path, combining
intense physical discipline, martial training, and
their connection to the Force into a fighting tradition
of their own.
When a dark-side warrior confronts them, there is
no Jedi Council and no traditional lightsaber duel
waiting for him. He faces warriors whose bodies,
weapons, and connection to the Force have been
forged into one discipline.
Not every servant of the Force was a Jedi.
A cinematic interpretation inspired by the Matukai</x:v>
      </x:c>
      <x:c r="O924" s="76" t="str">
        <x:v>Below timeline — placement unresolved</x:v>
      </x:c>
      <x:c r="P924" s="76" t="str">
        <x:v>IMG_6474.PNG</x:v>
      </x:c>
      <x:c r="Q924" s="76" t="str">
        <x:v>Needs review</x:v>
      </x:c>
      <x:c r="R924" s="76" t="str">
        <x:v>Low</x:v>
      </x:c>
      <x:c r="S924" s="76" t="str">
        <x:v>The screenshot does not provide enough event context for a reliable chronological placement.</x:v>
      </x:c>
      <x:c r="T924" s="76" t="str">
        <x:v>Unique</x:v>
      </x:c>
    </x:row>
    <x:row r="925" s="23" customFormat="1" ht="36" customHeight="1">
      <x:c r="A925" s="49" t="b">
        <x:v>0</x:v>
      </x:c>
      <x:c r="B925" s="56" t="str">
        <x:v>FV-0432</x:v>
      </x:c>
      <x:c r="C925" s="53" t="str">
        <x:v>Review &amp; decide — placement unresolved</x:v>
      </x:c>
      <x:c r="D925" s="53" t="str">
        <x:v>The Monster Thought The Jedi Was Unarmed</x:v>
      </x:c>
      <x:c r="E925" s="53" t="str"/>
      <x:c r="F925" s="53" t="str">
        <x:v>June 8, 2026</x:v>
      </x:c>
      <x:c r="G925" s="53" t="str">
        <x:v>Fan-made / non-canon</x:v>
      </x:c>
      <x:c r="H925" s="53" t="str">
        <x:v>Fan video</x:v>
      </x:c>
      <x:c r="I925" s="53" t="str">
        <x:v>YouTube — search by title</x:v>
      </x:c>
      <x:c r="J925" s="59" t="e">
        <x:f>HYPERLINK("https://www.youtube.com/results?search_query=The%20Monster%20Thought%20The%20Jedi%20Was%20Unarmed","Search")</x:f>
        <x:v>HYPERLINK is not implemented. linkLocation=https://www.youtube.com/results?search_query=The%20Monster%20Thought%20The%20Jedi%20Was%20Unarmed, friendlyName=Search</x:v>
      </x:c>
      <x:c r="K925" s="53" t="str">
        <x:v>The screenshot does not provide enough event context for a reliable chronological placement.</x:v>
      </x:c>
      <x:c r="L925" s="76" t="str"/>
      <x:c r="M925" s="76" t="str">
        <x:v>The Monster Thought The Jedi Was Unarmed</x:v>
      </x:c>
      <x:c r="N925" s="76" t="str">
        <x:v>The creature saw the Jedi drop his lightsaber and
thought the fight was over. It never noticed the
ancient armory around it. One Force move changed
everything. ¥
#StarWarsInspired #Jedi/#TheForce #Fantasy
#SciFi #Shorts #Action #EpicBattle #Unleashed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
© Blaine Henry. Original creative content. All rights
reserved.</x:v>
      </x:c>
      <x:c r="O925" s="76" t="str">
        <x:v>Below timeline — placement unresolved</x:v>
      </x:c>
      <x:c r="P925" s="76" t="str">
        <x:v>IMG_6618.PNG</x:v>
      </x:c>
      <x:c r="Q925" s="76" t="str">
        <x:v>Needs review</x:v>
      </x:c>
      <x:c r="R925" s="76" t="str">
        <x:v>Low</x:v>
      </x:c>
      <x:c r="S925" s="76" t="str">
        <x:v>The screenshot does not provide enough event context for a reliable chronological placement.</x:v>
      </x:c>
      <x:c r="T925" s="76" t="str">
        <x:v>Unique</x:v>
      </x:c>
    </x:row>
    <x:row r="926" s="23" customFormat="1" ht="36" customHeight="1">
      <x:c r="A926" s="49" t="b">
        <x:v>0</x:v>
      </x:c>
      <x:c r="B926" s="56" t="str">
        <x:v>FV-0540</x:v>
      </x:c>
      <x:c r="C926" s="53" t="str">
        <x:v>Review &amp; decide — placement unresolved</x:v>
      </x:c>
      <x:c r="D926" s="53" t="str">
        <x:v>The New Jedi Adventure Begins | Official Teaser Trailer</x:v>
      </x:c>
      <x:c r="E926" s="53" t="str"/>
      <x:c r="F926" s="53" t="str">
        <x:v>July 1, 2026</x:v>
      </x:c>
      <x:c r="G926" s="53" t="str">
        <x:v>Fan-made / non-canon</x:v>
      </x:c>
      <x:c r="H926" s="53" t="str">
        <x:v>Fan video</x:v>
      </x:c>
      <x:c r="I926" s="53" t="str">
        <x:v>YouTube — search by title</x:v>
      </x:c>
      <x:c r="J926" s="59" t="e">
        <x:f>HYPERLINK("https://www.youtube.com/results?search_query=The%20New%20Jedi%20Adventure%20Begins%20%7C%20Official%20Teaser%20Trailer","Search")</x:f>
        <x:v>HYPERLINK is not implemented. linkLocation=https://www.youtube.com/results?search_query=The%20New%20Jedi%20Adventure%20Begins%20%7C%20Official%20Teaser%20Trailer, friendlyName=Search</x:v>
      </x:c>
      <x:c r="K926" s="53" t="str">
        <x:v>The screenshot does not provide enough event context for a reliable chronological placement.</x:v>
      </x:c>
      <x:c r="L926" s="76" t="str"/>
      <x:c r="M926" s="76" t="str">
        <x:v>The New Jedi Adventure Begins | Official Teaser Trailer</x:v>
      </x:c>
      <x:c r="N926" s="76" t="str">
        <x:v>A new hero rises... and this is only the beginning.
Welcome to a brand-new cinematic Jedi-inspired
adventure filled with ancient temples, mysterious
creatures, and epic battles yet to come.
™ Follow the full journey on Facebook and
Instagram for future chapters, mini-movies, and
exclusive updates.
¥&amp; Want early access and exclusive content?
https://www.patreon.com/
JediChroniclesbyUnleashed
If you enjoyed this teaser:
eds Like
e Comment</x:v>
      </x:c>
      <x:c r="O926" s="76" t="str">
        <x:v>Below timeline — placement unresolved</x:v>
      </x:c>
      <x:c r="P926" s="76" t="str">
        <x:v>IMG_6729.PNG</x:v>
      </x:c>
      <x:c r="Q926" s="76" t="str">
        <x:v>Needs review</x:v>
      </x:c>
      <x:c r="R926" s="76" t="str">
        <x:v>Low</x:v>
      </x:c>
      <x:c r="S926" s="76" t="str">
        <x:v>The screenshot does not provide enough event context for a reliable chronological placement.</x:v>
      </x:c>
      <x:c r="T926" s="76" t="str">
        <x:v>Unique</x:v>
      </x:c>
    </x:row>
    <x:row r="927" s="23" customFormat="1" ht="36" customHeight="1">
      <x:c r="A927" s="49" t="b">
        <x:v>0</x:v>
      </x:c>
      <x:c r="B927" s="56" t="str">
        <x:v>FV-0572</x:v>
      </x:c>
      <x:c r="C927" s="53" t="str">
        <x:v>Review &amp; decide — placement unresolved</x:v>
      </x:c>
      <x:c r="D927" s="53" t="str">
        <x:v>The Night Sisters Awakened... and He Never Should've Entered Their Forest ) @</x:v>
      </x:c>
      <x:c r="E927" s="53" t="str"/>
      <x:c r="F927" s="53" t="str">
        <x:v>August 22, 2026</x:v>
      </x:c>
      <x:c r="G927" s="53" t="str">
        <x:v>Fan-made / non-canon</x:v>
      </x:c>
      <x:c r="H927" s="53" t="str">
        <x:v>Fan video</x:v>
      </x:c>
      <x:c r="I927" s="53" t="str">
        <x:v>YouTube — search by title</x:v>
      </x:c>
      <x:c r="J927" s="59" t="e">
        <x:f>HYPERLINK("https://www.youtube.com/results?search_query=The%20Night%20Sisters%20Awakened...%20and%20He%20Never%20Should've%20Entered%20Their%20Forest%20)%20%40","Search")</x:f>
        <x:v>HYPERLINK is not implemented. linkLocation=https://www.youtube.com/results?search_query=The%20Night%20Sisters%20Awakened...%20and%20He%20Never%20Should've%20Entered%20Their%20Forest%20)%20%40, friendlyName=Search</x:v>
      </x:c>
      <x:c r="K927" s="53" t="str">
        <x:v>The screenshot does not provide enough event context for a reliable chronological placement.</x:v>
      </x:c>
      <x:c r="L927" s="76" t="str"/>
      <x:c r="M927" s="76" t="str">
        <x:v>The Night Sisters Awakened... and He Never Should've Entered Their Forest ) @</x:v>
      </x:c>
      <x:c r="N927" s="76"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927" s="76" t="str">
        <x:v>Below timeline — placement unresolved</x:v>
      </x:c>
      <x:c r="P927" s="76" t="str">
        <x:v>IMG_6762.PNG</x:v>
      </x:c>
      <x:c r="Q927" s="76" t="str">
        <x:v>Needs review</x:v>
      </x:c>
      <x:c r="R927" s="76" t="str">
        <x:v>Low</x:v>
      </x:c>
      <x:c r="S927" s="76" t="str">
        <x:v>The screenshot does not provide enough event context for a reliable chronological placement.</x:v>
      </x:c>
      <x:c r="T927" s="76" t="str">
        <x:v>Unique</x:v>
      </x:c>
    </x:row>
    <x:row r="928" s="23" customFormat="1" ht="36" customHeight="1">
      <x:c r="A928" s="49" t="b">
        <x:v>0</x:v>
      </x:c>
      <x:c r="B928" s="56" t="str">
        <x:v>FV-0394</x:v>
      </x:c>
      <x:c r="C928" s="53" t="str">
        <x:v>Review &amp; decide — placement unresolved</x:v>
      </x:c>
      <x:c r="D928" s="53" t="str">
        <x:v>The Nightsister’s Trap — “That's Not Me!”</x:v>
      </x:c>
      <x:c r="E928" s="53" t="str"/>
      <x:c r="F928" s="53" t="str">
        <x:v>August 23, 2026</x:v>
      </x:c>
      <x:c r="G928" s="53" t="str">
        <x:v>Fan-made / non-canon</x:v>
      </x:c>
      <x:c r="H928" s="53" t="str">
        <x:v>Fan video</x:v>
      </x:c>
      <x:c r="I928" s="53" t="str">
        <x:v>YouTube — search by title</x:v>
      </x:c>
      <x:c r="J928" s="59" t="e">
        <x:f>HYPERLINK("https://www.youtube.com/results?search_query=The%20Nightsister%E2%80%99s%20Trap%20%E2%80%94%20%E2%80%9CThat's%20Not%20Me!%E2%80%9D","Search")</x:f>
        <x:v>HYPERLINK is not implemented. linkLocation=https://www.youtube.com/results?search_query=The%20Nightsister%E2%80%99s%20Trap%20%E2%80%94%20%E2%80%9CThat's%20Not%20Me!%E2%80%9D, friendlyName=Search</x:v>
      </x:c>
      <x:c r="K928" s="53" t="str">
        <x:v>The screenshot does not provide enough event context for a reliable chronological placement.</x:v>
      </x:c>
      <x:c r="L928" s="76" t="str"/>
      <x:c r="M928" s="76" t="str">
        <x:v>The Nightsister’s Trap — “That's Not Me!”</x:v>
      </x:c>
      <x:c r="N928" s="76"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928" s="76" t="str">
        <x:v>Below timeline — placement unresolved</x:v>
      </x:c>
      <x:c r="P928" s="76" t="str">
        <x:v>IMG_6580.PNG, IMG_6770.PNG</x:v>
      </x:c>
      <x:c r="Q928" s="76" t="str">
        <x:v>Needs review</x:v>
      </x:c>
      <x:c r="R928" s="76" t="str">
        <x:v>Low</x:v>
      </x:c>
      <x:c r="S928" s="76" t="str">
        <x:v>The screenshot does not provide enough event context for a reliable chronological placement.</x:v>
      </x:c>
      <x:c r="T928" s="76" t="str">
        <x:v>Primary — DUP-003</x:v>
      </x:c>
    </x:row>
    <x:row r="929" s="23" customFormat="1" ht="36" customHeight="1">
      <x:c r="A929" s="49" t="b">
        <x:v>0</x:v>
      </x:c>
      <x:c r="B929" s="56" t="str">
        <x:v>FV-0055</x:v>
      </x:c>
      <x:c r="C929" s="53" t="str">
        <x:v>Review &amp; decide — placement unresolved</x:v>
      </x:c>
      <x:c r="D929" s="53" t="str">
        <x:v>The Padawan Skills Test | Does This Apprentice Have What It Takes?</x:v>
      </x:c>
      <x:c r="E929" s="53" t="str"/>
      <x:c r="F929" s="53" t="str">
        <x:v>October 10, 2026</x:v>
      </x:c>
      <x:c r="G929" s="53" t="str">
        <x:v>Fan-made / non-canon</x:v>
      </x:c>
      <x:c r="H929" s="53" t="str">
        <x:v>Fan video</x:v>
      </x:c>
      <x:c r="I929" s="53" t="str">
        <x:v>YouTube — search by title</x:v>
      </x:c>
      <x:c r="J929" s="59" t="e">
        <x:f>HYPERLINK("https://www.youtube.com/results?search_query=The%20Padawan%20Skills%20Test%20%7C%20Does%20This%20Apprentice%20Have%20What%20It%20Takes%3F","Search")</x:f>
        <x:v>HYPERLINK is not implemented. linkLocation=https://www.youtube.com/results?search_query=The%20Padawan%20Skills%20Test%20%7C%20Does%20This%20Apprentice%20Have%20What%20It%20Takes%3F, friendlyName=Search</x:v>
      </x:c>
      <x:c r="K929" s="53" t="str">
        <x:v>The screenshot does not provide enough event context for a reliable chronological placement.</x:v>
      </x:c>
      <x:c r="L929" s="76" t="str"/>
      <x:c r="M929" s="76" t="str">
        <x:v>The Padawan Skills Test | Does This Apprentice Have What It Takes?</x:v>
      </x:c>
      <x:c r="N929" s="76" t="str">
        <x:v>Training is over. The test begins.
A Padawan puts their skills to the test—precision,
focus, and control under pressure. Is this apprentice
ready for the next step?
An original fan-made scene inspired by Star Wars.
Star Wars™ belongs to Lucasfilm Ltd. and Disney.
Unofficial fan work; no affiliation or endorsement.
Support the channel:
Cash App: [Your Cash App]
PayPal: [Your PayPal]
#StarWars #Padawan #JediTraining #TheForce
#UNLEASHED</x:v>
      </x:c>
      <x:c r="O929" s="76" t="str">
        <x:v>Below timeline — placement unresolved</x:v>
      </x:c>
      <x:c r="P929" s="76" t="str">
        <x:v>IMG_6238.PNG</x:v>
      </x:c>
      <x:c r="Q929" s="76" t="str">
        <x:v>Needs review</x:v>
      </x:c>
      <x:c r="R929" s="76" t="str">
        <x:v>Low</x:v>
      </x:c>
      <x:c r="S929" s="76" t="str">
        <x:v>The screenshot does not provide enough event context for a reliable chronological placement.</x:v>
      </x:c>
      <x:c r="T929" s="76" t="str">
        <x:v>Unique</x:v>
      </x:c>
    </x:row>
    <x:row r="930" s="23" customFormat="1" ht="36" customHeight="1">
      <x:c r="A930" s="49" t="b">
        <x:v>0</x:v>
      </x:c>
      <x:c r="B930" s="56" t="str">
        <x:v>FV-0436</x:v>
      </x:c>
      <x:c r="C930" s="53" t="str">
        <x:v>Review &amp; decide — placement unresolved</x:v>
      </x:c>
      <x:c r="D930" s="53" t="str">
        <x:v>The Sand Beast Never Saw The Force Coming</x:v>
      </x:c>
      <x:c r="E930" s="53" t="str"/>
      <x:c r="F930" s="53" t="str">
        <x:v>June 9, 2026</x:v>
      </x:c>
      <x:c r="G930" s="53" t="str">
        <x:v>Fan-made / non-canon</x:v>
      </x:c>
      <x:c r="H930" s="53" t="str">
        <x:v>Fan video</x:v>
      </x:c>
      <x:c r="I930" s="53" t="str">
        <x:v>YouTube — search by title</x:v>
      </x:c>
      <x:c r="J930" s="59" t="e">
        <x:f>HYPERLINK("https://www.youtube.com/results?search_query=The%20Sand%20Beast%20Never%20Saw%20The%20Force%20Coming","Search")</x:f>
        <x:v>HYPERLINK is not implemented. linkLocation=https://www.youtube.com/results?search_query=The%20Sand%20Beast%20Never%20Saw%20The%20Force%20Coming, friendlyName=Search</x:v>
      </x:c>
      <x:c r="K930" s="53" t="str">
        <x:v>The screenshot does not provide enough event context for a reliable chronological placement.</x:v>
      </x:c>
      <x:c r="L930" s="76" t="str"/>
      <x:c r="M930" s="76" t="str">
        <x:v>The Sand Beast Never Saw The Force Coming</x:v>
      </x:c>
      <x:c r="N930" s="76" t="str">
        <x:v>A vast desert. A buried predator. One perfectly
timed use of the Force changed everything.
Hashtags:
#VoidProtocol #Jedilnspired #TheForce #Fantasy
#SciFi #SandBeast #Cinematic #Shorts
How this was made
Made with Al
Sounds or visuals were altered or fully generated. Learn
more</x:v>
      </x:c>
      <x:c r="O930" s="76" t="str">
        <x:v>Below timeline — placement unresolved</x:v>
      </x:c>
      <x:c r="P930" s="76" t="str">
        <x:v>IMG_6622.PNG</x:v>
      </x:c>
      <x:c r="Q930" s="76" t="str">
        <x:v>Needs review</x:v>
      </x:c>
      <x:c r="R930" s="76" t="str">
        <x:v>Low</x:v>
      </x:c>
      <x:c r="S930" s="76" t="str">
        <x:v>The screenshot does not provide enough event context for a reliable chronological placement.</x:v>
      </x:c>
      <x:c r="T930" s="76" t="str">
        <x:v>Unique</x:v>
      </x:c>
    </x:row>
    <x:row r="931" s="23" customFormat="1" ht="36" customHeight="1">
      <x:c r="A931" s="49" t="b">
        <x:v>0</x:v>
      </x:c>
      <x:c r="B931" s="56" t="str">
        <x:v>FV-0304</x:v>
      </x:c>
      <x:c r="C931" s="53" t="str">
        <x:v>Review &amp; decide — placement unresolved</x:v>
      </x:c>
      <x:c r="D931" s="53" t="str">
        <x:v>THE SHADOW DRONE — THE EMPIRE’S LIVING WAR MACHINE</x:v>
      </x:c>
      <x:c r="E931" s="53" t="str"/>
      <x:c r="F931" s="53" t="str">
        <x:v>August 31, 2026</x:v>
      </x:c>
      <x:c r="G931" s="53" t="str">
        <x:v>Fan-made / non-canon</x:v>
      </x:c>
      <x:c r="H931" s="53" t="str">
        <x:v>Fan video</x:v>
      </x:c>
      <x:c r="I931" s="53" t="str">
        <x:v>YouTube — search by title</x:v>
      </x:c>
      <x:c r="J931" s="59" t="e">
        <x:f>HYPERLINK("https://www.youtube.com/results?search_query=THE%20SHADOW%20DRONE%20%E2%80%94%20THE%20EMPIRE%E2%80%99S%20LIVING%20WAR%20MACHINE","Search")</x:f>
        <x:v>HYPERLINK is not implemented. linkLocation=https://www.youtube.com/results?search_query=THE%20SHADOW%20DRONE%20%E2%80%94%20THE%20EMPIRE%E2%80%99S%20LIVING%20WAR%20MACHINE, friendlyName=Search</x:v>
      </x:c>
      <x:c r="K931" s="53" t="str">
        <x:v>The screenshot does not provide enough event context for a reliable chronological placement.</x:v>
      </x:c>
      <x:c r="L931" s="76" t="str">
        <x:v>Shadow</x:v>
      </x:c>
      <x:c r="M931" s="76" t="str">
        <x:v>THE SHADOW DRONE — THE EMPIRE’S LIVING WAR MACHINE</x:v>
      </x:c>
      <x:c r="N931" s="76" t="str">
        <x:v>The Empire built something more terrifying than a
fighter.
Inside the Shadow Droid is an organic brain, fused
directly into a deadly combat machine with no
cockpit and no ordinary pilot. What begins as the
disturbing reveal of this bizarre weapon quickly
turns into full-scale space combat as the Shadow
Droid tears into a formation of X-Wing fighters.
A living mind. A mechanical body. One purpose —
destroy.
Al Disclosure &amp; Creator Statement: This video
contains Al-generated visuals created from my
original concepts, scripting, direction, editing, and
creative production. This is transformative fan-</x:v>
      </x:c>
      <x:c r="O931" s="76" t="str">
        <x:v>Below timeline — placement unresolved</x:v>
      </x:c>
      <x:c r="P931" s="76" t="str">
        <x:v>IMG_6490.PNG</x:v>
      </x:c>
      <x:c r="Q931" s="76" t="str">
        <x:v>Needs review</x:v>
      </x:c>
      <x:c r="R931" s="76" t="str">
        <x:v>Low</x:v>
      </x:c>
      <x:c r="S931" s="76" t="str">
        <x:v>The screenshot does not provide enough event context for a reliable chronological placement.</x:v>
      </x:c>
      <x:c r="T931" s="76" t="str">
        <x:v>Unique</x:v>
      </x:c>
    </x:row>
    <x:row r="932" s="23" customFormat="1" ht="36" customHeight="1">
      <x:c r="A932" s="49" t="b">
        <x:v>0</x:v>
      </x:c>
      <x:c r="B932" s="56" t="str">
        <x:v>FV-0250</x:v>
      </x:c>
      <x:c r="C932" s="53" t="str">
        <x:v>Review &amp; decide — placement unresolved</x:v>
      </x:c>
      <x:c r="D932" s="53" t="str">
        <x:v>THE SITH APPRENTICE’S FINAL TEST — FAILURE MEANS DEATH</x:v>
      </x:c>
      <x:c r="E932" s="53" t="str"/>
      <x:c r="F932" s="53" t="str">
        <x:v>September 7, 2026</x:v>
      </x:c>
      <x:c r="G932" s="53" t="str">
        <x:v>Fan-made / non-canon</x:v>
      </x:c>
      <x:c r="H932" s="53" t="str">
        <x:v>Fan video</x:v>
      </x:c>
      <x:c r="I932" s="53" t="str">
        <x:v>YouTube — search by title</x:v>
      </x:c>
      <x:c r="J932" s="59" t="e">
        <x:f>HYPERLINK("https://www.youtube.com/results?search_query=THE%20SITH%20APPRENTICE%E2%80%99S%20FINAL%20TEST%20%E2%80%94%20FAILURE%20MEANS%20DEATH","Search")</x:f>
        <x:v>HYPERLINK is not implemented. linkLocation=https://www.youtube.com/results?search_query=THE%20SITH%20APPRENTICE%E2%80%99S%20FINAL%20TEST%20%E2%80%94%20FAILURE%20MEANS%20DEATH, friendlyName=Search</x:v>
      </x:c>
      <x:c r="K932" s="53" t="str">
        <x:v>The screenshot does not provide enough event context for a reliable chronological placement.</x:v>
      </x:c>
      <x:c r="L932" s="76" t="str"/>
      <x:c r="M932" s="76" t="str">
        <x:v>THE SITH APPRENTICE’S FINAL TEST — FAILURE MEANS DEATH</x:v>
      </x:c>
      <x:c r="N932" s="76" t="str">
        <x:v>The Sith don’t train their apprentices—they break
them.
Inside a merciless dark-side training chamber, one
apprentice faces a test designed to expose every
trace of hesitation. There are no second attempts
and no rescue coming. Survive, and rise. Fail, and
be forgotten.
This is how the Sith create monsters.
#Sith #SithApprentice #StarWars #DarkSide
#Lightsaber #Jedi #AlShortFilm
Al-generated cinematic. Concept, story, editing,
and creative direction by Blaine Henry | Unleashed
Media.</x:v>
      </x:c>
      <x:c r="O932" s="76" t="str">
        <x:v>Below timeline — placement unresolved</x:v>
      </x:c>
      <x:c r="P932" s="76" t="str">
        <x:v>IMG_6433.PNG</x:v>
      </x:c>
      <x:c r="Q932" s="76" t="str">
        <x:v>Needs review</x:v>
      </x:c>
      <x:c r="R932" s="76" t="str">
        <x:v>Low</x:v>
      </x:c>
      <x:c r="S932" s="76" t="str">
        <x:v>The screenshot does not provide enough event context for a reliable chronological placement.</x:v>
      </x:c>
      <x:c r="T932" s="76" t="str">
        <x:v>Unique</x:v>
      </x:c>
    </x:row>
    <x:row r="933" s="23" customFormat="1" ht="36" customHeight="1">
      <x:c r="A933" s="49" t="b">
        <x:v>0</x:v>
      </x:c>
      <x:c r="B933" s="56" t="str">
        <x:v>FV-0318</x:v>
      </x:c>
      <x:c r="C933" s="53" t="str">
        <x:v>Review &amp; decide — placement unresolved</x:v>
      </x:c>
      <x:c r="D933" s="53" t="str">
        <x:v>The Sith Forge—An Apprentice Forges His First Red Lightsaber</x:v>
      </x:c>
      <x:c r="E933" s="53" t="str"/>
      <x:c r="F933" s="53" t="str">
        <x:v>August 30, 2026</x:v>
      </x:c>
      <x:c r="G933" s="53" t="str">
        <x:v>Fan-made / non-canon</x:v>
      </x:c>
      <x:c r="H933" s="53" t="str">
        <x:v>Fan video</x:v>
      </x:c>
      <x:c r="I933" s="53" t="str">
        <x:v>YouTube — search by title</x:v>
      </x:c>
      <x:c r="J933" s="59" t="e">
        <x:f>HYPERLINK("https://www.youtube.com/results?search_query=The%20Sith%20Forge%E2%80%94An%20Apprentice%20Forges%20His%20First%20Red%20Lightsaber","Search")</x:f>
        <x:v>HYPERLINK is not implemented. linkLocation=https://www.youtube.com/results?search_query=The%20Sith%20Forge%E2%80%94An%20Apprentice%20Forges%20His%20First%20Red%20Lightsaber, friendlyName=Search</x:v>
      </x:c>
      <x:c r="K933" s="53" t="str">
        <x:v>The screenshot does not provide enough event context for a reliable chronological placement.</x:v>
      </x:c>
      <x:c r="L933" s="76" t="str"/>
      <x:c r="M933" s="76" t="str">
        <x:v>The Sith Forge—An Apprentice Forges His First Red Lightsaber</x:v>
      </x:c>
      <x:c r="N933" s="76"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933" s="76" t="str">
        <x:v>Below timeline — placement unresolved</x:v>
      </x:c>
      <x:c r="P933" s="76" t="str">
        <x:v>IMG_6504.PNG</x:v>
      </x:c>
      <x:c r="Q933" s="76" t="str">
        <x:v>Needs review</x:v>
      </x:c>
      <x:c r="R933" s="76" t="str">
        <x:v>Low</x:v>
      </x:c>
      <x:c r="S933" s="76" t="str">
        <x:v>The screenshot does not provide enough event context for a reliable chronological placement.</x:v>
      </x:c>
      <x:c r="T933" s="76" t="str">
        <x:v>Unique</x:v>
      </x:c>
    </x:row>
    <x:row r="934" s="23" customFormat="1" ht="36" customHeight="1">
      <x:c r="A934" s="49" t="b">
        <x:v>0</x:v>
      </x:c>
      <x:c r="B934" s="56" t="str">
        <x:v>FV-0333</x:v>
      </x:c>
      <x:c r="C934" s="53" t="str">
        <x:v>Review &amp; decide — placement unresolved</x:v>
      </x:c>
      <x:c r="D934" s="53" t="str">
        <x:v>The SITH YOUNGLING Trial Was Absolutely BRUTAL @ @</x:v>
      </x:c>
      <x:c r="E934" s="53" t="str"/>
      <x:c r="F934" s="53" t="str">
        <x:v>August 28, 2026</x:v>
      </x:c>
      <x:c r="G934" s="53" t="str">
        <x:v>Fan-made / non-canon</x:v>
      </x:c>
      <x:c r="H934" s="53" t="str">
        <x:v>Fan video</x:v>
      </x:c>
      <x:c r="I934" s="53" t="str">
        <x:v>YouTube — search by title</x:v>
      </x:c>
      <x:c r="J934" s="59" t="e">
        <x:f>HYPERLINK("https://www.youtube.com/results?search_query=The%20SITH%20YOUNGLING%20Trial%20Was%20Absolutely%20BRUTAL%20%40%20%40","Search")</x:f>
        <x:v>HYPERLINK is not implemented. linkLocation=https://www.youtube.com/results?search_query=The%20SITH%20YOUNGLING%20Trial%20Was%20Absolutely%20BRUTAL%20%40%20%40, friendlyName=Search</x:v>
      </x:c>
      <x:c r="K934" s="53" t="str">
        <x:v>The screenshot does not provide enough event context for a reliable chronological placement.</x:v>
      </x:c>
      <x:c r="L934" s="76" t="str"/>
      <x:c r="M934" s="76" t="str">
        <x:v>The SITH YOUNGLING Trial Was Absolutely BRUTAL @ @</x:v>
      </x:c>
      <x:c r="N934" s="76" t="str">
        <x:v>Cash App: $brednew | PayPal: @blainehenry688
This isn't a Jedi trial.
A young dark-side student enters a Sith training
chamber where the room itself becomes the enemy
—walls shift, the floor erupts, gravity changes, and
every second brings a new deadly test.
Survive the chamber... or prove you were never
worthy.
#StarWars #Sith #DarkSide #JediUnleashed
#SithTrial #Shorts
Al Disclosure &amp; Creator Statement: This video
contains Al-aenerated visuals created from mv</x:v>
      </x:c>
      <x:c r="O934" s="76" t="str">
        <x:v>Below timeline — placement unresolved</x:v>
      </x:c>
      <x:c r="P934" s="76" t="str">
        <x:v>IMG_6519.PNG</x:v>
      </x:c>
      <x:c r="Q934" s="76" t="str">
        <x:v>Needs review</x:v>
      </x:c>
      <x:c r="R934" s="76" t="str">
        <x:v>Low</x:v>
      </x:c>
      <x:c r="S934" s="76" t="str">
        <x:v>The screenshot does not provide enough event context for a reliable chronological placement.</x:v>
      </x:c>
      <x:c r="T934" s="76" t="str">
        <x:v>Unique</x:v>
      </x:c>
    </x:row>
    <x:row r="935" s="23" customFormat="1" ht="36" customHeight="1">
      <x:c r="A935" s="49" t="b">
        <x:v>0</x:v>
      </x:c>
      <x:c r="B935" s="56" t="str">
        <x:v>FV-0459</x:v>
      </x:c>
      <x:c r="C935" s="53" t="str">
        <x:v>Review &amp; decide — placement unresolved</x:v>
      </x:c>
      <x:c r="D935" s="53" t="str">
        <x:v>The Speed of a Jedi *</x:v>
      </x:c>
      <x:c r="E935" s="53" t="str"/>
      <x:c r="F935" s="53" t="str">
        <x:v>June 13, 2026</x:v>
      </x:c>
      <x:c r="G935" s="53" t="str">
        <x:v>Fan-made / non-canon</x:v>
      </x:c>
      <x:c r="H935" s="53" t="str">
        <x:v>Fan video</x:v>
      </x:c>
      <x:c r="I935" s="53" t="str">
        <x:v>YouTube — search by title</x:v>
      </x:c>
      <x:c r="J935" s="59" t="e">
        <x:f>HYPERLINK("https://www.youtube.com/results?search_query=The%20Speed%20of%20a%20Jedi%20*","Search")</x:f>
        <x:v>HYPERLINK is not implemented. linkLocation=https://www.youtube.com/results?search_query=The%20Speed%20of%20a%20Jedi%20*, friendlyName=Search</x:v>
      </x:c>
      <x:c r="K935" s="53" t="str">
        <x:v>The screenshot does not provide enough event context for a reliable chronological placement.</x:v>
      </x:c>
      <x:c r="L935" s="76" t="str"/>
      <x:c r="M935" s="76" t="str">
        <x:v>The Speed of a Jedi *</x:v>
      </x:c>
      <x:c r="N935" s="76" t="str">
        <x:v>An ancient guardian blocks the path to a forgotten
kingdom, but this Jedi possesses a legendary ability
feared across the galaxy: Force-speed. Fast,
precise, and impossible to stop.
#StarWars #Jedi #Lightsaber #ForceSpeed
#Fantasy #SciFi #Shorts #Cinematic #EpicBattle
#JediMaster
How this was made
Made with Al
Sounds or visuals were altered or fully generated. Learn
more</x:v>
      </x:c>
      <x:c r="O935" s="76" t="str">
        <x:v>Below timeline — placement unresolved</x:v>
      </x:c>
      <x:c r="P935" s="76" t="str">
        <x:v>IMG_6648.PNG</x:v>
      </x:c>
      <x:c r="Q935" s="76" t="str">
        <x:v>Needs review</x:v>
      </x:c>
      <x:c r="R935" s="76" t="str">
        <x:v>Low</x:v>
      </x:c>
      <x:c r="S935" s="76" t="str">
        <x:v>The screenshot does not provide enough event context for a reliable chronological placement.</x:v>
      </x:c>
      <x:c r="T935" s="76" t="str">
        <x:v>Unique</x:v>
      </x:c>
    </x:row>
    <x:row r="936" s="23" customFormat="1" ht="36" customHeight="1">
      <x:c r="A936" s="49" t="b">
        <x:v>0</x:v>
      </x:c>
      <x:c r="B936" s="56" t="str">
        <x:v>FV-0463</x:v>
      </x:c>
      <x:c r="C936" s="53" t="str">
        <x:v>Review &amp; decide — placement unresolved</x:v>
      </x:c>
      <x:c r="D936" s="53" t="str">
        <x:v>The Sunken Archives Were Never Meant To Be Found</x:v>
      </x:c>
      <x:c r="E936" s="53" t="str"/>
      <x:c r="F936" s="53" t="str">
        <x:v>June 13, 2026</x:v>
      </x:c>
      <x:c r="G936" s="53" t="str">
        <x:v>Fan-made / non-canon</x:v>
      </x:c>
      <x:c r="H936" s="53" t="str">
        <x:v>Fan video</x:v>
      </x:c>
      <x:c r="I936" s="53" t="str">
        <x:v>YouTube — search by title</x:v>
      </x:c>
      <x:c r="J936" s="59" t="e">
        <x:f>HYPERLINK("https://www.youtube.com/results?search_query=The%20Sunken%20Archives%20Were%20Never%20Meant%20To%20Be%20Found","Search")</x:f>
        <x:v>HYPERLINK is not implemented. linkLocation=https://www.youtube.com/results?search_query=The%20Sunken%20Archives%20Were%20Never%20Meant%20To%20Be%20Found, friendlyName=Search</x:v>
      </x:c>
      <x:c r="K936" s="53" t="str">
        <x:v>The screenshot does not provide enough event context for a reliable chronological placement.</x:v>
      </x:c>
      <x:c r="L936" s="76" t="str"/>
      <x:c r="M936" s="76" t="str">
        <x:v>The Sunken Archives Were Never Meant To Be Found</x:v>
      </x:c>
      <x:c r="N936" s="76" t="str">
        <x:v>Deep beneath the ancient waters lies a forgotten
archive lost for thousands of years. When a lone
Jedi enters the flooded ruins, he awakens an
armored sea guardian that has protected its secrets
since the beginning of time. Using incredible
reflexes, Force-speed, and precise lightsaber
control, the Jedi must survive a battle hidden
beneath the waves.
™ Ancient secrets.
&amp; Lost knowledge.
@ A guardian awakened.
#StarWars #Jedi #Lightsaber #Manaan
#SunkenArchives #ForcePower #SciFi #Fantasy
#EpicBattle #VoidProtocol #Shorts</x:v>
      </x:c>
      <x:c r="O936" s="76" t="str">
        <x:v>Below timeline — placement unresolved</x:v>
      </x:c>
      <x:c r="P936" s="76" t="str">
        <x:v>IMG_6652.PNG</x:v>
      </x:c>
      <x:c r="Q936" s="76" t="str">
        <x:v>Needs review</x:v>
      </x:c>
      <x:c r="R936" s="76" t="str">
        <x:v>Low</x:v>
      </x:c>
      <x:c r="S936" s="76" t="str">
        <x:v>The screenshot does not provide enough event context for a reliable chronological placement.</x:v>
      </x:c>
      <x:c r="T936" s="76" t="str">
        <x:v>Unique</x:v>
      </x:c>
    </x:row>
    <x:row r="937" s="23" customFormat="1" ht="36" customHeight="1">
      <x:c r="A937" s="49" t="b">
        <x:v>0</x:v>
      </x:c>
      <x:c r="B937" s="56" t="str">
        <x:v>FV-0446</x:v>
      </x:c>
      <x:c r="C937" s="53" t="str">
        <x:v>Review &amp; decide — placement unresolved</x:v>
      </x:c>
      <x:c r="D937" s="53" t="str">
        <x:v>The Titan Beast Finally Awakened</x:v>
      </x:c>
      <x:c r="E937" s="53" t="str"/>
      <x:c r="F937" s="53" t="str">
        <x:v>June 11, 2026</x:v>
      </x:c>
      <x:c r="G937" s="53" t="str">
        <x:v>Fan-made / non-canon</x:v>
      </x:c>
      <x:c r="H937" s="53" t="str">
        <x:v>Fan video</x:v>
      </x:c>
      <x:c r="I937" s="53" t="str">
        <x:v>YouTube — search by title</x:v>
      </x:c>
      <x:c r="J937" s="59" t="e">
        <x:f>HYPERLINK("https://www.youtube.com/results?search_query=The%20Titan%20Beast%20Finally%20Awakened","Search")</x:f>
        <x:v>HYPERLINK is not implemented. linkLocation=https://www.youtube.com/results?search_query=The%20Titan%20Beast%20Finally%20Awakened, friendlyName=Search</x:v>
      </x:c>
      <x:c r="K937" s="53" t="str">
        <x:v>The screenshot does not provide enough event context for a reliable chronological placement.</x:v>
      </x:c>
      <x:c r="L937" s="76" t="str"/>
      <x:c r="M937" s="76" t="str">
        <x:v>The Titan Beast Finally Awakened</x:v>
      </x:c>
      <x:c r="N937" s="76" t="str">
        <x:v>For centuries, the Titan Beast slept beneath the
mountains. When it finally rose, one Jedi was the
only thing standing in its path.
#StarWars #Jedi #Lightsaber #Fantasy #EpicBattle
#TitanBeast #Shorts #
This video is an original Al-assisted production
created, directed, and edited by Blaine Henry. The
concept, story, characters, scene direction, action
choreography, and creative decisions were
developed specifically for this channel. Al tools
were used as part of the production process to
bring the original creative vision to life.
© Blaine Henry. Original creative content. All rights
reserved.</x:v>
      </x:c>
      <x:c r="O937" s="76" t="str">
        <x:v>Below timeline — placement unresolved</x:v>
      </x:c>
      <x:c r="P937" s="76" t="str">
        <x:v>IMG_6632.PNG</x:v>
      </x:c>
      <x:c r="Q937" s="76" t="str">
        <x:v>Needs review</x:v>
      </x:c>
      <x:c r="R937" s="76" t="str">
        <x:v>Low</x:v>
      </x:c>
      <x:c r="S937" s="76" t="str">
        <x:v>The screenshot does not provide enough event context for a reliable chronological placement.</x:v>
      </x:c>
      <x:c r="T937" s="76" t="str">
        <x:v>Unique</x:v>
      </x:c>
    </x:row>
    <x:row r="938" s="23" customFormat="1" ht="36" customHeight="1">
      <x:c r="A938" s="49" t="b">
        <x:v>0</x:v>
      </x:c>
      <x:c r="B938" s="56" t="str">
        <x:v>FV-0434</x:v>
      </x:c>
      <x:c r="C938" s="53" t="str">
        <x:v>Review &amp; decide — placement unresolved</x:v>
      </x:c>
      <x:c r="D938" s="53" t="str">
        <x:v>The Villain Never Saw This Coming *</x:v>
      </x:c>
      <x:c r="E938" s="53" t="str"/>
      <x:c r="F938" s="53" t="str">
        <x:v>June 9, 2026</x:v>
      </x:c>
      <x:c r="G938" s="53" t="str">
        <x:v>Fan-made / non-canon</x:v>
      </x:c>
      <x:c r="H938" s="53" t="str">
        <x:v>Fan video</x:v>
      </x:c>
      <x:c r="I938" s="53" t="str">
        <x:v>YouTube — search by title</x:v>
      </x:c>
      <x:c r="J938" s="59" t="e">
        <x:f>HYPERLINK("https://www.youtube.com/results?search_query=The%20Villain%20Never%20Saw%20This%20Coming%20*","Search")</x:f>
        <x:v>HYPERLINK is not implemented. linkLocation=https://www.youtube.com/results?search_query=The%20Villain%20Never%20Saw%20This%20Coming%20*, friendlyName=Search</x:v>
      </x:c>
      <x:c r="K938" s="53" t="str">
        <x:v>The screenshot does not provide enough event context for a reliable chronological placement.</x:v>
      </x:c>
      <x:c r="L938" s="76" t="str"/>
      <x:c r="M938" s="76" t="str">
        <x:v>The Villain Never Saw This Coming *</x:v>
      </x:c>
      <x:c r="N938" s="76" t="str">
        <x:v>A lone hooded Jedi faces a dangerous enemy ina
battle that changes in an instant. With a powerful
use of the Force, the Jedi disarms the villain, takes
control of the fallen lightsaber, and turns the fight
around in spectacular fashion. One mistake was all
it took.
#Jedi #LightsaberDuel #TheForce #SciFi
#EpicBattle #DarkSide #SpaceFantasy
#ActionShorts #ViralShorts #Unleashed
How this was made
Made with Al
Sounds or visuals were altered or fully generated. Learn</x:v>
      </x:c>
      <x:c r="O938" s="76" t="str">
        <x:v>Below timeline — placement unresolved</x:v>
      </x:c>
      <x:c r="P938" s="76" t="str">
        <x:v>IMG_6620.PNG</x:v>
      </x:c>
      <x:c r="Q938" s="76" t="str">
        <x:v>Needs review</x:v>
      </x:c>
      <x:c r="R938" s="76" t="str">
        <x:v>Low</x:v>
      </x:c>
      <x:c r="S938" s="76" t="str">
        <x:v>The screenshot does not provide enough event context for a reliable chronological placement.</x:v>
      </x:c>
      <x:c r="T938" s="76" t="str">
        <x:v>Unique</x:v>
      </x:c>
    </x:row>
    <x:row r="939" s="23" customFormat="1" ht="36" customHeight="1">
      <x:c r="A939" s="49" t="b">
        <x:v>0</x:v>
      </x:c>
      <x:c r="B939" s="56" t="str">
        <x:v>FV-0329</x:v>
      </x:c>
      <x:c r="C939" s="53" t="str">
        <x:v>Review &amp; decide — placement unresolved</x:v>
      </x:c>
      <x:c r="D939" s="53" t="str">
        <x:v>THE WAN-SHEN | 22 SECONDS</x:v>
      </x:c>
      <x:c r="E939" s="53" t="str"/>
      <x:c r="F939" s="53" t="str">
        <x:v>August 29, 2026</x:v>
      </x:c>
      <x:c r="G939" s="53" t="str">
        <x:v>Fan-made / non-canon</x:v>
      </x:c>
      <x:c r="H939" s="53" t="str">
        <x:v>Fan video</x:v>
      </x:c>
      <x:c r="I939" s="53" t="str">
        <x:v>YouTube — search by title</x:v>
      </x:c>
      <x:c r="J939" s="59" t="e">
        <x:f>HYPERLINK("https://www.youtube.com/results?search_query=THE%20WAN-SHEN%20%7C%2022%20SECONDS","Search")</x:f>
        <x:v>HYPERLINK is not implemented. linkLocation=https://www.youtube.com/results?search_query=THE%20WAN-SHEN%20%7C%2022%20SECONDS, friendlyName=Search</x:v>
      </x:c>
      <x:c r="K939" s="53" t="str">
        <x:v>The screenshot does not provide enough event context for a reliable chronological placement.</x:v>
      </x:c>
      <x:c r="L939" s="76" t="str"/>
      <x:c r="M939" s="76" t="str">
        <x:v>THE WAN-SHEN | 22 SECONDS</x:v>
      </x:c>
      <x:c r="N939" s="76" t="str">
        <x:v>CINEMATIC STAR WARS DEEP-LORE SHORT — 22
SECONDS.
PHOTOREALISTIC LIVE ACTION.
LOCATION:
Ancient mountain monastery at sunrise. A narrow
stone training platform extends over an enormous
mist-filled canyon. Wind moves through hanging
banners. Beautiful golden sunlight breaks through
the mountains.
ONE MATUKAI WARRIOR:
Athletic adult male wearing layered GREEN AND
WHITE cloth training robes. Barefoot. Calm,
disciplined, physically powerful.
WEAPON:
ONE WAN-SHEN.</x:v>
      </x:c>
      <x:c r="O939" s="76" t="str">
        <x:v>Below timeline — placement unresolved</x:v>
      </x:c>
      <x:c r="P939" s="76" t="str">
        <x:v>IMG_6515.PNG</x:v>
      </x:c>
      <x:c r="Q939" s="76" t="str">
        <x:v>Needs review</x:v>
      </x:c>
      <x:c r="R939" s="76" t="str">
        <x:v>Low</x:v>
      </x:c>
      <x:c r="S939" s="76" t="str">
        <x:v>The screenshot does not provide enough event context for a reliable chronological placement.</x:v>
      </x:c>
      <x:c r="T939" s="76" t="str">
        <x:v>Unique</x:v>
      </x:c>
    </x:row>
    <x:row r="940" s="23" customFormat="1" ht="36" customHeight="1">
      <x:c r="A940" s="49" t="b">
        <x:v>0</x:v>
      </x:c>
      <x:c r="B940" s="56" t="str">
        <x:v>FV-0072</x:v>
      </x:c>
      <x:c r="C940" s="53" t="str">
        <x:v>Review &amp; decide — placement unresolved</x:v>
      </x:c>
      <x:c r="D940" s="53" t="str">
        <x:v>They Sent a Beast to Kill One Jedi... Big Mistake.</x:v>
      </x:c>
      <x:c r="E940" s="53" t="str"/>
      <x:c r="F940" s="53" t="str">
        <x:v>October 7, 2026</x:v>
      </x:c>
      <x:c r="G940" s="53" t="str">
        <x:v>Fan-made / non-canon</x:v>
      </x:c>
      <x:c r="H940" s="53" t="str">
        <x:v>Fan video</x:v>
      </x:c>
      <x:c r="I940" s="53" t="str">
        <x:v>YouTube — search by title</x:v>
      </x:c>
      <x:c r="J940" s="59" t="e">
        <x:f>HYPERLINK("https://www.youtube.com/results?search_query=They%20Sent%20a%20Beast%20to%20Kill%20One%20Jedi...%20Big%20Mistake.","Search")</x:f>
        <x:v>HYPERLINK is not implemented. linkLocation=https://www.youtube.com/results?search_query=They%20Sent%20a%20Beast%20to%20Kill%20One%20Jedi...%20Big%20Mistake., friendlyName=Search</x:v>
      </x:c>
      <x:c r="K940" s="53" t="str">
        <x:v>The screenshot does not provide enough event context for a reliable chronological placement.</x:v>
      </x:c>
      <x:c r="L940" s="76" t="str"/>
      <x:c r="M940" s="76" t="str">
        <x:v>They Sent a Beast to Kill One Jedi... Big Mistake.</x:v>
      </x:c>
      <x:c r="N940" s="76" t="str">
        <x:v>One hooded Jedi. One massive armored beast. A
blue lightsaber lying on the floor.
They thought he was defenseless. Watch what
happens when the blade ignites.
Would you have stood your ground?
UNLEASHED™
Unofficial fan-made scene inspired by Star Wars.
Star Wars belongs to Lucasfilm Ltd.
Support the channel:
Cash App - PayPal
#StarWars #Jedi #Lightsaber #Unleashed
#Cinematic</x:v>
      </x:c>
      <x:c r="O940" s="76" t="str">
        <x:v>Below timeline — placement unresolved</x:v>
      </x:c>
      <x:c r="P940" s="76" t="str">
        <x:v>IMG_6255.PNG</x:v>
      </x:c>
      <x:c r="Q940" s="76" t="str">
        <x:v>Needs review</x:v>
      </x:c>
      <x:c r="R940" s="76" t="str">
        <x:v>Low</x:v>
      </x:c>
      <x:c r="S940" s="76" t="str">
        <x:v>The screenshot does not provide enough event context for a reliable chronological placement.</x:v>
      </x:c>
      <x:c r="T940" s="76" t="str">
        <x:v>Unique</x:v>
      </x:c>
    </x:row>
    <x:row r="941" s="23" customFormat="1" ht="36" customHeight="1">
      <x:c r="A941" s="49" t="b">
        <x:v>0</x:v>
      </x:c>
      <x:c r="B941" s="56" t="str">
        <x:v>FV-0573</x:v>
      </x:c>
      <x:c r="C941" s="53" t="str">
        <x:v>Review &amp; decide — placement unresolved</x:v>
      </x:c>
      <x:c r="D941" s="53" t="str">
        <x:v>This Jedi Just Jumped Between Ships in MID- AIR @&amp;</x:v>
      </x:c>
      <x:c r="E941" s="53" t="str"/>
      <x:c r="F941" s="53" t="str">
        <x:v>August 22, 2026</x:v>
      </x:c>
      <x:c r="G941" s="53" t="str">
        <x:v>Fan-made / non-canon</x:v>
      </x:c>
      <x:c r="H941" s="53" t="str">
        <x:v>Fan video</x:v>
      </x:c>
      <x:c r="I941" s="53" t="str">
        <x:v>YouTube — search by title</x:v>
      </x:c>
      <x:c r="J941" s="59" t="e">
        <x:f>HYPERLINK("https://www.youtube.com/results?search_query=This%20Jedi%20Just%20Jumped%20Between%20Ships%20in%20MID-%20AIR%20%40%26","Search")</x:f>
        <x:v>HYPERLINK is not implemented. linkLocation=https://www.youtube.com/results?search_query=This%20Jedi%20Just%20Jumped%20Between%20Ships%20in%20MID-%20AIR%20%40%26, friendlyName=Search</x:v>
      </x:c>
      <x:c r="K941" s="53" t="str">
        <x:v>The screenshot does not provide enough event context for a reliable chronological placement.</x:v>
      </x:c>
      <x:c r="L941" s="76" t="str"/>
      <x:c r="M941" s="76" t="str">
        <x:v>This Jedi Just Jumped Between Ships in MID- AIR @&amp;</x:v>
      </x:c>
      <x:c r="N941" s="76" t="str">
        <x:v>§3 Cash App: $brednew
© PayPal: @blainehenry688
No bridge. No landing platform. Just open sky.
As two ships race through the air, this Jedi makes
an absolutely insane move—leaping from one
moving ship to the other and barely hanging on.
Sometimes being a Jedi means trusting the Force
when there's nothing underneath you. * @
#Jedi #StarWars #TheForce #Lightsaber
#StarWarsLore #Cinematic #JediKnight</x:v>
      </x:c>
      <x:c r="O941" s="76" t="str">
        <x:v>Below timeline — placement unresolved</x:v>
      </x:c>
      <x:c r="P941" s="76" t="str">
        <x:v>IMG_6763.PNG</x:v>
      </x:c>
      <x:c r="Q941" s="76" t="str">
        <x:v>Needs review</x:v>
      </x:c>
      <x:c r="R941" s="76" t="str">
        <x:v>Low</x:v>
      </x:c>
      <x:c r="S941" s="76" t="str">
        <x:v>The screenshot does not provide enough event context for a reliable chronological placement.</x:v>
      </x:c>
      <x:c r="T941" s="76" t="str">
        <x:v>Unique</x:v>
      </x:c>
    </x:row>
    <x:row r="942" s="23" customFormat="1" ht="36" customHeight="1">
      <x:c r="A942" s="49" t="b">
        <x:v>0</x:v>
      </x:c>
      <x:c r="B942" s="56" t="str">
        <x:v>FV-0306</x:v>
      </x:c>
      <x:c r="C942" s="53" t="str">
        <x:v>Review &amp; decide — placement unresolved</x:v>
      </x:c>
      <x:c r="D942" s="53" t="str">
        <x:v>Tracks Can Lie. Fear Can't. | Voran Kel — Chapter Three</x:v>
      </x:c>
      <x:c r="E942" s="53" t="str">
        <x:v>Chapter Three</x:v>
      </x:c>
      <x:c r="F942" s="53" t="str">
        <x:v>August 31, 2026</x:v>
      </x:c>
      <x:c r="G942" s="53" t="str">
        <x:v>Fan-made / non-canon</x:v>
      </x:c>
      <x:c r="H942" s="53" t="str">
        <x:v>Fan video</x:v>
      </x:c>
      <x:c r="I942" s="53" t="str">
        <x:v>YouTube — search by title</x:v>
      </x:c>
      <x:c r="J942" s="59" t="e">
        <x:f>HYPERLINK("https://www.youtube.com/results?search_query=Tracks%20Can%20Lie.%20Fear%20Can't.%20%7C%20Voran%20Kel%20%E2%80%94%20Chapter%20Three","Search")</x:f>
        <x:v>HYPERLINK is not implemented. linkLocation=https://www.youtube.com/results?search_query=Tracks%20Can%20Lie.%20Fear%20Can't.%20%7C%20Voran%20Kel%20%E2%80%94%20Chapter%20Three, friendlyName=Search</x:v>
      </x:c>
      <x:c r="K942" s="53" t="str">
        <x:v>The screenshot does not provide enough event context for a reliable chronological placement.</x:v>
      </x:c>
      <x:c r="L942" s="76" t="str">
        <x:v>Voran Kel</x:v>
      </x:c>
      <x:c r="M942" s="76" t="str">
        <x:v>Tracks Can Lie. Fear Can't. | Voran Kel — Chapter Three</x:v>
      </x:c>
      <x:c r="N942" s="76" t="str">
        <x:v>A weapons smuggler creates multiple false trails
and seals himself inside a dark cargo car, convinced
he has finally escaped.
But Voran Kel doesn’t depend on footprints.
The Hunter Jedi follows something far more difficult
to conceal—and when the smuggler finally hears his
voice, Voran is already standing behind him.
Voran Kel: Hunter of Shadows
Chapter Three — "The False Trail”
Al Disclosure &amp; Creator Statement: This video
contains Al-generated visuals created from my
original concepts, scripting, direction, editing, and
creative production. This is transformative fan-</x:v>
      </x:c>
      <x:c r="O942" s="76" t="str">
        <x:v>Below timeline — placement unresolved</x:v>
      </x:c>
      <x:c r="P942" s="76" t="str">
        <x:v>IMG_6492.PNG</x:v>
      </x:c>
      <x:c r="Q942" s="76" t="str">
        <x:v>Needs review</x:v>
      </x:c>
      <x:c r="R942" s="76" t="str">
        <x:v>Low</x:v>
      </x:c>
      <x:c r="S942" s="76" t="str">
        <x:v>The screenshot does not provide enough event context for a reliable chronological placement.</x:v>
      </x:c>
      <x:c r="T942" s="76" t="str">
        <x:v>Unique</x:v>
      </x:c>
    </x:row>
    <x:row r="943" s="23" customFormat="1" ht="36" customHeight="1">
      <x:c r="A943" s="49" t="b">
        <x:v>0</x:v>
      </x:c>
      <x:c r="B943" s="56" t="str">
        <x:v>FV-0433</x:v>
      </x:c>
      <x:c r="C943" s="53" t="str">
        <x:v>Review &amp; decide — placement unresolved</x:v>
      </x:c>
      <x:c r="D943" s="53" t="str">
        <x:v>Two Jedi vs The Beast No One Could Stop</x:v>
      </x:c>
      <x:c r="E943" s="53" t="str"/>
      <x:c r="F943" s="53" t="str">
        <x:v>June 8, 2026</x:v>
      </x:c>
      <x:c r="G943" s="53" t="str">
        <x:v>Fan-made / non-canon</x:v>
      </x:c>
      <x:c r="H943" s="53" t="str">
        <x:v>Fan video</x:v>
      </x:c>
      <x:c r="I943" s="53" t="str">
        <x:v>YouTube — search by title</x:v>
      </x:c>
      <x:c r="J943" s="59" t="e">
        <x:f>HYPERLINK("https://www.youtube.com/results?search_query=Two%20Jedi%20vs%20The%20Beast%20No%20One%20Could%20Stop","Search")</x:f>
        <x:v>HYPERLINK is not implemented. linkLocation=https://www.youtube.com/results?search_query=Two%20Jedi%20vs%20The%20Beast%20No%20One%20Could%20Stop, friendlyName=Search</x:v>
      </x:c>
      <x:c r="K943" s="53" t="str">
        <x:v>The screenshot does not provide enough event context for a reliable chronological placement.</x:v>
      </x:c>
      <x:c r="L943" s="76" t="str"/>
      <x:c r="M943" s="76" t="str">
        <x:v>Two Jedi vs The Beast No One Could Stop</x:v>
      </x:c>
      <x:c r="N943" s="76" t="str">
        <x:v>Deep inside an ancient cave, a monstrous beast
proved too powerful for a direct fight. Outmatched
and nearly defeated, two Jedi combined their
mastery of the Force and turned the creature's own
surroundings against it. The ending changed
everything.
#Jedi #TheForce #Lightsaber #Fantasy #SciFi
#EpicBattle #Adventure #Shorts #Action
#ViralShorts
How this was made
Made with Al
Sounds or visuals were altered or fully generated. Learn
more</x:v>
      </x:c>
      <x:c r="O943" s="76" t="str">
        <x:v>Below timeline — placement unresolved</x:v>
      </x:c>
      <x:c r="P943" s="76" t="str">
        <x:v>IMG_6619.PNG</x:v>
      </x:c>
      <x:c r="Q943" s="76" t="str">
        <x:v>Needs review</x:v>
      </x:c>
      <x:c r="R943" s="76" t="str">
        <x:v>Low</x:v>
      </x:c>
      <x:c r="S943" s="76" t="str">
        <x:v>The screenshot does not provide enough event context for a reliable chronological placement.</x:v>
      </x:c>
      <x:c r="T943" s="76" t="str">
        <x:v>Unique</x:v>
      </x:c>
    </x:row>
    <x:row r="944" s="23" customFormat="1" ht="36" customHeight="1">
      <x:c r="A944" s="49" t="b">
        <x:v>0</x:v>
      </x:c>
      <x:c r="B944" s="56" t="str">
        <x:v>FV-0220</x:v>
      </x:c>
      <x:c r="C944" s="53" t="str">
        <x:v>Review &amp; decide — placement unresolved</x:v>
      </x:c>
      <x:c r="D944" s="53" t="str">
        <x:v>Vernestra Rwoh — Scars in Steel | The Lightwhip Strikes</x:v>
      </x:c>
      <x:c r="E944" s="53" t="str"/>
      <x:c r="F944" s="53" t="str">
        <x:v>September 13, 2026</x:v>
      </x:c>
      <x:c r="G944" s="53" t="str">
        <x:v>Fan-made / non-canon</x:v>
      </x:c>
      <x:c r="H944" s="53" t="str">
        <x:v>Fan video</x:v>
      </x:c>
      <x:c r="I944" s="53" t="str">
        <x:v>YouTube — search by title</x:v>
      </x:c>
      <x:c r="J944" s="59" t="e">
        <x:f>HYPERLINK("https://www.youtube.com/results?search_query=Vernestra%20Rwoh%20%E2%80%94%20Scars%20in%20Steel%20%7C%20The%20Lightwhip%20Strikes","Search")</x:f>
        <x:v>HYPERLINK is not implemented. linkLocation=https://www.youtube.com/results?search_query=Vernestra%20Rwoh%20%E2%80%94%20Scars%20in%20Steel%20%7C%20The%20Lightwhip%20Strikes, friendlyName=Search</x:v>
      </x:c>
      <x:c r="K944" s="53" t="str">
        <x:v>The screenshot does not provide enough event context for a reliable chronological placement.</x:v>
      </x:c>
      <x:c r="L944" s="76" t="str"/>
      <x:c r="M944" s="76" t="str">
        <x:v>Vernestra Rwoh — Scars in Steel | The Lightwhip Strikes</x:v>
      </x:c>
      <x:c r="N944" s="76"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944" s="76" t="str">
        <x:v>Below timeline — placement unresolved</x:v>
      </x:c>
      <x:c r="P944" s="76" t="str">
        <x:v>IMG_6403.PNG</x:v>
      </x:c>
      <x:c r="Q944" s="76" t="str">
        <x:v>Needs review</x:v>
      </x:c>
      <x:c r="R944" s="76" t="str">
        <x:v>Low</x:v>
      </x:c>
      <x:c r="S944" s="76" t="str">
        <x:v>The screenshot does not provide enough event context for a reliable chronological placement.</x:v>
      </x:c>
      <x:c r="T944" s="76" t="str">
        <x:v>Unique</x:v>
      </x:c>
    </x:row>
    <x:row r="945" s="23" customFormat="1" ht="36" customHeight="1">
      <x:c r="A945" s="49" t="b">
        <x:v>0</x:v>
      </x:c>
      <x:c r="B945" s="56" t="str">
        <x:v>FV-0316</x:v>
      </x:c>
      <x:c r="C945" s="53" t="str">
        <x:v>Review &amp; decide — placement unresolved</x:v>
      </x:c>
      <x:c r="D945" s="53" t="str">
        <x:v>Voran Kel: “Now Give Me the Names” | The Hunter Jedi—Chapter Two</x:v>
      </x:c>
      <x:c r="E945" s="53" t="str">
        <x:v>Chapter Two</x:v>
      </x:c>
      <x:c r="F945" s="53" t="str">
        <x:v>August 30, 2026</x:v>
      </x:c>
      <x:c r="G945" s="53" t="str">
        <x:v>Fan-made / non-canon</x:v>
      </x:c>
      <x:c r="H945" s="53" t="str">
        <x:v>Fan video</x:v>
      </x:c>
      <x:c r="I945" s="53" t="str">
        <x:v>YouTube — search by title</x:v>
      </x:c>
      <x:c r="J945" s="59" t="e">
        <x:f>HYPERLINK("https://www.youtube.com/results?search_query=Voran%20Kel%3A%20%E2%80%9CNow%20Give%20Me%20the%20Names%E2%80%9D%20%7C%20The%20Hunter%20Jedi%E2%80%94Chapter%20Two","Search")</x:f>
        <x:v>HYPERLINK is not implemented. linkLocation=https://www.youtube.com/results?search_query=Voran%20Kel%3A%20%E2%80%9CNow%20Give%20Me%20the%20Names%E2%80%9D%20%7C%20The%20Hunter%20Jedi%E2%80%94Chapter%20Two, friendlyName=Search</x:v>
      </x:c>
      <x:c r="K945" s="53" t="str">
        <x:v>The screenshot does not provide enough event context for a reliable chronological placement.</x:v>
      </x:c>
      <x:c r="L945" s="76" t="str">
        <x:v>The Hunter Jedi</x:v>
      </x:c>
      <x:c r="M945" s="76" t="str">
        <x:v>Voran Kel: “Now Give Me the Names” | The Hunter Jedi—Chapter Two</x:v>
      </x:c>
      <x:c r="N945" s="76" t="str">
        <x:v>Voran Kel doesn’t wait for evil to find him. He
studies it, tracks it, and follows the evidence
directly into its hiding place.
After uncovering a weapons operation connected to
twelve murdered families, the Hunter Jedi confronts
the broker responsible. But when four armed guards
spring their ambush, they discover that Voran
entered the warehouse already knowing exactly
what awaited him.
He didn't come for revenge. He came for every
name behind the operation.
“Now give me the names."
The Hunter Jedi—Chapter Two.</x:v>
      </x:c>
      <x:c r="O945" s="76" t="str">
        <x:v>Below timeline — placement unresolved</x:v>
      </x:c>
      <x:c r="P945" s="76" t="str">
        <x:v>IMG_6502.PNG</x:v>
      </x:c>
      <x:c r="Q945" s="76" t="str">
        <x:v>Needs review</x:v>
      </x:c>
      <x:c r="R945" s="76" t="str">
        <x:v>Low</x:v>
      </x:c>
      <x:c r="S945" s="76" t="str">
        <x:v>The screenshot does not provide enough event context for a reliable chronological placement.</x:v>
      </x:c>
      <x:c r="T945" s="76" t="str">
        <x:v>Unique</x:v>
      </x:c>
    </x:row>
    <x:row r="946" s="23" customFormat="1" ht="36" customHeight="1">
      <x:c r="A946" s="49" t="b">
        <x:v>0</x:v>
      </x:c>
      <x:c r="B946" s="56" t="str">
        <x:v>FV-0275</x:v>
      </x:c>
      <x:c r="C946" s="53" t="str">
        <x:v>Review &amp; decide — placement unresolved</x:v>
      </x:c>
      <x:c r="D946" s="53" t="str">
        <x:v>Voran Kel: He Finally Stopped Running | Episode 4</x:v>
      </x:c>
      <x:c r="E946" s="53" t="str">
        <x:v>Episode 4</x:v>
      </x:c>
      <x:c r="F946" s="53" t="str">
        <x:v>September 3, 2026</x:v>
      </x:c>
      <x:c r="G946" s="53" t="str">
        <x:v>Fan-made / non-canon</x:v>
      </x:c>
      <x:c r="H946" s="53" t="str">
        <x:v>Fan video</x:v>
      </x:c>
      <x:c r="I946" s="53" t="str">
        <x:v>YouTube — search by title</x:v>
      </x:c>
      <x:c r="J946" s="59" t="e">
        <x:f>HYPERLINK("https://www.youtube.com/results?search_query=Voran%20Kel%3A%20He%20Finally%20Stopped%20Running%20%7C%20Episode%204","Search")</x:f>
        <x:v>HYPERLINK is not implemented. linkLocation=https://www.youtube.com/results?search_query=Voran%20Kel%3A%20He%20Finally%20Stopped%20Running%20%7C%20Episode%204, friendlyName=Search</x:v>
      </x:c>
      <x:c r="K946" s="53" t="str">
        <x:v>The screenshot does not provide enough event context for a reliable chronological placement.</x:v>
      </x:c>
      <x:c r="L946" s="76" t="str">
        <x:v>Voran Kel: He Finally Stopped Running</x:v>
      </x:c>
      <x:c r="M946" s="76" t="str">
        <x:v>Voran Kel: He Finally Stopped Running | Episode 4</x:v>
      </x:c>
      <x:c r="N946" s="76" t="str">
        <x:v>Surrounded by shattered weapons and defeated
mercenaries, Hunter Jedi Voran Kel demands the
name of the person who sent them.
The answer leads him to a rain-soaked window high
above the alley—where the fugitive has been
watching all along. Voran doesn't hesitate. The
moment his target stops running, the real hunt
begins.
“| don't chase them. | find them.”</x:v>
      </x:c>
      <x:c r="O946" s="76" t="str">
        <x:v>Below timeline — placement unresolved</x:v>
      </x:c>
      <x:c r="P946" s="76" t="str">
        <x:v>IMG_6460.PNG</x:v>
      </x:c>
      <x:c r="Q946" s="76" t="str">
        <x:v>Needs review</x:v>
      </x:c>
      <x:c r="R946" s="76" t="str">
        <x:v>Low</x:v>
      </x:c>
      <x:c r="S946" s="76" t="str">
        <x:v>The screenshot does not provide enough event context for a reliable chronological placement.</x:v>
      </x:c>
      <x:c r="T946" s="76" t="str">
        <x:v>Unique</x:v>
      </x:c>
    </x:row>
    <x:row r="947" s="23" customFormat="1" ht="36" customHeight="1">
      <x:c r="A947" s="49" t="b">
        <x:v>0</x:v>
      </x:c>
      <x:c r="B947" s="56" t="str">
        <x:v>FV-0281</x:v>
      </x:c>
      <x:c r="C947" s="53" t="str">
        <x:v>Review &amp; decide — placement unresolved</x:v>
      </x:c>
      <x:c r="D947" s="53" t="str">
        <x:v>Voran Kel: Hunter of Shadows — He Found Them</x:v>
      </x:c>
      <x:c r="E947" s="53" t="str"/>
      <x:c r="F947" s="53" t="str">
        <x:v>September 2, 2026</x:v>
      </x:c>
      <x:c r="G947" s="53" t="str">
        <x:v>Fan-made / non-canon</x:v>
      </x:c>
      <x:c r="H947" s="53" t="str">
        <x:v>Fan video</x:v>
      </x:c>
      <x:c r="I947" s="53" t="str">
        <x:v>YouTube — search by title</x:v>
      </x:c>
      <x:c r="J947" s="59" t="e">
        <x:f>HYPERLINK("https://www.youtube.com/results?search_query=Voran%20Kel%3A%20Hunter%20of%20Shadows%20%E2%80%94%20He%20Found%20Them","Search")</x:f>
        <x:v>HYPERLINK is not implemented. linkLocation=https://www.youtube.com/results?search_query=Voran%20Kel%3A%20Hunter%20of%20Shadows%20%E2%80%94%20He%20Found%20Them, friendlyName=Search</x:v>
      </x:c>
      <x:c r="K947" s="53" t="str">
        <x:v>The screenshot does not provide enough event context for a reliable chronological placement.</x:v>
      </x:c>
      <x:c r="L947" s="76" t="str">
        <x:v>Shadow</x:v>
      </x:c>
      <x:c r="M947" s="76" t="str">
        <x:v>Voran Kel: Hunter of Shadows — He Found Them</x:v>
      </x:c>
      <x:c r="N947" s="76" t="str">
        <x:v>Voran Kel never chases his targets.
He studies the scene. Reads what was left behind.
Follows the trail nobody else can see.
By the time his prey realizes they've been found,
the Hunter is already standing in front of them.
“| don’t chase them... | find them.”
#VoranKel #HunterOfShadows #JediHunter
#Lightsaber #StarWars #Cinematic #Unleashed
Al Disclosure &amp; Creator Statement: This video
contains Al-generated visuals created from my
original concepts, scripting, direction, editing, and
creative production. This is transformative fan-</x:v>
      </x:c>
      <x:c r="O947" s="76" t="str">
        <x:v>Below timeline — placement unresolved</x:v>
      </x:c>
      <x:c r="P947" s="76" t="str">
        <x:v>IMG_6466.PNG</x:v>
      </x:c>
      <x:c r="Q947" s="76" t="str">
        <x:v>Needs review</x:v>
      </x:c>
      <x:c r="R947" s="76" t="str">
        <x:v>Low</x:v>
      </x:c>
      <x:c r="S947" s="76" t="str">
        <x:v>The screenshot does not provide enough event context for a reliable chronological placement.</x:v>
      </x:c>
      <x:c r="T947" s="76" t="str">
        <x:v>Unique</x:v>
      </x:c>
    </x:row>
    <x:row r="948" s="23" customFormat="1" ht="36" customHeight="1">
      <x:c r="A948" s="49" t="b">
        <x:v>0</x:v>
      </x:c>
      <x:c r="B948" s="56" t="str">
        <x:v>FV-0293</x:v>
      </x:c>
      <x:c r="C948" s="53" t="str">
        <x:v>Review &amp; decide — placement unresolved</x:v>
      </x:c>
      <x:c r="D948" s="53" t="str">
        <x:v>Voran Kel: The Hunter’s Hunter « | Hunter of Shadows — Chapter 5</x:v>
      </x:c>
      <x:c r="E948" s="53" t="str">
        <x:v>Chapter 5</x:v>
      </x:c>
      <x:c r="F948" s="53" t="str">
        <x:v>September 1, 2026</x:v>
      </x:c>
      <x:c r="G948" s="53" t="str">
        <x:v>Fan-made / non-canon</x:v>
      </x:c>
      <x:c r="H948" s="53" t="str">
        <x:v>Fan video</x:v>
      </x:c>
      <x:c r="I948" s="53" t="str">
        <x:v>YouTube — search by title</x:v>
      </x:c>
      <x:c r="J948" s="59" t="e">
        <x:f>HYPERLINK("https://www.youtube.com/results?search_query=Voran%20Kel%3A%20The%20Hunter%E2%80%99s%20Hunter%20%C2%AB%20%7C%20Hunter%20of%20Shadows%20%E2%80%94%20Chapter%205","Search")</x:f>
        <x:v>HYPERLINK is not implemented. linkLocation=https://www.youtube.com/results?search_query=Voran%20Kel%3A%20The%20Hunter%E2%80%99s%20Hunter%20%C2%AB%20%7C%20Hunter%20of%20Shadows%20%E2%80%94%20Chapter%205, friendlyName=Search</x:v>
      </x:c>
      <x:c r="K948" s="53" t="str">
        <x:v>The screenshot does not provide enough event context for a reliable chronological placement.</x:v>
      </x:c>
      <x:c r="L948" s="76" t="str">
        <x:v>Shadow</x:v>
      </x:c>
      <x:c r="M948" s="76" t="str">
        <x:v>Voran Kel: The Hunter’s Hunter « | Hunter of Shadows — Chapter 5</x:v>
      </x:c>
      <x:c r="N948" s="76" t="str">
        <x:v>Voran Kel has made his reputation hunting those
who disappear into the shadows.
But this time, someone has been hunting him.
High above the sleeping city, the Hunter Jedi
follows the trail straight into a trap—and comes
face-to-face with the mysterious figure who has
been waiting for his arrival.
For once, Voran Kel isn't tracking his prey.
The prey has been tracking him.
Voran Kel: Hunter of Shadows — Chapter 5
#Vorankel #HunterOfShadows #Jedi #StarWars</x:v>
      </x:c>
      <x:c r="O948" s="76" t="str">
        <x:v>Below timeline — placement unresolved</x:v>
      </x:c>
      <x:c r="P948" s="76" t="str">
        <x:v>IMG_6478.PNG</x:v>
      </x:c>
      <x:c r="Q948" s="76" t="str">
        <x:v>Needs review</x:v>
      </x:c>
      <x:c r="R948" s="76" t="str">
        <x:v>Low</x:v>
      </x:c>
      <x:c r="S948" s="76" t="str">
        <x:v>The screenshot does not provide enough event context for a reliable chronological placement.</x:v>
      </x:c>
      <x:c r="T948" s="76" t="str">
        <x:v>Unique</x:v>
      </x:c>
    </x:row>
    <x:row r="949" s="23" customFormat="1" ht="36" customHeight="1">
      <x:c r="A949" s="49" t="b">
        <x:v>0</x:v>
      </x:c>
      <x:c r="B949" s="56" t="str">
        <x:v>FV-0243</x:v>
      </x:c>
      <x:c r="C949" s="53" t="str">
        <x:v>Review &amp; decide — placement unresolved</x:v>
      </x:c>
      <x:c r="D949" s="53" t="str">
        <x:v>Voran Kel: The Wire | Hunter Jedi Episode 5</x:v>
      </x:c>
      <x:c r="E949" s="53" t="str">
        <x:v>Episode 5</x:v>
      </x:c>
      <x:c r="F949" s="53" t="str">
        <x:v>September 8, 2026</x:v>
      </x:c>
      <x:c r="G949" s="53" t="str">
        <x:v>Fan-made / non-canon</x:v>
      </x:c>
      <x:c r="H949" s="53" t="str">
        <x:v>Fan video</x:v>
      </x:c>
      <x:c r="I949" s="53" t="str">
        <x:v>YouTube — search by title</x:v>
      </x:c>
      <x:c r="J949" s="59" t="e">
        <x:f>HYPERLINK("https://www.youtube.com/results?search_query=Voran%20Kel%3A%20The%20Wire%20%7C%20Hunter%20Jedi%20Episode%205","Search")</x:f>
        <x:v>HYPERLINK is not implemented. linkLocation=https://www.youtube.com/results?search_query=Voran%20Kel%3A%20The%20Wire%20%7C%20Hunter%20Jedi%20Episode%205, friendlyName=Search</x:v>
      </x:c>
      <x:c r="K949" s="53" t="str">
        <x:v>The screenshot does not provide enough event context for a reliable chronological placement.</x:v>
      </x:c>
      <x:c r="L949" s="76" t="str">
        <x:v>Hunter Jedi</x:v>
      </x:c>
      <x:c r="M949" s="76" t="str">
        <x:v>Voran Kel: The Wire | Hunter Jedi Episode 5</x:v>
      </x:c>
      <x:c r="N949" s="76" t="str">
        <x:v>The fugitive believed one push of a button would
destroy the entire tower.
He never realized Voran Kel had already followed—
and severed—the wire.
The Hunter Jedi doesn’t chase his targets. He
discovers their plan, removes every escape, and
waits for them to understand that the hunt is over.
“| followed the wire.”
#VoranKel #TheHunterJedi #HunterJedi #Jedi
#Lightsaber #GreenLightsaber #StarWarsInspired
#SciFiShort #CinematicAl #VokarianChronicles
Created with Al-assisted filmmaking.
Created by Blaine Henry.</x:v>
      </x:c>
      <x:c r="O949" s="76" t="str">
        <x:v>Below timeline — placement unresolved</x:v>
      </x:c>
      <x:c r="P949" s="76" t="str">
        <x:v>IMG_6426.PNG</x:v>
      </x:c>
      <x:c r="Q949" s="76" t="str">
        <x:v>Needs review</x:v>
      </x:c>
      <x:c r="R949" s="76" t="str">
        <x:v>Low</x:v>
      </x:c>
      <x:c r="S949" s="76" t="str">
        <x:v>The screenshot does not provide enough event context for a reliable chronological placement.</x:v>
      </x:c>
      <x:c r="T949" s="76" t="str">
        <x:v>Unique</x:v>
      </x:c>
    </x:row>
    <x:row r="950" s="23" customFormat="1" ht="36" customHeight="1">
      <x:c r="A950" s="49" t="b">
        <x:v>0</x:v>
      </x:c>
      <x:c r="B950" s="56" t="str">
        <x:v>FV-0113</x:v>
      </x:c>
      <x:c r="C950" s="53" t="str">
        <x:v>Review &amp; decide — placement unresolved</x:v>
      </x:c>
      <x:c r="D950" s="53" t="str">
        <x:v>Widow Unleashed | Every Smile Is a Warning</x:v>
      </x:c>
      <x:c r="E950" s="53" t="str"/>
      <x:c r="F950" s="53" t="str">
        <x:v>October 3, 2026</x:v>
      </x:c>
      <x:c r="G950" s="53" t="str">
        <x:v>Fan-made / non-canon</x:v>
      </x:c>
      <x:c r="H950" s="53" t="str">
        <x:v>Fan video</x:v>
      </x:c>
      <x:c r="I950" s="53" t="str">
        <x:v>YouTube — search by title</x:v>
      </x:c>
      <x:c r="J950" s="59" t="e">
        <x:f>HYPERLINK("https://www.youtube.com/results?search_query=Widow%20Unleashed%20%7C%20Every%20Smile%20Is%20a%20Warning","Search")</x:f>
        <x:v>HYPERLINK is not implemented. linkLocation=https://www.youtube.com/results?search_query=Widow%20Unleashed%20%7C%20Every%20Smile%20Is%20a%20Warning, friendlyName=Search</x:v>
      </x:c>
      <x:c r="K950" s="53" t="str">
        <x:v>The screenshot does not provide enough event context for a reliable chronological placement.</x:v>
      </x:c>
      <x:c r="L950" s="76" t="str"/>
      <x:c r="M950" s="76" t="str">
        <x:v>Widow Unleashed | Every Smile Is a Warning</x:v>
      </x:c>
      <x:c r="N950" s="76" t="str">
        <x:v>Energy threads sweep enemies off their feet. A
crimson blade dismantles their defenses. Widow
moves through the ambush with icy-blue eyes and a
smile that never fades.
They brought weapons. She brought strings.
"Do keep up.”
#Widow #UNLEASHED #DarkFantasy #Lightsaber
#Shorts
Original Widow character in a Star Wars-inspired
fan-made scene. Star Wars and related trademarks
belong to Lucasfilm Ltd.
Support the channel: Cash Anno - PavPal</x:v>
      </x:c>
      <x:c r="O950" s="76" t="str">
        <x:v>Below timeline — placement unresolved</x:v>
      </x:c>
      <x:c r="P950" s="76" t="str">
        <x:v>IMG_6296.PNG</x:v>
      </x:c>
      <x:c r="Q950" s="76" t="str">
        <x:v>Needs review</x:v>
      </x:c>
      <x:c r="R950" s="76" t="str">
        <x:v>Low</x:v>
      </x:c>
      <x:c r="S950" s="76" t="str">
        <x:v>The screenshot does not provide enough event context for a reliable chronological placement.</x:v>
      </x:c>
      <x:c r="T950" s="76" t="str">
        <x:v>Unique</x:v>
      </x:c>
    </x:row>
    <x:row r="951" s="23" customFormat="1" ht="36" customHeight="1">
      <x:c r="A951" s="49" t="b">
        <x:v>0</x:v>
      </x:c>
      <x:c r="B951" s="56" t="str">
        <x:v>FV-0271</x:v>
      </x:c>
      <x:c r="C951" s="53" t="str">
        <x:v>Review &amp; decide — promotional / non-story</x:v>
      </x:c>
      <x:c r="D951" s="53" t="str">
        <x:v>🪙 IT’S NICKEL FRIDAY — Every Nickel Powers the Next Adventure!</x:v>
      </x:c>
      <x:c r="E951" s="53" t="str"/>
      <x:c r="F951" s="53" t="str">
        <x:v>September 3, 2026</x:v>
      </x:c>
      <x:c r="G951" s="53" t="str">
        <x:v>Fan-made / non-canon</x:v>
      </x:c>
      <x:c r="H951" s="53" t="str">
        <x:v>Fan video</x:v>
      </x:c>
      <x:c r="I951" s="53" t="str">
        <x:v>YouTube — search by title</x:v>
      </x:c>
      <x:c r="J951" s="59" t="e">
        <x:f>HYPERLINK("https://www.youtube.com/results?search_query=%F0%9F%AA%99%20IT%E2%80%99S%20NICKEL%20FRIDAY%20%E2%80%94%20Every%20Nickel%20Powers%20the%20Next%20Adventure!","Search")</x:f>
        <x:v>HYPERLINK is not implemented. linkLocation=https://www.youtube.com/results?search_query=%F0%9F%AA%99%20IT%E2%80%99S%20NICKEL%20FRIDAY%20%E2%80%94%20Every%20Nickel%20Powers%20the%20Next%20Adventure!, friendlyName=Search</x:v>
      </x:c>
      <x:c r="K951" s="53" t="str">
        <x:v>Not a standalone narrative entry.</x:v>
      </x:c>
      <x:c r="L951" s="76" t="str"/>
      <x:c r="M951" s="76" t="str">
        <x:v>🪙 IT’S NICKEL FRIDAY — Every Nickel Powers the Next Adventure!</x:v>
      </x:c>
      <x:c r="N951" s="76" t="str">
        <x:v>@ CASH APP: https://cash.app/$brednew
€ PAYPAL: https://paypal.me/blainehenry688
IT'S NICKEL FRIDAY! If you enjoy these cinematic
adventures, even five cents helps support the next
creation. Whether it’s 5¢, 10¢, 25¢, or $1—every
contribution counts.
Thank you for watching, sharing, commenting, and
helping these adventures continue. * @
Original cinematic creation by Blaine Henry
© 2026 Blaine Henry
#NickelFriday #EveryNickelCounts
#CinematicAdventure</x:v>
      </x:c>
      <x:c r="O951" s="76" t="str">
        <x:v>Below timeline — channel/promotional material</x:v>
      </x:c>
      <x:c r="P951" s="76" t="str">
        <x:v>IMG_6456.PNG</x:v>
      </x:c>
      <x:c r="Q951" s="76" t="str">
        <x:v>Needs review</x:v>
      </x:c>
      <x:c r="R951" s="76" t="str">
        <x:v>High</x:v>
      </x:c>
      <x:c r="S951" s="76" t="str">
        <x:v>Not a standalone narrative entry.</x:v>
      </x:c>
      <x:c r="T951" s="76" t="str">
        <x:v>Unique</x:v>
      </x:c>
    </x:row>
    <x:row r="952" s="23" customFormat="1" ht="36" customHeight="1">
      <x:c r="A952" s="49" t="b">
        <x:v>0</x:v>
      </x:c>
      <x:c r="B952" s="56" t="str">
        <x:v>FV-0539</x:v>
      </x:c>
      <x:c r="C952" s="53" t="str">
        <x:v>Review &amp; decide — promotional / non-story</x:v>
      </x:c>
      <x:c r="D952" s="53" t="str">
        <x:v>Unleashed Official Archive | New Adventures Continue on Facebook &amp; Instagram</x:v>
      </x:c>
      <x:c r="E952" s="53" t="str"/>
      <x:c r="F952" s="53" t="str">
        <x:v>June 25, 2026</x:v>
      </x:c>
      <x:c r="G952" s="53" t="str">
        <x:v>Fan-made / non-canon</x:v>
      </x:c>
      <x:c r="H952" s="53" t="str">
        <x:v>Fan video</x:v>
      </x:c>
      <x:c r="I952" s="53" t="str">
        <x:v>YouTube — search by title</x:v>
      </x:c>
      <x:c r="J952" s="59" t="e">
        <x:f>HYPERLINK("https://www.youtube.com/results?search_query=Unleashed%20Official%20Archive%20%7C%20New%20Adventures%20Continue%20on%20Facebook%20%26%20Instagram","Search")</x:f>
        <x:v>HYPERLINK is not implemented. linkLocation=https://www.youtube.com/results?search_query=Unleashed%20Official%20Archive%20%7C%20New%20Adventures%20Continue%20on%20Facebook%20%26%20Instagram, friendlyName=Search</x:v>
      </x:c>
      <x:c r="K952" s="53" t="str">
        <x:v>Not a standalone narrative entry.</x:v>
      </x:c>
      <x:c r="L952" s="76" t="str"/>
      <x:c r="M952" s="76" t="str">
        <x:v>Unleashed Official Archive | New Adventures Continue on Facebook &amp; Instagram</x:v>
      </x:c>
      <x:c r="N952" s="76" t="str">
        <x:v>~ Welcome to the Official Unleashed Archive!
This YouTube channel is now the home of the
legendary adventures that started it all. Every
classic battle will remain here for everyone to enjoy.
é Looking for my newest adventures?
All NEW battles, stories, and exclusive content are
now premiering on my social channels.
BJ Facebook (NEW content first):
Search: Blaine Henry
fs Instagram:
Search: @blainehenry593</x:v>
      </x:c>
      <x:c r="O952" s="76" t="str">
        <x:v>Below timeline — channel/promotional material</x:v>
      </x:c>
      <x:c r="P952" s="76" t="str">
        <x:v>IMG_6728.PNG</x:v>
      </x:c>
      <x:c r="Q952" s="76" t="str">
        <x:v>Needs review</x:v>
      </x:c>
      <x:c r="R952" s="76" t="str">
        <x:v>High</x:v>
      </x:c>
      <x:c r="S952" s="76" t="str">
        <x:v>Not a standalone narrative entry.</x:v>
      </x:c>
      <x:c r="T952" s="76" t="str">
        <x:v>Unique</x:v>
      </x:c>
    </x:row>
    <x:row r="953" s="23" customFormat="1" ht="36" customHeight="1">
      <x:c r="A953" s="49" t="b">
        <x:v>0</x:v>
      </x:c>
      <x:c r="B953" s="56" t="str">
        <x:v>FV-0151</x:v>
      </x:c>
      <x:c r="C953" s="53" t="str">
        <x:v>Review &amp; decide — ambiguous era</x:v>
      </x:c>
      <x:c r="D953" s="53" t="str">
        <x:v>LUKE SKYWALKER 4 THE ARMY THAT NEVER LEFT | Star Wars Cinematic</x:v>
      </x:c>
      <x:c r="E953" s="53" t="str"/>
      <x:c r="F953" s="53" t="str">
        <x:v>September 29, 2026</x:v>
      </x:c>
      <x:c r="G953" s="53" t="str">
        <x:v>Fan-made / non-canon</x:v>
      </x:c>
      <x:c r="H953" s="53" t="str">
        <x:v>Fan video</x:v>
      </x:c>
      <x:c r="I953" s="53" t="str">
        <x:v>YouTube — search by title</x:v>
      </x:c>
      <x:c r="J953" s="59" t="e">
        <x:f>HYPERLINK("https://www.youtube.com/results?search_query=LUKE%20SKYWALKER%204%20THE%20ARMY%20THAT%20NEVER%20LEFT%20%7C%20Star%20Wars%20Cinematic","Search")</x:f>
        <x:v>HYPERLINK is not implemented. linkLocation=https://www.youtube.com/results?search_query=LUKE%20SKYWALKER%204%20THE%20ARMY%20THAT%20NEVER%20LEFT%20%7C%20Star%20Wars%20Cinematic, friendlyName=Search</x:v>
      </x:c>
      <x:c r="K953" s="53" t="str">
        <x:v>Luke's age/context is not specific enough for a narrower placement.</x:v>
      </x:c>
      <x:c r="L953" s="76" t="str"/>
      <x:c r="M953" s="76" t="str">
        <x:v>LUKE SKYWALKER 4 THE ARMY THAT NEVER LEFT | Star Wars Cinematic</x:v>
      </x:c>
      <x:c r="N953" s="76"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953" s="76" t="str">
        <x:v>New Republic or Legends after Endor — Luke Skywalker</x:v>
      </x:c>
      <x:c r="P953" s="76" t="str">
        <x:v>IMG_6334.PNG</x:v>
      </x:c>
      <x:c r="Q953" s="76" t="str">
        <x:v>Needs review</x:v>
      </x:c>
      <x:c r="R953" s="76" t="str">
        <x:v>Low</x:v>
      </x:c>
      <x:c r="S953" s="76" t="str">
        <x:v>Luke's age/context is not specific enough for a narrower placement.</x:v>
      </x:c>
      <x:c r="T953" s="76" t="str">
        <x:v>Unique</x:v>
      </x:c>
    </x:row>
    <x:row r="954" s="23" customFormat="1" ht="36" customHeight="1">
      <x:c r="A954" s="49" t="b">
        <x:v>0</x:v>
      </x:c>
      <x:c r="B954" s="57" t="str">
        <x:v>FV-0158</x:v>
      </x:c>
      <x:c r="C954" s="55" t="str">
        <x:v>Review &amp; decide — ambiguous era</x:v>
      </x:c>
      <x:c r="D954" s="55" t="str">
        <x:v>LUKE SKYWALKER THE FALLING SHUTTLE | Star Wars</x:v>
      </x:c>
      <x:c r="E954" s="55" t="str"/>
      <x:c r="F954" s="55" t="str">
        <x:v>September 28, 2026</x:v>
      </x:c>
      <x:c r="G954" s="55" t="str">
        <x:v>Fan-made / non-canon</x:v>
      </x:c>
      <x:c r="H954" s="55" t="str">
        <x:v>Fan video</x:v>
      </x:c>
      <x:c r="I954" s="55" t="str">
        <x:v>YouTube — search by title</x:v>
      </x:c>
      <x:c r="J954" s="60" t="e">
        <x:f>HYPERLINK("https://www.youtube.com/results?search_query=LUKE%20SKYWALKER%20THE%20FALLING%20SHUTTLE%20%7C%20Star%20Wars","Search")</x:f>
        <x:v>HYPERLINK is not implemented. linkLocation=https://www.youtube.com/results?search_query=LUKE%20SKYWALKER%20THE%20FALLING%20SHUTTLE%20%7C%20Star%20Wars, friendlyName=Search</x:v>
      </x:c>
      <x:c r="K954" s="55" t="str">
        <x:v>Luke's age/context is not specific enough for a narrower placement.</x:v>
      </x:c>
      <x:c r="L954" s="77" t="str"/>
      <x:c r="M954" s="77" t="str">
        <x:v>LUKE SKYWALKER THE FALLING SHUTTLE | Star Wars</x:v>
      </x:c>
      <x:c r="N954" s="77"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954" s="77" t="str">
        <x:v>New Republic or Legends after Endor — Luke Skywalker</x:v>
      </x:c>
      <x:c r="P954" s="77" t="str">
        <x:v>IMG_6341.PNG</x:v>
      </x:c>
      <x:c r="Q954" s="77" t="str">
        <x:v>Needs review</x:v>
      </x:c>
      <x:c r="R954" s="77" t="str">
        <x:v>Low</x:v>
      </x:c>
      <x:c r="S954" s="77" t="str">
        <x:v>Luke's age/context is not specific enough for a narrower placement.</x:v>
      </x:c>
      <x:c r="T954" s="77" t="str">
        <x:v>Unique</x:v>
      </x:c>
    </x:row>
    <x:row r="955" s="23" customFormat="1" ht="36" customHeight="1">
      <x:c r="A955" s="54" t="b">
        <x:v>0</x:v>
      </x:c>
      <x:c r="B955" s="57" t="str">
        <x:v>SWS-073</x:v>
      </x:c>
      <x:c r="C955" s="55" t="str">
        <x:v>Review &amp; decide — presentation / no timeline</x:v>
      </x:c>
      <x:c r="D955" s="55" t="str">
        <x:v>Fixed Darth Vader's voice in Star Wars Outlaws with James Earl Jones</x:v>
      </x:c>
      <x:c r="E955" s="55" t="str"/>
      <x:c r="F955" s="55" t="str">
        <x:v>Displayed as “1y ago” on October 17, 2026</x:v>
      </x:c>
      <x:c r="G955" s="55" t="str">
        <x:v>Fan-made / non-canon</x:v>
      </x:c>
      <x:c r="H955" s="55" t="str">
        <x:v>AI fan film</x:v>
      </x:c>
      <x:c r="I955" s="55" t="str">
        <x:v>YouTube — Skywalker Stories</x:v>
      </x:c>
      <x:c r="J955" s="60" t="e">
        <x:f>HYPERLINK("https://www.youtube.com/watch?v=mrC79lZkwR4","Open")</x:f>
        <x:v>HYPERLINK is not implemented. linkLocation=https://www.youtube.com/watch?v=mrC79lZkwR4, friendlyName=Open</x:v>
      </x:c>
      <x:c r="K955" s="55" t="str">
        <x:v>Skywalker Stories. Presentation edit of Star Wars Outlaws; no separate story placement. Placement confidence: High.</x:v>
      </x:c>
      <x:c r="L955" s="77" t="str"/>
      <x:c r="M955" s="77" t="str">
        <x:v>Fixed Darth Vader's voice in Star Wars Outlaws with James Earl Jones</x:v>
      </x:c>
      <x:c r="N955" s="77" t="str"/>
      <x:c r="O955" s="77" t="str"/>
      <x:c r="P955" s="77" t="str"/>
      <x:c r="Q955" s="77" t="str">
        <x:v>Previously verified channel entry</x:v>
      </x:c>
      <x:c r="R955" s="77" t="str"/>
      <x:c r="S955" s="77" t="str"/>
      <x:c r="T955" s="77" t="str"/>
    </x:row>
    <x:row r="956" s="23" customFormat="1" ht="15.75" customHeight="1"/>
    <x:row r="957" s="23" customFormat="1" ht="15.75" customHeight="1"/>
    <x:row r="958" s="23" customFormat="1" ht="15.75" customHeight="1"/>
    <x:row r="959" s="23" customFormat="1" ht="15.75" customHeight="1"/>
    <x:row r="960" s="23" customFormat="1" ht="15.75" customHeight="1"/>
    <x:row r="961" s="23" customFormat="1" ht="15.75" customHeight="1"/>
    <x:row r="962" s="23" customFormat="1" ht="15.75" customHeight="1"/>
    <x:row r="963" s="23" customFormat="1" ht="15.75" customHeight="1"/>
    <x:row r="964" s="23" customFormat="1" ht="15.75" customHeight="1"/>
    <x:row r="965" s="23" customFormat="1" ht="15.75" customHeight="1"/>
    <x:row r="966" s="23" customFormat="1" ht="15.75" customHeight="1"/>
    <x:row r="967" s="23" customFormat="1" ht="15.75" customHeight="1"/>
    <x:row r="968" s="23" customFormat="1" ht="15.75" customHeight="1"/>
    <x:row r="969" s="23" customFormat="1" ht="15.75" customHeight="1"/>
    <x:row r="970" s="23" customFormat="1" ht="15.75" customHeight="1"/>
    <x:row r="971" s="23" customFormat="1" ht="15.75" customHeight="1"/>
    <x:row r="972" s="23" customFormat="1" ht="15.75" customHeight="1"/>
    <x:row r="973" s="23" customFormat="1" ht="15.75" customHeight="1"/>
    <x:row r="974" s="23" customFormat="1" ht="15.75" customHeight="1"/>
    <x:row r="975" s="23" customFormat="1" ht="15.75" customHeight="1"/>
    <x:row r="976" s="23" customFormat="1" ht="15.75" customHeight="1"/>
    <x:row r="977" s="23" customFormat="1" ht="15.75" customHeight="1"/>
    <x:row r="978" s="23" customFormat="1" ht="15.75" customHeight="1"/>
    <x:row r="979" s="23" customFormat="1" ht="15.75" customHeight="1"/>
    <x:row r="980" s="23" customFormat="1" ht="15.75" customHeight="1"/>
    <x:row r="981" s="23" customFormat="1" ht="15.75" customHeight="1"/>
    <x:row r="982" s="23" customFormat="1" ht="15.75" customHeight="1"/>
    <x:row r="983" s="23" customFormat="1" ht="15.75" customHeight="1"/>
    <x:row r="984" s="23" customFormat="1" ht="15.75" customHeight="1"/>
    <x:row r="985" s="23" customFormat="1" ht="15.75" customHeight="1"/>
    <x:row r="986" s="23" customFormat="1" ht="15.75" customHeight="1"/>
    <x:row r="987" s="23" customFormat="1" ht="15.75" customHeight="1"/>
    <x:row r="988" s="23" customFormat="1" ht="15.75" customHeight="1"/>
    <x:row r="989" s="23" customFormat="1" ht="15.75" customHeight="1"/>
    <x:row r="990" s="23" customFormat="1" ht="15.75" customHeight="1"/>
    <x:row r="991" s="23" customFormat="1" ht="15.75" customHeight="1"/>
    <x:row r="992" s="23" customFormat="1" ht="15.75" customHeight="1"/>
    <x:row r="993" s="23" customFormat="1" ht="15.75" customHeight="1"/>
    <x:row r="994" s="23" customFormat="1" ht="15.75" customHeight="1"/>
    <x:row r="995" s="23" customFormat="1" ht="15.75" customHeight="1"/>
    <x:row r="996" s="23" customFormat="1" ht="15.75" customHeight="1"/>
    <x:row r="997" s="23" customFormat="1" ht="15.75" customHeight="1"/>
    <x:row r="998" s="23" customFormat="1" ht="15.75" customHeight="1"/>
    <x:row r="999" s="23" customFormat="1" ht="15.75" customHeight="1"/>
    <x:row r="1000" s="23" customFormat="1" ht="15.75" customHeight="1"/>
  </x:sheetData>
  <x:conditionalFormatting sqref="A7:T955">
    <x:cfRule type="expression" dxfId="3" priority="1">
      <x:formula>$A7=TRUE</x:formula>
    </x:cfRule>
  </x:conditionalFormatting>
  <x:conditionalFormatting sqref="Q7:Q955">
    <x:cfRule type="expression" dxfId="4" priority="2">
      <x:formula>$Q7="Needs review"</x:formula>
    </x:cfRule>
  </x:conditionalFormatting>
  <x:pageMargins left="0.7" right="0.7" top="0.75" bottom="0.75" header="0.3" footer="0.3"/>
</x:worksheet>
</file>

<file path=xl/worksheets/sheet2.xml><?xml version="1.0" encoding="utf-8"?>
<x:worksheet xmlns:x="http://schemas.openxmlformats.org/spreadsheetml/2006/main">
  <x:sheetPr>
    <x:tabColor rgb="FF1F2937"/>
  </x:sheetPr>
  <x:sheetViews>
    <x:sheetView showGridLines="0" workbookViewId="0">
      <x:pane xSplit="2" ySplit="6" topLeftCell="C7" activePane="bottomRight" state="frozen"/>
    </x:sheetView>
  </x:sheetViews>
  <x:sheetFormatPr baseColWidth="8" defaultColWidth="12.630000114440918" defaultRowHeight="15"/>
  <x:cols>
    <x:col min="1" max="1" width="8" style="23" customWidth="1"/>
    <x:col min="2" max="2" width="16" style="23" customWidth="1"/>
    <x:col min="3" max="3" width="34" style="23" customWidth="1"/>
    <x:col min="4" max="4" width="22" style="23" customWidth="1"/>
    <x:col min="5" max="5" width="30" style="23" customWidth="1"/>
    <x:col min="6" max="6" width="18" style="23" customWidth="1"/>
    <x:col min="7" max="7" width="24" style="23" customWidth="1"/>
    <x:col min="8" max="26" width="8.630000114440918" style="23" customWidth="1"/>
  </x:cols>
  <x:sheetData>
    <x:row r="1">
      <x:c r="A1" s="4" t="n"/>
      <x:c r="B1" s="4" t="n"/>
      <x:c r="C1" s="4" t="n"/>
      <x:c r="D1" s="4" t="n"/>
      <x:c r="E1" s="4" t="n"/>
      <x:c r="F1" s="4" t="n"/>
      <x:c r="G1" s="4" t="n"/>
    </x:row>
    <x:row r="2">
      <x:c r="A2" s="2" t="inlineStr">
        <x:is>
          <x:t xml:space="preserve">Forces of Destiny Checklist</x:t>
        </x:is>
      </x:c>
      <x:c r="B2" s="4" t="n"/>
      <x:c r="C2" s="4" t="n"/>
      <x:c r="D2" s="4" t="n"/>
      <x:c r="E2" s="4" t="n"/>
      <x:c r="F2" s="4" t="n"/>
      <x:c r="G2" s="4" t="n"/>
    </x:row>
    <x:row r="3">
      <x:c r="A3" s="5" t="inlineStr">
        <x:is>
          <x:t xml:space="preserve">All 32 canon shorts placed by story era; release order is not chronological</x:t>
        </x:is>
      </x:c>
      <x:c r="B3" s="4" t="n"/>
      <x:c r="C3" s="4" t="n"/>
      <x:c r="D3" s="4" t="n"/>
      <x:c r="E3" s="4" t="n"/>
      <x:c r="F3" s="4" t="n"/>
      <x:c r="G3" s="4" t="n"/>
    </x:row>
    <x:row r="4">
      <x:c r="A4" s="7" t="inlineStr">
        <x:is>
          <x:t xml:space="preserve">Completed</x:t>
        </x:is>
      </x:c>
      <x:c r="B4" s="7" t="n">
        <x:f>COUNTIF(A7:A38,TRUE)</x:f>
        <x:v>0</x:v>
      </x:c>
      <x:c r="C4" s="7" t="inlineStr">
        <x:is>
          <x:t xml:space="preserve">Total</x:t>
        </x:is>
      </x:c>
      <x:c r="D4" s="7" t="n">
        <x:f>COUNTA(C7:C38)</x:f>
        <x:v>32</x:v>
      </x:c>
      <x:c r="E4" s="7" t="inlineStr">
        <x:is>
          <x:t xml:space="preserve">Progress</x:t>
        </x:is>
      </x:c>
      <x:c r="F4" s="8" t="n">
        <x:f>IF(D4=0,0,B4/D4)</x:f>
        <x:v>0</x:v>
      </x:c>
      <x:c r="G4" s="4" t="n"/>
    </x:row>
    <x:row r="5">
      <x:c r="A5" s="4" t="n"/>
      <x:c r="B5" s="4" t="n"/>
      <x:c r="C5" s="4" t="n"/>
      <x:c r="D5" s="4" t="n"/>
      <x:c r="E5" s="4" t="n"/>
      <x:c r="F5" s="4" t="n"/>
      <x:c r="G5" s="4" t="n"/>
    </x:row>
    <x:row r="6">
      <x:c r="A6" s="12" t="inlineStr">
        <x:is>
          <x:t xml:space="preserve">Done</x:t>
        </x:is>
      </x:c>
      <x:c r="B6" s="12" t="inlineStr">
        <x:is>
          <x:t xml:space="preserve">Chronological #</x:t>
        </x:is>
      </x:c>
      <x:c r="C6" s="12" t="inlineStr">
        <x:is>
          <x:t xml:space="preserve">Short</x:t>
        </x:is>
      </x:c>
      <x:c r="D6" s="12" t="inlineStr">
        <x:is>
          <x:t xml:space="preserve">Era</x:t>
        </x:is>
      </x:c>
      <x:c r="E6" s="12" t="inlineStr">
        <x:is>
          <x:t xml:space="preserve">Story placement</x:t>
        </x:is>
      </x:c>
      <x:c r="F6" s="12" t="inlineStr">
        <x:is>
          <x:t xml:space="preserve">Original release</x:t>
        </x:is>
      </x:c>
      <x:c r="G6" s="12" t="inlineStr">
        <x:is>
          <x:t xml:space="preserve">Watch on</x:t>
        </x:is>
      </x:c>
    </x:row>
    <x:row r="7" s="23" customFormat="1" ht="30" customHeight="1">
      <x:c r="A7" s="21" t="b">
        <x:v>0</x:v>
      </x:c>
      <x:c r="B7" s="21" t="n">
        <x:v>1</x:v>
      </x:c>
      <x:c r="C7" s="14" t="inlineStr">
        <x:is>
          <x:t xml:space="preserve">Monster Misunderstanding</x:t>
        </x:is>
      </x:c>
      <x:c r="D7" s="14" t="inlineStr">
        <x:is>
          <x:t xml:space="preserve">Fall of the Jedi</x:t>
        </x:is>
      </x:c>
      <x:c r="E7" s="14" t="inlineStr">
        <x:is>
          <x:t xml:space="preserve">After The Phantom Menace</x:t>
        </x:is>
      </x:c>
      <x:c r="F7" s="14" t="inlineStr">
        <x:is>
          <x:t xml:space="preserve">May 4, 2018</x:t>
        </x:is>
      </x:c>
      <x:c r="G7" s="14" t="inlineStr">
        <x:is>
          <x:t xml:space="preserve">Disney+ / official YouTube</x:t>
        </x:is>
      </x:c>
    </x:row>
    <x:row r="8" s="23" customFormat="1" ht="30" customHeight="1">
      <x:c r="A8" s="21" t="b">
        <x:v>0</x:v>
      </x:c>
      <x:c r="B8" s="21" t="n">
        <x:v>2</x:v>
      </x:c>
      <x:c r="C8" s="14" t="inlineStr">
        <x:is>
          <x:t xml:space="preserve">The Padawan Path</x:t>
        </x:is>
      </x:c>
      <x:c r="D8" s="14" t="inlineStr">
        <x:is>
          <x:t xml:space="preserve">Fall of the Jedi</x:t>
        </x:is>
      </x:c>
      <x:c r="E8" s="14" t="inlineStr">
        <x:is>
          <x:t xml:space="preserve">During The Clone Wars</x:t>
        </x:is>
      </x:c>
      <x:c r="F8" s="14" t="inlineStr">
        <x:is>
          <x:t xml:space="preserve">July 6, 2017</x:t>
        </x:is>
      </x:c>
      <x:c r="G8" s="14" t="inlineStr">
        <x:is>
          <x:t xml:space="preserve">Disney+ / official YouTube</x:t>
        </x:is>
      </x:c>
    </x:row>
    <x:row r="9" s="23" customFormat="1" ht="30" customHeight="1">
      <x:c r="A9" s="21" t="b">
        <x:v>0</x:v>
      </x:c>
      <x:c r="B9" s="21" t="n">
        <x:v>3</x:v>
      </x:c>
      <x:c r="C9" s="14" t="inlineStr">
        <x:is>
          <x:t xml:space="preserve">The Imposter Inside</x:t>
        </x:is>
      </x:c>
      <x:c r="D9" s="14" t="inlineStr">
        <x:is>
          <x:t xml:space="preserve">Fall of the Jedi</x:t>
        </x:is>
      </x:c>
      <x:c r="E9" s="14" t="inlineStr">
        <x:is>
          <x:t xml:space="preserve">During The Clone Wars</x:t>
        </x:is>
      </x:c>
      <x:c r="F9" s="14" t="inlineStr">
        <x:is>
          <x:t xml:space="preserve">July 8, 2017</x:t>
        </x:is>
      </x:c>
      <x:c r="G9" s="14" t="inlineStr">
        <x:is>
          <x:t xml:space="preserve">Disney+ / official YouTube</x:t>
        </x:is>
      </x:c>
    </x:row>
    <x:row r="10" s="23" customFormat="1" ht="30" customHeight="1">
      <x:c r="A10" s="21" t="b">
        <x:v>0</x:v>
      </x:c>
      <x:c r="B10" s="21" t="n">
        <x:v>4</x:v>
      </x:c>
      <x:c r="C10" s="14" t="inlineStr">
        <x:is>
          <x:t xml:space="preserve">Teach You, I Will</x:t>
        </x:is>
      </x:c>
      <x:c r="D10" s="14" t="inlineStr">
        <x:is>
          <x:t xml:space="preserve">Fall of the Jedi</x:t>
        </x:is>
      </x:c>
      <x:c r="E10" s="14" t="inlineStr">
        <x:is>
          <x:t xml:space="preserve">During The Clone Wars</x:t>
        </x:is>
      </x:c>
      <x:c r="F10" s="14" t="inlineStr">
        <x:is>
          <x:t xml:space="preserve">October 3, 2017</x:t>
        </x:is>
      </x:c>
      <x:c r="G10" s="14" t="inlineStr">
        <x:is>
          <x:t xml:space="preserve">Disney+ / official YouTube</x:t>
        </x:is>
      </x:c>
    </x:row>
    <x:row r="11" s="23" customFormat="1" ht="30" customHeight="1">
      <x:c r="A11" s="21" t="b">
        <x:v>0</x:v>
      </x:c>
      <x:c r="B11" s="21" t="n">
        <x:v>5</x:v>
      </x:c>
      <x:c r="C11" s="14" t="inlineStr">
        <x:is>
          <x:t xml:space="preserve">The Starfighter Stunt</x:t>
        </x:is>
      </x:c>
      <x:c r="D11" s="14" t="inlineStr">
        <x:is>
          <x:t xml:space="preserve">Fall of the Jedi</x:t>
        </x:is>
      </x:c>
      <x:c r="E11" s="14" t="inlineStr">
        <x:is>
          <x:t xml:space="preserve">During The Clone Wars</x:t>
        </x:is>
      </x:c>
      <x:c r="F11" s="14" t="inlineStr">
        <x:is>
          <x:t xml:space="preserve">October 4, 2017</x:t>
        </x:is>
      </x:c>
      <x:c r="G11" s="14" t="inlineStr">
        <x:is>
          <x:t xml:space="preserve">Disney+ / official YouTube</x:t>
        </x:is>
      </x:c>
    </x:row>
    <x:row r="12" s="23" customFormat="1" ht="30" customHeight="1">
      <x:c r="A12" s="21" t="b">
        <x:v>0</x:v>
      </x:c>
      <x:c r="B12" s="21" t="n">
        <x:v>6</x:v>
      </x:c>
      <x:c r="C12" s="14" t="inlineStr">
        <x:is>
          <x:t xml:space="preserve">Unexpected Company</x:t>
        </x:is>
      </x:c>
      <x:c r="D12" s="14" t="inlineStr">
        <x:is>
          <x:t xml:space="preserve">Fall of the Jedi</x:t>
        </x:is>
      </x:c>
      <x:c r="E12" s="14" t="inlineStr">
        <x:is>
          <x:t xml:space="preserve">During The Clone Wars</x:t>
        </x:is>
      </x:c>
      <x:c r="F12" s="14" t="inlineStr">
        <x:is>
          <x:t xml:space="preserve">March 19, 2018</x:t>
        </x:is>
      </x:c>
      <x:c r="G12" s="14" t="inlineStr">
        <x:is>
          <x:t xml:space="preserve">Disney+ / official YouTube</x:t>
        </x:is>
      </x:c>
    </x:row>
    <x:row r="13" s="23" customFormat="1" ht="30" customHeight="1">
      <x:c r="A13" s="21" t="b">
        <x:v>0</x:v>
      </x:c>
      <x:c r="B13" s="21" t="n">
        <x:v>7</x:v>
      </x:c>
      <x:c r="C13" s="14" t="inlineStr">
        <x:is>
          <x:t xml:space="preserve">Triplecross</x:t>
        </x:is>
      </x:c>
      <x:c r="D13" s="14" t="inlineStr">
        <x:is>
          <x:t xml:space="preserve">Imperial era</x:t>
        </x:is>
      </x:c>
      <x:c r="E13" s="14" t="inlineStr">
        <x:is>
          <x:t xml:space="preserve">Around Solo</x:t>
        </x:is>
      </x:c>
      <x:c r="F13" s="14" t="inlineStr">
        <x:is>
          <x:t xml:space="preserve">May 25, 2018</x:t>
        </x:is>
      </x:c>
      <x:c r="G13" s="14" t="inlineStr">
        <x:is>
          <x:t xml:space="preserve">Disney+ / official YouTube</x:t>
        </x:is>
      </x:c>
    </x:row>
    <x:row r="14" s="23" customFormat="1" ht="30" customHeight="1">
      <x:c r="A14" s="21" t="b">
        <x:v>0</x:v>
      </x:c>
      <x:c r="B14" s="21" t="n">
        <x:v>8</x:v>
      </x:c>
      <x:c r="C14" s="14" t="inlineStr">
        <x:is>
          <x:t xml:space="preserve">Hasty Departure</x:t>
        </x:is>
      </x:c>
      <x:c r="D14" s="14" t="inlineStr">
        <x:is>
          <x:t xml:space="preserve">Imperial era</x:t>
        </x:is>
      </x:c>
      <x:c r="E14" s="14" t="inlineStr">
        <x:is>
          <x:t xml:space="preserve">Rebels era</x:t>
        </x:is>
      </x:c>
      <x:c r="F14" s="14" t="inlineStr">
        <x:is>
          <x:t xml:space="preserve">March 19, 2018</x:t>
        </x:is>
      </x:c>
      <x:c r="G14" s="14" t="inlineStr">
        <x:is>
          <x:t xml:space="preserve">Disney+ / official YouTube</x:t>
        </x:is>
      </x:c>
    </x:row>
    <x:row r="15" s="23" customFormat="1" ht="30" customHeight="1">
      <x:c r="A15" s="21" t="b">
        <x:v>0</x:v>
      </x:c>
      <x:c r="B15" s="21" t="n">
        <x:v>9</x:v>
      </x:c>
      <x:c r="C15" s="14" t="inlineStr">
        <x:is>
          <x:t xml:space="preserve">Bounty of Trouble</x:t>
        </x:is>
      </x:c>
      <x:c r="D15" s="14" t="inlineStr">
        <x:is>
          <x:t xml:space="preserve">Imperial era</x:t>
        </x:is>
      </x:c>
      <x:c r="E15" s="14" t="inlineStr">
        <x:is>
          <x:t xml:space="preserve">Rebels era</x:t>
        </x:is>
      </x:c>
      <x:c r="F15" s="14" t="inlineStr">
        <x:is>
          <x:t xml:space="preserve">July 9, 2017</x:t>
        </x:is>
      </x:c>
      <x:c r="G15" s="14" t="inlineStr">
        <x:is>
          <x:t xml:space="preserve">Disney+ / official YouTube</x:t>
        </x:is>
      </x:c>
    </x:row>
    <x:row r="16" s="23" customFormat="1" ht="30" customHeight="1">
      <x:c r="A16" s="21" t="b">
        <x:v>0</x:v>
      </x:c>
      <x:c r="B16" s="21" t="n">
        <x:v>10</x:v>
      </x:c>
      <x:c r="C16" s="14" t="inlineStr">
        <x:is>
          <x:t xml:space="preserve">Newest Recruit</x:t>
        </x:is>
      </x:c>
      <x:c r="D16" s="14" t="inlineStr">
        <x:is>
          <x:t xml:space="preserve">Imperial era</x:t>
        </x:is>
      </x:c>
      <x:c r="E16" s="14" t="inlineStr">
        <x:is>
          <x:t xml:space="preserve">Rebels era</x:t>
        </x:is>
      </x:c>
      <x:c r="F16" s="14" t="inlineStr">
        <x:is>
          <x:t xml:space="preserve">October 1, 2017</x:t>
        </x:is>
      </x:c>
      <x:c r="G16" s="14" t="inlineStr">
        <x:is>
          <x:t xml:space="preserve">Disney+ / official YouTube</x:t>
        </x:is>
      </x:c>
    </x:row>
    <x:row r="17" s="23" customFormat="1" ht="30" customHeight="1">
      <x:c r="A17" s="21" t="b">
        <x:v>0</x:v>
      </x:c>
      <x:c r="B17" s="21" t="n">
        <x:v>11</x:v>
      </x:c>
      <x:c r="C17" s="14" t="inlineStr">
        <x:is>
          <x:t xml:space="preserve">Crash Course</x:t>
        </x:is>
      </x:c>
      <x:c r="D17" s="14" t="inlineStr">
        <x:is>
          <x:t xml:space="preserve">Imperial era</x:t>
        </x:is>
      </x:c>
      <x:c r="E17" s="14" t="inlineStr">
        <x:is>
          <x:t xml:space="preserve">Rebels era</x:t>
        </x:is>
      </x:c>
      <x:c r="F17" s="14" t="inlineStr">
        <x:is>
          <x:t xml:space="preserve">November 1, 2017</x:t>
        </x:is>
      </x:c>
      <x:c r="G17" s="14" t="inlineStr">
        <x:is>
          <x:t xml:space="preserve">Disney+ / official YouTube</x:t>
        </x:is>
      </x:c>
    </x:row>
    <x:row r="18" s="23" customFormat="1" ht="30" customHeight="1">
      <x:c r="A18" s="21" t="b">
        <x:v>0</x:v>
      </x:c>
      <x:c r="B18" s="21" t="n">
        <x:v>12</x:v>
      </x:c>
      <x:c r="C18" s="14" t="inlineStr">
        <x:is>
          <x:t xml:space="preserve">A Disarming Lesson</x:t>
        </x:is>
      </x:c>
      <x:c r="D18" s="14" t="inlineStr">
        <x:is>
          <x:t xml:space="preserve">Imperial era</x:t>
        </x:is>
      </x:c>
      <x:c r="E18" s="14" t="inlineStr">
        <x:is>
          <x:t xml:space="preserve">Rebels era</x:t>
        </x:is>
      </x:c>
      <x:c r="F18" s="14" t="inlineStr">
        <x:is>
          <x:t xml:space="preserve">May 4, 2018</x:t>
        </x:is>
      </x:c>
      <x:c r="G18" s="14" t="inlineStr">
        <x:is>
          <x:t xml:space="preserve">Disney+ / official YouTube</x:t>
        </x:is>
      </x:c>
    </x:row>
    <x:row r="19" s="23" customFormat="1" ht="30" customHeight="1">
      <x:c r="A19" s="21" t="b">
        <x:v>0</x:v>
      </x:c>
      <x:c r="B19" s="21" t="n">
        <x:v>13</x:v>
      </x:c>
      <x:c r="C19" s="14" t="inlineStr">
        <x:is>
          <x:t xml:space="preserve">Art History</x:t>
        </x:is>
      </x:c>
      <x:c r="D19" s="14" t="inlineStr">
        <x:is>
          <x:t xml:space="preserve">Imperial era</x:t>
        </x:is>
      </x:c>
      <x:c r="E19" s="14" t="inlineStr">
        <x:is>
          <x:t xml:space="preserve">Late Rebels era</x:t>
        </x:is>
      </x:c>
      <x:c r="F19" s="14" t="inlineStr">
        <x:is>
          <x:t xml:space="preserve">May 4, 2018</x:t>
        </x:is>
      </x:c>
      <x:c r="G19" s="14" t="inlineStr">
        <x:is>
          <x:t xml:space="preserve">Disney+ / official YouTube</x:t>
        </x:is>
      </x:c>
    </x:row>
    <x:row r="20" s="23" customFormat="1" ht="30" customHeight="1">
      <x:c r="A20" s="21" t="b">
        <x:v>0</x:v>
      </x:c>
      <x:c r="B20" s="21" t="n">
        <x:v>14</x:v>
      </x:c>
      <x:c r="C20" s="14" t="inlineStr">
        <x:is>
          <x:t xml:space="preserve">Accidental Allies</x:t>
        </x:is>
      </x:c>
      <x:c r="D20" s="14" t="inlineStr">
        <x:is>
          <x:t xml:space="preserve">Imperial era</x:t>
        </x:is>
      </x:c>
      <x:c r="E20" s="14" t="inlineStr">
        <x:is>
          <x:t xml:space="preserve">Before Rogue One</x:t>
        </x:is>
      </x:c>
      <x:c r="F20" s="14" t="inlineStr">
        <x:is>
          <x:t xml:space="preserve">October 29, 2017</x:t>
        </x:is>
      </x:c>
      <x:c r="G20" s="14" t="inlineStr">
        <x:is>
          <x:t xml:space="preserve">Disney+ / official YouTube</x:t>
        </x:is>
      </x:c>
    </x:row>
    <x:row r="21" s="23" customFormat="1" ht="30" customHeight="1">
      <x:c r="A21" s="21" t="b">
        <x:v>0</x:v>
      </x:c>
      <x:c r="B21" s="21" t="n">
        <x:v>15</x:v>
      </x:c>
      <x:c r="C21" s="14" t="inlineStr">
        <x:is>
          <x:t xml:space="preserve">The Stranger</x:t>
        </x:is>
      </x:c>
      <x:c r="D21" s="14" t="inlineStr">
        <x:is>
          <x:t xml:space="preserve">Imperial era</x:t>
        </x:is>
      </x:c>
      <x:c r="E21" s="14" t="inlineStr">
        <x:is>
          <x:t xml:space="preserve">Before Rogue One</x:t>
        </x:is>
      </x:c>
      <x:c r="F21" s="14" t="inlineStr">
        <x:is>
          <x:t xml:space="preserve">July 9, 2017</x:t>
        </x:is>
      </x:c>
      <x:c r="G21" s="14" t="inlineStr">
        <x:is>
          <x:t xml:space="preserve">Disney+ / official YouTube</x:t>
        </x:is>
      </x:c>
    </x:row>
    <x:row r="22" s="23" customFormat="1" ht="30" customHeight="1">
      <x:c r="A22" s="21" t="b">
        <x:v>0</x:v>
      </x:c>
      <x:c r="B22" s="21" t="n">
        <x:v>16</x:v>
      </x:c>
      <x:c r="C22" s="14" t="inlineStr">
        <x:is>
          <x:t xml:space="preserve">Jyn's Trade</x:t>
        </x:is>
      </x:c>
      <x:c r="D22" s="14" t="inlineStr">
        <x:is>
          <x:t xml:space="preserve">Imperial era</x:t>
        </x:is>
      </x:c>
      <x:c r="E22" s="14" t="inlineStr">
        <x:is>
          <x:t xml:space="preserve">Before Rogue One</x:t>
        </x:is>
      </x:c>
      <x:c r="F22" s="14" t="inlineStr">
        <x:is>
          <x:t xml:space="preserve">March 19, 2018</x:t>
        </x:is>
      </x:c>
      <x:c r="G22" s="14" t="inlineStr">
        <x:is>
          <x:t xml:space="preserve">Disney+ / official YouTube</x:t>
        </x:is>
      </x:c>
    </x:row>
    <x:row r="23" s="23" customFormat="1" ht="30" customHeight="1">
      <x:c r="A23" s="21" t="b">
        <x:v>0</x:v>
      </x:c>
      <x:c r="B23" s="21" t="n">
        <x:v>17</x:v>
      </x:c>
      <x:c r="C23" s="14" t="inlineStr">
        <x:is>
          <x:t xml:space="preserve">Beasts of Echo Base</x:t>
        </x:is>
      </x:c>
      <x:c r="D23" s="14" t="inlineStr">
        <x:is>
          <x:t xml:space="preserve">Galactic Civil War</x:t>
        </x:is>
      </x:c>
      <x:c r="E23" s="14" t="inlineStr">
        <x:is>
          <x:t xml:space="preserve">Before The Empire Strikes Back</x:t>
        </x:is>
      </x:c>
      <x:c r="F23" s="14" t="inlineStr">
        <x:is>
          <x:t xml:space="preserve">July 7, 2017</x:t>
        </x:is>
      </x:c>
      <x:c r="G23" s="14" t="inlineStr">
        <x:is>
          <x:t xml:space="preserve">Disney+ / official YouTube</x:t>
        </x:is>
      </x:c>
    </x:row>
    <x:row r="24" s="23" customFormat="1" ht="30" customHeight="1">
      <x:c r="A24" s="21" t="b">
        <x:v>0</x:v>
      </x:c>
      <x:c r="B24" s="21" t="n">
        <x:v>18</x:v>
      </x:c>
      <x:c r="C24" s="14" t="inlineStr">
        <x:is>
          <x:t xml:space="preserve">The Path Ahead</x:t>
        </x:is>
      </x:c>
      <x:c r="D24" s="14" t="inlineStr">
        <x:is>
          <x:t xml:space="preserve">Galactic Civil War</x:t>
        </x:is>
      </x:c>
      <x:c r="E24" s="14" t="inlineStr">
        <x:is>
          <x:t xml:space="preserve">During The Empire Strikes Back</x:t>
        </x:is>
      </x:c>
      <x:c r="F24" s="14" t="inlineStr">
        <x:is>
          <x:t xml:space="preserve">March 19, 2018</x:t>
        </x:is>
      </x:c>
      <x:c r="G24" s="14" t="inlineStr">
        <x:is>
          <x:t xml:space="preserve">Disney+ / official YouTube</x:t>
        </x:is>
      </x:c>
    </x:row>
    <x:row r="25" s="23" customFormat="1" ht="30" customHeight="1">
      <x:c r="A25" s="21" t="b">
        <x:v>0</x:v>
      </x:c>
      <x:c r="B25" s="21" t="n">
        <x:v>19</x:v>
      </x:c>
      <x:c r="C25" s="14" t="inlineStr">
        <x:is>
          <x:t xml:space="preserve">Bounty Hunted</x:t>
        </x:is>
      </x:c>
      <x:c r="D25" s="14" t="inlineStr">
        <x:is>
          <x:t xml:space="preserve">Galactic Civil War</x:t>
        </x:is>
      </x:c>
      <x:c r="E25" s="14" t="inlineStr">
        <x:is>
          <x:t xml:space="preserve">Before Return of the Jedi</x:t>
        </x:is>
      </x:c>
      <x:c r="F25" s="14" t="inlineStr">
        <x:is>
          <x:t xml:space="preserve">March 19, 2018</x:t>
        </x:is>
      </x:c>
      <x:c r="G25" s="14" t="inlineStr">
        <x:is>
          <x:t xml:space="preserve">Disney+ / official YouTube</x:t>
        </x:is>
      </x:c>
    </x:row>
    <x:row r="26" s="23" customFormat="1" ht="30" customHeight="1">
      <x:c r="A26" s="21" t="b">
        <x:v>0</x:v>
      </x:c>
      <x:c r="B26" s="21" t="n">
        <x:v>20</x:v>
      </x:c>
      <x:c r="C26" s="14" t="inlineStr">
        <x:is>
          <x:t xml:space="preserve">Ewok Escape</x:t>
        </x:is>
      </x:c>
      <x:c r="D26" s="14" t="inlineStr">
        <x:is>
          <x:t xml:space="preserve">Galactic Civil War</x:t>
        </x:is>
      </x:c>
      <x:c r="E26" s="14" t="inlineStr">
        <x:is>
          <x:t xml:space="preserve">During Return of the Jedi</x:t>
        </x:is>
      </x:c>
      <x:c r="F26" s="14" t="inlineStr">
        <x:is>
          <x:t xml:space="preserve">July 5, 2017</x:t>
        </x:is>
      </x:c>
      <x:c r="G26" s="14" t="inlineStr">
        <x:is>
          <x:t xml:space="preserve">Disney+ / official YouTube</x:t>
        </x:is>
      </x:c>
    </x:row>
    <x:row r="27" s="23" customFormat="1" ht="30" customHeight="1">
      <x:c r="A27" s="21" t="b">
        <x:v>0</x:v>
      </x:c>
      <x:c r="B27" s="21" t="n">
        <x:v>21</x:v>
      </x:c>
      <x:c r="C27" s="14" t="inlineStr">
        <x:is>
          <x:t xml:space="preserve">Chopper and Friends</x:t>
        </x:is>
      </x:c>
      <x:c r="D27" s="14" t="inlineStr">
        <x:is>
          <x:t xml:space="preserve">Galactic Civil War</x:t>
        </x:is>
      </x:c>
      <x:c r="E27" s="14" t="inlineStr">
        <x:is>
          <x:t xml:space="preserve">Endor era</x:t>
        </x:is>
      </x:c>
      <x:c r="F27" s="14" t="inlineStr">
        <x:is>
          <x:t xml:space="preserve">May 4, 2018</x:t>
        </x:is>
      </x:c>
      <x:c r="G27" s="14" t="inlineStr">
        <x:is>
          <x:t xml:space="preserve">Disney+ / official YouTube</x:t>
        </x:is>
      </x:c>
    </x:row>
    <x:row r="28" s="23" customFormat="1" ht="30" customHeight="1">
      <x:c r="A28" s="21" t="b">
        <x:v>0</x:v>
      </x:c>
      <x:c r="B28" s="21" t="n">
        <x:v>22</x:v>
      </x:c>
      <x:c r="C28" s="14" t="inlineStr">
        <x:is>
          <x:t xml:space="preserve">Traps and Tribulations</x:t>
        </x:is>
      </x:c>
      <x:c r="D28" s="14" t="inlineStr">
        <x:is>
          <x:t xml:space="preserve">Galactic Civil War</x:t>
        </x:is>
      </x:c>
      <x:c r="E28" s="14" t="inlineStr">
        <x:is>
          <x:t xml:space="preserve">Endor era</x:t>
        </x:is>
      </x:c>
      <x:c r="F28" s="14" t="inlineStr">
        <x:is>
          <x:t xml:space="preserve">May 4, 2018</x:t>
        </x:is>
      </x:c>
      <x:c r="G28" s="14" t="inlineStr">
        <x:is>
          <x:t xml:space="preserve">Disney+ / official YouTube</x:t>
        </x:is>
      </x:c>
    </x:row>
    <x:row r="29" s="23" customFormat="1" ht="30" customHeight="1">
      <x:c r="A29" s="21" t="b">
        <x:v>0</x:v>
      </x:c>
      <x:c r="B29" s="21" t="n">
        <x:v>23</x:v>
      </x:c>
      <x:c r="C29" s="14" t="inlineStr">
        <x:is>
          <x:t xml:space="preserve">An Imperial Feast</x:t>
        </x:is>
      </x:c>
      <x:c r="D29" s="14" t="inlineStr">
        <x:is>
          <x:t xml:space="preserve">Galactic Civil War</x:t>
        </x:is>
      </x:c>
      <x:c r="E29" s="14" t="inlineStr">
        <x:is>
          <x:t xml:space="preserve">After Return of the Jedi</x:t>
        </x:is>
      </x:c>
      <x:c r="F29" s="14" t="inlineStr">
        <x:is>
          <x:t xml:space="preserve">October 30, 2017</x:t>
        </x:is>
      </x:c>
      <x:c r="G29" s="14" t="inlineStr">
        <x:is>
          <x:t xml:space="preserve">Disney+ / official YouTube</x:t>
        </x:is>
      </x:c>
    </x:row>
    <x:row r="30" s="23" customFormat="1" ht="30" customHeight="1">
      <x:c r="A30" s="21" t="b">
        <x:v>0</x:v>
      </x:c>
      <x:c r="B30" s="21" t="n">
        <x:v>24</x:v>
      </x:c>
      <x:c r="C30" s="14" t="inlineStr">
        <x:is>
          <x:t xml:space="preserve">The Happabore Hazard</x:t>
        </x:is>
      </x:c>
      <x:c r="D30" s="14" t="inlineStr">
        <x:is>
          <x:t xml:space="preserve">Sequel era</x:t>
        </x:is>
      </x:c>
      <x:c r="E30" s="14" t="inlineStr">
        <x:is>
          <x:t xml:space="preserve">Before The Force Awakens</x:t>
        </x:is>
      </x:c>
      <x:c r="F30" s="14" t="inlineStr">
        <x:is>
          <x:t xml:space="preserve">October 31, 2017</x:t>
        </x:is>
      </x:c>
      <x:c r="G30" s="14" t="inlineStr">
        <x:is>
          <x:t xml:space="preserve">Disney+ / official YouTube</x:t>
        </x:is>
      </x:c>
    </x:row>
    <x:row r="31" s="23" customFormat="1" ht="30" customHeight="1">
      <x:c r="A31" s="21" t="b">
        <x:v>0</x:v>
      </x:c>
      <x:c r="B31" s="21" t="n">
        <x:v>25</x:v>
      </x:c>
      <x:c r="C31" s="14" t="inlineStr">
        <x:is>
          <x:t xml:space="preserve">Run Rey Run</x:t>
        </x:is>
      </x:c>
      <x:c r="D31" s="14" t="inlineStr">
        <x:is>
          <x:t xml:space="preserve">Sequel era</x:t>
        </x:is>
      </x:c>
      <x:c r="E31" s="14" t="inlineStr">
        <x:is>
          <x:t xml:space="preserve">Before The Force Awakens</x:t>
        </x:is>
      </x:c>
      <x:c r="F31" s="14" t="inlineStr">
        <x:is>
          <x:t xml:space="preserve">March 19, 2018</x:t>
        </x:is>
      </x:c>
      <x:c r="G31" s="14" t="inlineStr">
        <x:is>
          <x:t xml:space="preserve">Disney+ / official YouTube</x:t>
        </x:is>
      </x:c>
    </x:row>
    <x:row r="32" s="23" customFormat="1" ht="30" customHeight="1">
      <x:c r="A32" s="21" t="b">
        <x:v>0</x:v>
      </x:c>
      <x:c r="B32" s="21" t="n">
        <x:v>26</x:v>
      </x:c>
      <x:c r="C32" s="14" t="inlineStr">
        <x:is>
          <x:t xml:space="preserve">Sands of Jakku</x:t>
        </x:is>
      </x:c>
      <x:c r="D32" s="14" t="inlineStr">
        <x:is>
          <x:t xml:space="preserve">Sequel era</x:t>
        </x:is>
      </x:c>
      <x:c r="E32" s="14" t="inlineStr">
        <x:is>
          <x:t xml:space="preserve">During The Force Awakens</x:t>
        </x:is>
      </x:c>
      <x:c r="F32" s="14" t="inlineStr">
        <x:is>
          <x:t xml:space="preserve">July 3, 2017</x:t>
        </x:is>
      </x:c>
      <x:c r="G32" s="14" t="inlineStr">
        <x:is>
          <x:t xml:space="preserve">Disney+ / official YouTube</x:t>
        </x:is>
      </x:c>
    </x:row>
    <x:row r="33" s="23" customFormat="1" ht="30" customHeight="1">
      <x:c r="A33" s="21" t="b">
        <x:v>0</x:v>
      </x:c>
      <x:c r="B33" s="21" t="n">
        <x:v>27</x:v>
      </x:c>
      <x:c r="C33" s="14" t="inlineStr">
        <x:is>
          <x:t xml:space="preserve">BB-8 Bandits</x:t>
        </x:is>
      </x:c>
      <x:c r="D33" s="14" t="inlineStr">
        <x:is>
          <x:t xml:space="preserve">Sequel era</x:t>
        </x:is>
      </x:c>
      <x:c r="E33" s="14" t="inlineStr">
        <x:is>
          <x:t xml:space="preserve">During The Force Awakens</x:t>
        </x:is>
      </x:c>
      <x:c r="F33" s="14" t="inlineStr">
        <x:is>
          <x:t xml:space="preserve">July 4, 2017</x:t>
        </x:is>
      </x:c>
      <x:c r="G33" s="14" t="inlineStr">
        <x:is>
          <x:t xml:space="preserve">Disney+ / official YouTube</x:t>
        </x:is>
      </x:c>
    </x:row>
    <x:row r="34" s="23" customFormat="1" ht="30" customHeight="1">
      <x:c r="A34" s="21" t="b">
        <x:v>0</x:v>
      </x:c>
      <x:c r="B34" s="21" t="n">
        <x:v>28</x:v>
      </x:c>
      <x:c r="C34" s="14" t="inlineStr">
        <x:is>
          <x:t xml:space="preserve">Tracker Trouble</x:t>
        </x:is>
      </x:c>
      <x:c r="D34" s="14" t="inlineStr">
        <x:is>
          <x:t xml:space="preserve">Sequel era</x:t>
        </x:is>
      </x:c>
      <x:c r="E34" s="14" t="inlineStr">
        <x:is>
          <x:t xml:space="preserve">During The Force Awakens</x:t>
        </x:is>
      </x:c>
      <x:c r="F34" s="14" t="inlineStr">
        <x:is>
          <x:t xml:space="preserve">October 2, 2017</x:t>
        </x:is>
      </x:c>
      <x:c r="G34" s="14" t="inlineStr">
        <x:is>
          <x:t xml:space="preserve">Disney+ / official YouTube</x:t>
        </x:is>
      </x:c>
    </x:row>
    <x:row r="35" s="23" customFormat="1" ht="30" customHeight="1">
      <x:c r="A35" s="21" t="b">
        <x:v>0</x:v>
      </x:c>
      <x:c r="B35" s="21" t="n">
        <x:v>29</x:v>
      </x:c>
      <x:c r="C35" s="14" t="inlineStr">
        <x:is>
          <x:t xml:space="preserve">Perilous Pursuit</x:t>
        </x:is>
      </x:c>
      <x:c r="D35" s="14" t="inlineStr">
        <x:is>
          <x:t xml:space="preserve">Sequel era</x:t>
        </x:is>
      </x:c>
      <x:c r="E35" s="14" t="inlineStr">
        <x:is>
          <x:t xml:space="preserve">During The Force Awakens</x:t>
        </x:is>
      </x:c>
      <x:c r="F35" s="14" t="inlineStr">
        <x:is>
          <x:t xml:space="preserve">May 4, 2018</x:t>
        </x:is>
      </x:c>
      <x:c r="G35" s="14" t="inlineStr">
        <x:is>
          <x:t xml:space="preserve">Disney+ / official YouTube</x:t>
        </x:is>
      </x:c>
    </x:row>
    <x:row r="36" s="23" customFormat="1" ht="30" customHeight="1">
      <x:c r="A36" s="21" t="b">
        <x:v>0</x:v>
      </x:c>
      <x:c r="B36" s="21" t="n">
        <x:v>30</x:v>
      </x:c>
      <x:c r="C36" s="14" t="inlineStr">
        <x:is>
          <x:t xml:space="preserve">Shuttle Shock</x:t>
        </x:is>
      </x:c>
      <x:c r="D36" s="14" t="inlineStr">
        <x:is>
          <x:t xml:space="preserve">Sequel era</x:t>
        </x:is>
      </x:c>
      <x:c r="E36" s="14" t="inlineStr">
        <x:is>
          <x:t xml:space="preserve">During The Last Jedi</x:t>
        </x:is>
      </x:c>
      <x:c r="F36" s="14" t="inlineStr">
        <x:is>
          <x:t xml:space="preserve">March 19, 2018</x:t>
        </x:is>
      </x:c>
      <x:c r="G36" s="14" t="inlineStr">
        <x:is>
          <x:t xml:space="preserve">Disney+ / official YouTube</x:t>
        </x:is>
      </x:c>
    </x:row>
    <x:row r="37" s="23" customFormat="1" ht="30" customHeight="1">
      <x:c r="A37" s="21" t="b">
        <x:v>0</x:v>
      </x:c>
      <x:c r="B37" s="21" t="n">
        <x:v>31</x:v>
      </x:c>
      <x:c r="C37" s="14" t="inlineStr">
        <x:is>
          <x:t xml:space="preserve">Porg Problems</x:t>
        </x:is>
      </x:c>
      <x:c r="D37" s="14" t="inlineStr">
        <x:is>
          <x:t xml:space="preserve">Sequel era</x:t>
        </x:is>
      </x:c>
      <x:c r="E37" s="14" t="inlineStr">
        <x:is>
          <x:t xml:space="preserve">During The Last Jedi</x:t>
        </x:is>
      </x:c>
      <x:c r="F37" s="14" t="inlineStr">
        <x:is>
          <x:t xml:space="preserve">March 19, 2018</x:t>
        </x:is>
      </x:c>
      <x:c r="G37" s="14" t="inlineStr">
        <x:is>
          <x:t xml:space="preserve">Disney+ / official YouTube</x:t>
        </x:is>
      </x:c>
    </x:row>
    <x:row r="38" s="23" customFormat="1" ht="30" customHeight="1">
      <x:c r="A38" s="21" t="b">
        <x:v>0</x:v>
      </x:c>
      <x:c r="B38" s="21" t="n">
        <x:v>32</x:v>
      </x:c>
      <x:c r="C38" s="14" t="inlineStr">
        <x:is>
          <x:t xml:space="preserve">Porgs!</x:t>
        </x:is>
      </x:c>
      <x:c r="D38" s="14" t="inlineStr">
        <x:is>
          <x:t xml:space="preserve">Sequel era</x:t>
        </x:is>
      </x:c>
      <x:c r="E38" s="14" t="inlineStr">
        <x:is>
          <x:t xml:space="preserve">During The Last Jedi</x:t>
        </x:is>
      </x:c>
      <x:c r="F38" s="14" t="inlineStr">
        <x:is>
          <x:t xml:space="preserve">May 4, 2018</x:t>
        </x:is>
      </x:c>
      <x:c r="G38" s="14" t="inlineStr">
        <x:is>
          <x:t xml:space="preserve">Disney+ / official YouTube</x:t>
        </x:is>
      </x:c>
    </x:row>
    <x:row r="39" s="23" customFormat="1" ht="15.75" customHeight="1"/>
    <x:row r="40" s="23" customFormat="1" ht="15.75" customHeight="1"/>
    <x:row r="41" s="23" customFormat="1" ht="15.75" customHeight="1"/>
    <x:row r="42" s="23" customFormat="1" ht="15.75" customHeight="1"/>
    <x:row r="43" s="23" customFormat="1" ht="15.75" customHeight="1"/>
    <x:row r="44" s="23" customFormat="1" ht="15.75" customHeight="1"/>
    <x:row r="45" s="23" customFormat="1" ht="15.75" customHeight="1"/>
    <x:row r="46" s="23" customFormat="1" ht="15.75" customHeight="1"/>
    <x:row r="47" s="23" customFormat="1" ht="15.75" customHeight="1"/>
    <x:row r="48" s="23" customFormat="1" ht="15.75" customHeight="1"/>
    <x:row r="49" s="23" customFormat="1" ht="15.75" customHeight="1"/>
    <x:row r="50" s="23" customFormat="1" ht="15.75" customHeight="1"/>
    <x:row r="51" s="23" customFormat="1" ht="15.75" customHeight="1"/>
    <x:row r="52" s="23" customFormat="1" ht="15.75" customHeight="1"/>
    <x:row r="53" s="23" customFormat="1" ht="15.75" customHeight="1"/>
    <x:row r="54" s="23" customFormat="1" ht="15.75" customHeight="1"/>
    <x:row r="55" s="23" customFormat="1" ht="15.75" customHeight="1"/>
    <x:row r="56" s="23" customFormat="1" ht="15.75" customHeight="1"/>
    <x:row r="57" s="23" customFormat="1" ht="15.75" customHeight="1"/>
    <x:row r="58" s="23" customFormat="1" ht="15.75" customHeight="1"/>
    <x:row r="59" s="23" customFormat="1" ht="15.75" customHeight="1"/>
    <x:row r="60" s="23" customFormat="1" ht="15.75" customHeight="1"/>
    <x:row r="61" s="23" customFormat="1" ht="15.75" customHeight="1"/>
    <x:row r="62" s="23" customFormat="1" ht="15.75" customHeight="1"/>
    <x:row r="63" s="23" customFormat="1" ht="15.75" customHeight="1"/>
    <x:row r="64" s="23" customFormat="1" ht="15.75" customHeight="1"/>
    <x:row r="65" s="23" customFormat="1" ht="15.75" customHeight="1"/>
    <x:row r="66" s="23" customFormat="1" ht="15.75" customHeight="1"/>
    <x:row r="67" s="23" customFormat="1" ht="15.75" customHeight="1"/>
    <x:row r="68" s="23" customFormat="1" ht="15.75" customHeight="1"/>
    <x:row r="69" s="23" customFormat="1" ht="15.75" customHeight="1"/>
    <x:row r="70" s="23" customFormat="1" ht="15.75" customHeight="1"/>
    <x:row r="71" s="23" customFormat="1" ht="15.75" customHeight="1"/>
    <x:row r="72" s="23" customFormat="1" ht="15.75" customHeight="1"/>
    <x:row r="73" s="23" customFormat="1" ht="15.75" customHeight="1"/>
    <x:row r="74" s="23" customFormat="1" ht="15.75" customHeight="1"/>
    <x:row r="75" s="23" customFormat="1" ht="15.75" customHeight="1"/>
    <x:row r="76" s="23" customFormat="1" ht="15.75" customHeight="1"/>
    <x:row r="77" s="23" customFormat="1" ht="15.75" customHeight="1"/>
    <x:row r="78" s="23" customFormat="1" ht="15.75" customHeight="1"/>
    <x:row r="79" s="23" customFormat="1" ht="15.75" customHeight="1"/>
    <x:row r="80" s="23" customFormat="1" ht="15.75" customHeight="1"/>
    <x:row r="81" s="23" customFormat="1" ht="15.75" customHeight="1"/>
    <x:row r="82" s="23" customFormat="1" ht="15.75" customHeight="1"/>
    <x:row r="83" s="23" customFormat="1" ht="15.75" customHeight="1"/>
    <x:row r="84" s="23" customFormat="1" ht="15.75" customHeight="1"/>
    <x:row r="85" s="23" customFormat="1" ht="15.75" customHeight="1"/>
    <x:row r="86" s="23" customFormat="1" ht="15.75" customHeight="1"/>
    <x:row r="87" s="23" customFormat="1" ht="15.75" customHeight="1"/>
    <x:row r="88" s="23" customFormat="1" ht="15.75" customHeight="1"/>
    <x:row r="89" s="23" customFormat="1" ht="15.75" customHeight="1"/>
    <x:row r="90" s="23" customFormat="1" ht="15.75" customHeight="1"/>
    <x:row r="91" s="23" customFormat="1" ht="15.75" customHeight="1"/>
    <x:row r="92" s="23" customFormat="1" ht="15.75" customHeight="1"/>
    <x:row r="93" s="23" customFormat="1" ht="15.75" customHeight="1"/>
    <x:row r="94" s="23" customFormat="1" ht="15.75" customHeight="1"/>
    <x:row r="95" s="23" customFormat="1" ht="15.75" customHeight="1"/>
    <x:row r="96" s="23" customFormat="1" ht="15.75" customHeight="1"/>
    <x:row r="97" s="23" customFormat="1" ht="15.75" customHeight="1"/>
    <x:row r="98" s="23" customFormat="1" ht="15.75" customHeight="1"/>
    <x:row r="99" s="23" customFormat="1" ht="15.75" customHeight="1"/>
    <x:row r="100" s="23" customFormat="1" ht="15.75" customHeight="1"/>
    <x:row r="101" s="23" customFormat="1" ht="15.75" customHeight="1"/>
    <x:row r="102" s="23" customFormat="1" ht="15.75" customHeight="1"/>
    <x:row r="103" s="23" customFormat="1" ht="15.75" customHeight="1"/>
    <x:row r="104" s="23" customFormat="1" ht="15.75" customHeight="1"/>
    <x:row r="105" s="23" customFormat="1" ht="15.75" customHeight="1"/>
    <x:row r="106" s="23" customFormat="1" ht="15.75" customHeight="1"/>
    <x:row r="107" s="23" customFormat="1" ht="15.75" customHeight="1"/>
    <x:row r="108" s="23" customFormat="1" ht="15.75" customHeight="1"/>
    <x:row r="109" s="23" customFormat="1" ht="15.75" customHeight="1"/>
    <x:row r="110" s="23" customFormat="1" ht="15.75" customHeight="1"/>
    <x:row r="111" s="23" customFormat="1" ht="15.75" customHeight="1"/>
    <x:row r="112" s="23" customFormat="1" ht="15.75" customHeight="1"/>
    <x:row r="113" s="23" customFormat="1" ht="15.75" customHeight="1"/>
    <x:row r="114" s="23" customFormat="1" ht="15.75" customHeight="1"/>
    <x:row r="115" s="23" customFormat="1" ht="15.75" customHeight="1"/>
    <x:row r="116" s="23" customFormat="1" ht="15.75" customHeight="1"/>
    <x:row r="117" s="23" customFormat="1" ht="15.75" customHeight="1"/>
    <x:row r="118" s="23" customFormat="1" ht="15.75" customHeight="1"/>
    <x:row r="119" s="23" customFormat="1" ht="15.75" customHeight="1"/>
    <x:row r="120" s="23" customFormat="1" ht="15.75" customHeight="1"/>
    <x:row r="121" s="23" customFormat="1" ht="15.75" customHeight="1"/>
    <x:row r="122" s="23" customFormat="1" ht="15.75" customHeight="1"/>
    <x:row r="123" s="23" customFormat="1" ht="15.75" customHeight="1"/>
    <x:row r="124" s="23" customFormat="1" ht="15.75" customHeight="1"/>
    <x:row r="125" s="23" customFormat="1" ht="15.75" customHeight="1"/>
    <x:row r="126" s="23" customFormat="1" ht="15.75" customHeight="1"/>
    <x:row r="127" s="23" customFormat="1" ht="15.75" customHeight="1"/>
    <x:row r="128" s="23" customFormat="1" ht="15.75" customHeight="1"/>
    <x:row r="129" s="23" customFormat="1" ht="15.75" customHeight="1"/>
    <x:row r="130" s="23" customFormat="1" ht="15.75" customHeight="1"/>
    <x:row r="131" s="23" customFormat="1" ht="15.75" customHeight="1"/>
    <x:row r="132" s="23" customFormat="1" ht="15.75" customHeight="1"/>
    <x:row r="133" s="23" customFormat="1" ht="15.75" customHeight="1"/>
    <x:row r="134" s="23" customFormat="1" ht="15.75" customHeight="1"/>
    <x:row r="135" s="23" customFormat="1" ht="15.75" customHeight="1"/>
    <x:row r="136" s="23" customFormat="1" ht="15.75" customHeight="1"/>
    <x:row r="137" s="23" customFormat="1" ht="15.75" customHeight="1"/>
    <x:row r="138" s="23" customFormat="1" ht="15.75" customHeight="1"/>
    <x:row r="139" s="23" customFormat="1" ht="15.75" customHeight="1"/>
    <x:row r="140" s="23" customFormat="1" ht="15.75" customHeight="1"/>
    <x:row r="141" s="23" customFormat="1" ht="15.75" customHeight="1"/>
    <x:row r="142" s="23" customFormat="1" ht="15.75" customHeight="1"/>
    <x:row r="143" s="23" customFormat="1" ht="15.75" customHeight="1"/>
    <x:row r="144" s="23" customFormat="1" ht="15.75" customHeight="1"/>
    <x:row r="145" s="23" customFormat="1" ht="15.75" customHeight="1"/>
    <x:row r="146" s="23" customFormat="1" ht="15.75" customHeight="1"/>
    <x:row r="147" s="23" customFormat="1" ht="15.75" customHeight="1"/>
    <x:row r="148" s="23" customFormat="1" ht="15.75" customHeight="1"/>
    <x:row r="149" s="23" customFormat="1" ht="15.75" customHeight="1"/>
    <x:row r="150" s="23" customFormat="1" ht="15.75" customHeight="1"/>
    <x:row r="151" s="23" customFormat="1" ht="15.75" customHeight="1"/>
    <x:row r="152" s="23" customFormat="1" ht="15.75" customHeight="1"/>
    <x:row r="153" s="23" customFormat="1" ht="15.75" customHeight="1"/>
    <x:row r="154" s="23" customFormat="1" ht="15.75" customHeight="1"/>
    <x:row r="155" s="23" customFormat="1" ht="15.75" customHeight="1"/>
    <x:row r="156" s="23" customFormat="1" ht="15.75" customHeight="1"/>
    <x:row r="157" s="23" customFormat="1" ht="15.75" customHeight="1"/>
    <x:row r="158" s="23" customFormat="1" ht="15.75" customHeight="1"/>
    <x:row r="159" s="23" customFormat="1" ht="15.75" customHeight="1"/>
    <x:row r="160" s="23" customFormat="1" ht="15.75" customHeight="1"/>
    <x:row r="161" s="23" customFormat="1" ht="15.75" customHeight="1"/>
    <x:row r="162" s="23" customFormat="1" ht="15.75" customHeight="1"/>
    <x:row r="163" s="23" customFormat="1" ht="15.75" customHeight="1"/>
    <x:row r="164" s="23" customFormat="1" ht="15.75" customHeight="1"/>
    <x:row r="165" s="23" customFormat="1" ht="15.75" customHeight="1"/>
    <x:row r="166" s="23" customFormat="1" ht="15.75" customHeight="1"/>
    <x:row r="167" s="23" customFormat="1" ht="15.75" customHeight="1"/>
    <x:row r="168" s="23" customFormat="1" ht="15.75" customHeight="1"/>
    <x:row r="169" s="23" customFormat="1" ht="15.75" customHeight="1"/>
    <x:row r="170" s="23" customFormat="1" ht="15.75" customHeight="1"/>
    <x:row r="171" s="23" customFormat="1" ht="15.75" customHeight="1"/>
    <x:row r="172" s="23" customFormat="1" ht="15.75" customHeight="1"/>
    <x:row r="173" s="23" customFormat="1" ht="15.75" customHeight="1"/>
    <x:row r="174" s="23" customFormat="1" ht="15.75" customHeight="1"/>
    <x:row r="175" s="23" customFormat="1" ht="15.75" customHeight="1"/>
    <x:row r="176" s="23" customFormat="1" ht="15.75" customHeight="1"/>
    <x:row r="177" s="23" customFormat="1" ht="15.75" customHeight="1"/>
    <x:row r="178" s="23" customFormat="1" ht="15.75" customHeight="1"/>
    <x:row r="179" s="23" customFormat="1" ht="15.75" customHeight="1"/>
    <x:row r="180" s="23" customFormat="1" ht="15.75" customHeight="1"/>
    <x:row r="181" s="23" customFormat="1" ht="15.75" customHeight="1"/>
    <x:row r="182" s="23" customFormat="1" ht="15.75" customHeight="1"/>
    <x:row r="183" s="23" customFormat="1" ht="15.75" customHeight="1"/>
    <x:row r="184" s="23" customFormat="1" ht="15.75" customHeight="1"/>
    <x:row r="185" s="23" customFormat="1" ht="15.75" customHeight="1"/>
    <x:row r="186" s="23" customFormat="1" ht="15.75" customHeight="1"/>
    <x:row r="187" s="23" customFormat="1" ht="15.75" customHeight="1"/>
    <x:row r="188" s="23" customFormat="1" ht="15.75" customHeight="1"/>
    <x:row r="189" s="23" customFormat="1" ht="15.75" customHeight="1"/>
    <x:row r="190" s="23" customFormat="1" ht="15.75" customHeight="1"/>
    <x:row r="191" s="23" customFormat="1" ht="15.75" customHeight="1"/>
    <x:row r="192" s="23" customFormat="1" ht="15.75" customHeight="1"/>
    <x:row r="193" s="23" customFormat="1" ht="15.75" customHeight="1"/>
    <x:row r="194" s="23" customFormat="1" ht="15.75" customHeight="1"/>
    <x:row r="195" s="23" customFormat="1" ht="15.75" customHeight="1"/>
    <x:row r="196" s="23" customFormat="1" ht="15.75" customHeight="1"/>
    <x:row r="197" s="23" customFormat="1" ht="15.75" customHeight="1"/>
    <x:row r="198" s="23" customFormat="1" ht="15.75" customHeight="1"/>
    <x:row r="199" s="23" customFormat="1" ht="15.75" customHeight="1"/>
    <x:row r="200" s="23" customFormat="1" ht="15.75" customHeight="1"/>
    <x:row r="201" s="23" customFormat="1" ht="15.75" customHeight="1"/>
    <x:row r="202" s="23" customFormat="1" ht="15.75" customHeight="1"/>
    <x:row r="203" s="23" customFormat="1" ht="15.75" customHeight="1"/>
    <x:row r="204" s="23" customFormat="1" ht="15.75" customHeight="1"/>
    <x:row r="205" s="23" customFormat="1" ht="15.75" customHeight="1"/>
    <x:row r="206" s="23" customFormat="1" ht="15.75" customHeight="1"/>
    <x:row r="207" s="23" customFormat="1" ht="15.75" customHeight="1"/>
    <x:row r="208" s="23" customFormat="1" ht="15.75" customHeight="1"/>
    <x:row r="209" s="23" customFormat="1" ht="15.75" customHeight="1"/>
    <x:row r="210" s="23" customFormat="1" ht="15.75" customHeight="1"/>
    <x:row r="211" s="23" customFormat="1" ht="15.75" customHeight="1"/>
    <x:row r="212" s="23" customFormat="1" ht="15.75" customHeight="1"/>
    <x:row r="213" s="23" customFormat="1" ht="15.75" customHeight="1"/>
    <x:row r="214" s="23" customFormat="1" ht="15.75" customHeight="1"/>
    <x:row r="215" s="23" customFormat="1" ht="15.75" customHeight="1"/>
    <x:row r="216" s="23" customFormat="1" ht="15.75" customHeight="1"/>
    <x:row r="217" s="23" customFormat="1" ht="15.75" customHeight="1"/>
    <x:row r="218" s="23" customFormat="1" ht="15.75" customHeight="1"/>
    <x:row r="219" s="23" customFormat="1" ht="15.75" customHeight="1"/>
    <x:row r="220" s="23" customFormat="1" ht="15.75" customHeight="1"/>
    <x:row r="221" s="23" customFormat="1" ht="15.75" customHeight="1"/>
    <x:row r="222" s="23" customFormat="1" ht="15.75" customHeight="1"/>
    <x:row r="223" s="23" customFormat="1" ht="15.75" customHeight="1"/>
    <x:row r="224" s="23" customFormat="1" ht="15.75" customHeight="1"/>
    <x:row r="225" s="23" customFormat="1" ht="15.75" customHeight="1"/>
    <x:row r="226" s="23" customFormat="1" ht="15.75" customHeight="1"/>
    <x:row r="227" s="23" customFormat="1" ht="15.75" customHeight="1"/>
    <x:row r="228" s="23" customFormat="1" ht="15.75" customHeight="1"/>
    <x:row r="229" s="23" customFormat="1" ht="15.75" customHeight="1"/>
    <x:row r="230" s="23" customFormat="1" ht="15.75" customHeight="1"/>
    <x:row r="231" s="23" customFormat="1" ht="15.75" customHeight="1"/>
    <x:row r="232" s="23" customFormat="1" ht="15.75" customHeight="1"/>
    <x:row r="233" s="23" customFormat="1" ht="15.75" customHeight="1"/>
    <x:row r="234" s="23" customFormat="1" ht="15.75" customHeight="1"/>
    <x:row r="235" s="23" customFormat="1" ht="15.75" customHeight="1"/>
    <x:row r="236" s="23" customFormat="1" ht="15.75" customHeight="1"/>
    <x:row r="237" s="23" customFormat="1" ht="15.75" customHeight="1"/>
    <x:row r="238" s="23" customFormat="1" ht="15.75" customHeight="1"/>
    <x:row r="239" s="23" customFormat="1" ht="15.75" customHeight="1"/>
    <x:row r="240" s="23" customFormat="1" ht="15.75" customHeight="1"/>
    <x:row r="241" s="23" customFormat="1" ht="15.75" customHeight="1"/>
    <x:row r="242" s="23" customFormat="1" ht="15.75" customHeight="1"/>
    <x:row r="243" s="23" customFormat="1" ht="15.75" customHeight="1"/>
    <x:row r="244" s="23" customFormat="1" ht="15.75" customHeight="1"/>
    <x:row r="245" s="23" customFormat="1" ht="15.75" customHeight="1"/>
    <x:row r="246" s="23" customFormat="1" ht="15.75" customHeight="1"/>
    <x:row r="247" s="23" customFormat="1" ht="15.75" customHeight="1"/>
    <x:row r="248" s="23" customFormat="1" ht="15.75" customHeight="1"/>
    <x:row r="249" s="23" customFormat="1" ht="15.75" customHeight="1"/>
    <x:row r="250" s="23" customFormat="1" ht="15.75" customHeight="1"/>
    <x:row r="251" s="23" customFormat="1" ht="15.75" customHeight="1"/>
    <x:row r="252" s="23" customFormat="1" ht="15.75" customHeight="1"/>
    <x:row r="253" s="23" customFormat="1" ht="15.75" customHeight="1"/>
    <x:row r="254" s="23" customFormat="1" ht="15.75" customHeight="1"/>
    <x:row r="255" s="23" customFormat="1" ht="15.75" customHeight="1"/>
    <x:row r="256" s="23" customFormat="1" ht="15.75" customHeight="1"/>
    <x:row r="257" s="23" customFormat="1" ht="15.75" customHeight="1"/>
    <x:row r="258" s="23" customFormat="1" ht="15.75" customHeight="1"/>
    <x:row r="259" s="23" customFormat="1" ht="15.75" customHeight="1"/>
    <x:row r="260" s="23" customFormat="1" ht="15.75" customHeight="1"/>
    <x:row r="261" s="23" customFormat="1" ht="15.75" customHeight="1"/>
    <x:row r="262" s="23" customFormat="1" ht="15.75" customHeight="1"/>
    <x:row r="263" s="23" customFormat="1" ht="15.75" customHeight="1"/>
    <x:row r="264" s="23" customFormat="1" ht="15.75" customHeight="1"/>
    <x:row r="265" s="23" customFormat="1" ht="15.75" customHeight="1"/>
    <x:row r="266" s="23" customFormat="1" ht="15.75" customHeight="1"/>
    <x:row r="267" s="23" customFormat="1" ht="15.75" customHeight="1"/>
    <x:row r="268" s="23" customFormat="1" ht="15.75" customHeight="1"/>
    <x:row r="269" s="23" customFormat="1" ht="15.75" customHeight="1"/>
    <x:row r="270" s="23" customFormat="1" ht="15.75" customHeight="1"/>
    <x:row r="271" s="23" customFormat="1" ht="15.75" customHeight="1"/>
    <x:row r="272" s="23" customFormat="1" ht="15.75" customHeight="1"/>
    <x:row r="273" s="23" customFormat="1" ht="15.75" customHeight="1"/>
    <x:row r="274" s="23" customFormat="1" ht="15.75" customHeight="1"/>
    <x:row r="275" s="23" customFormat="1" ht="15.75" customHeight="1"/>
    <x:row r="276" s="23" customFormat="1" ht="15.75" customHeight="1"/>
    <x:row r="277" s="23" customFormat="1" ht="15.75" customHeight="1"/>
    <x:row r="278" s="23" customFormat="1" ht="15.75" customHeight="1"/>
    <x:row r="279" s="23" customFormat="1" ht="15.75" customHeight="1"/>
    <x:row r="280" s="23" customFormat="1" ht="15.75" customHeight="1"/>
    <x:row r="281" s="23" customFormat="1" ht="15.75" customHeight="1"/>
    <x:row r="282" s="23" customFormat="1" ht="15.75" customHeight="1"/>
    <x:row r="283" s="23" customFormat="1" ht="15.75" customHeight="1"/>
    <x:row r="284" s="23" customFormat="1" ht="15.75" customHeight="1"/>
    <x:row r="285" s="23" customFormat="1" ht="15.75" customHeight="1"/>
    <x:row r="286" s="23" customFormat="1" ht="15.75" customHeight="1"/>
    <x:row r="287" s="23" customFormat="1" ht="15.75" customHeight="1"/>
    <x:row r="288" s="23" customFormat="1" ht="15.75" customHeight="1"/>
    <x:row r="289" s="23" customFormat="1" ht="15.75" customHeight="1"/>
    <x:row r="290" s="23" customFormat="1" ht="15.75" customHeight="1"/>
    <x:row r="291" s="23" customFormat="1" ht="15.75" customHeight="1"/>
    <x:row r="292" s="23" customFormat="1" ht="15.75" customHeight="1"/>
    <x:row r="293" s="23" customFormat="1" ht="15.75" customHeight="1"/>
    <x:row r="294" s="23" customFormat="1" ht="15.75" customHeight="1"/>
    <x:row r="295" s="23" customFormat="1" ht="15.75" customHeight="1"/>
    <x:row r="296" s="23" customFormat="1" ht="15.75" customHeight="1"/>
    <x:row r="297" s="23" customFormat="1" ht="15.75" customHeight="1"/>
    <x:row r="298" s="23" customFormat="1" ht="15.75" customHeight="1"/>
    <x:row r="299" s="23" customFormat="1" ht="15.75" customHeight="1"/>
    <x:row r="300" s="23" customFormat="1" ht="15.75" customHeight="1"/>
    <x:row r="301" s="23" customFormat="1" ht="15.75" customHeight="1"/>
    <x:row r="302" s="23" customFormat="1" ht="15.75" customHeight="1"/>
    <x:row r="303" s="23" customFormat="1" ht="15.75" customHeight="1"/>
    <x:row r="304" s="23" customFormat="1" ht="15.75" customHeight="1"/>
    <x:row r="305" s="23" customFormat="1" ht="15.75" customHeight="1"/>
    <x:row r="306" s="23" customFormat="1" ht="15.75" customHeight="1"/>
    <x:row r="307" s="23" customFormat="1" ht="15.75" customHeight="1"/>
    <x:row r="308" s="23" customFormat="1" ht="15.75" customHeight="1"/>
    <x:row r="309" s="23" customFormat="1" ht="15.75" customHeight="1"/>
    <x:row r="310" s="23" customFormat="1" ht="15.75" customHeight="1"/>
    <x:row r="311" s="23" customFormat="1" ht="15.75" customHeight="1"/>
    <x:row r="312" s="23" customFormat="1" ht="15.75" customHeight="1"/>
    <x:row r="313" s="23" customFormat="1" ht="15.75" customHeight="1"/>
    <x:row r="314" s="23" customFormat="1" ht="15.75" customHeight="1"/>
    <x:row r="315" s="23" customFormat="1" ht="15.75" customHeight="1"/>
    <x:row r="316" s="23" customFormat="1" ht="15.75" customHeight="1"/>
    <x:row r="317" s="23" customFormat="1" ht="15.75" customHeight="1"/>
    <x:row r="318" s="23" customFormat="1" ht="15.75" customHeight="1"/>
    <x:row r="319" s="23" customFormat="1" ht="15.75" customHeight="1"/>
    <x:row r="320" s="23" customFormat="1" ht="15.75" customHeight="1"/>
    <x:row r="321" s="23" customFormat="1" ht="15.75" customHeight="1"/>
    <x:row r="322" s="23" customFormat="1" ht="15.75" customHeight="1"/>
    <x:row r="323" s="23" customFormat="1" ht="15.75" customHeight="1"/>
    <x:row r="324" s="23" customFormat="1" ht="15.75" customHeight="1"/>
    <x:row r="325" s="23" customFormat="1" ht="15.75" customHeight="1"/>
    <x:row r="326" s="23" customFormat="1" ht="15.75" customHeight="1"/>
    <x:row r="327" s="23" customFormat="1" ht="15.75" customHeight="1"/>
    <x:row r="328" s="23" customFormat="1" ht="15.75" customHeight="1"/>
    <x:row r="329" s="23" customFormat="1" ht="15.75" customHeight="1"/>
    <x:row r="330" s="23" customFormat="1" ht="15.75" customHeight="1"/>
    <x:row r="331" s="23" customFormat="1" ht="15.75" customHeight="1"/>
    <x:row r="332" s="23" customFormat="1" ht="15.75" customHeight="1"/>
    <x:row r="333" s="23" customFormat="1" ht="15.75" customHeight="1"/>
    <x:row r="334" s="23" customFormat="1" ht="15.75" customHeight="1"/>
    <x:row r="335" s="23" customFormat="1" ht="15.75" customHeight="1"/>
    <x:row r="336" s="23" customFormat="1" ht="15.75" customHeight="1"/>
    <x:row r="337" s="23" customFormat="1" ht="15.75" customHeight="1"/>
    <x:row r="338" s="23" customFormat="1" ht="15.75" customHeight="1"/>
    <x:row r="339" s="23" customFormat="1" ht="15.75" customHeight="1"/>
    <x:row r="340" s="23" customFormat="1" ht="15.75" customHeight="1"/>
    <x:row r="341" s="23" customFormat="1" ht="15.75" customHeight="1"/>
    <x:row r="342" s="23" customFormat="1" ht="15.75" customHeight="1"/>
    <x:row r="343" s="23" customFormat="1" ht="15.75" customHeight="1"/>
    <x:row r="344" s="23" customFormat="1" ht="15.75" customHeight="1"/>
    <x:row r="345" s="23" customFormat="1" ht="15.75" customHeight="1"/>
    <x:row r="346" s="23" customFormat="1" ht="15.75" customHeight="1"/>
    <x:row r="347" s="23" customFormat="1" ht="15.75" customHeight="1"/>
    <x:row r="348" s="23" customFormat="1" ht="15.75" customHeight="1"/>
    <x:row r="349" s="23" customFormat="1" ht="15.75" customHeight="1"/>
    <x:row r="350" s="23" customFormat="1" ht="15.75" customHeight="1"/>
    <x:row r="351" s="23" customFormat="1" ht="15.75" customHeight="1"/>
    <x:row r="352" s="23" customFormat="1" ht="15.75" customHeight="1"/>
    <x:row r="353" s="23" customFormat="1" ht="15.75" customHeight="1"/>
    <x:row r="354" s="23" customFormat="1" ht="15.75" customHeight="1"/>
    <x:row r="355" s="23" customFormat="1" ht="15.75" customHeight="1"/>
    <x:row r="356" s="23" customFormat="1" ht="15.75" customHeight="1"/>
    <x:row r="357" s="23" customFormat="1" ht="15.75" customHeight="1"/>
    <x:row r="358" s="23" customFormat="1" ht="15.75" customHeight="1"/>
    <x:row r="359" s="23" customFormat="1" ht="15.75" customHeight="1"/>
    <x:row r="360" s="23" customFormat="1" ht="15.75" customHeight="1"/>
    <x:row r="361" s="23" customFormat="1" ht="15.75" customHeight="1"/>
    <x:row r="362" s="23" customFormat="1" ht="15.75" customHeight="1"/>
    <x:row r="363" s="23" customFormat="1" ht="15.75" customHeight="1"/>
    <x:row r="364" s="23" customFormat="1" ht="15.75" customHeight="1"/>
    <x:row r="365" s="23" customFormat="1" ht="15.75" customHeight="1"/>
    <x:row r="366" s="23" customFormat="1" ht="15.75" customHeight="1"/>
    <x:row r="367" s="23" customFormat="1" ht="15.75" customHeight="1"/>
    <x:row r="368" s="23" customFormat="1" ht="15.75" customHeight="1"/>
    <x:row r="369" s="23" customFormat="1" ht="15.75" customHeight="1"/>
    <x:row r="370" s="23" customFormat="1" ht="15.75" customHeight="1"/>
    <x:row r="371" s="23" customFormat="1" ht="15.75" customHeight="1"/>
    <x:row r="372" s="23" customFormat="1" ht="15.75" customHeight="1"/>
    <x:row r="373" s="23" customFormat="1" ht="15.75" customHeight="1"/>
    <x:row r="374" s="23" customFormat="1" ht="15.75" customHeight="1"/>
    <x:row r="375" s="23" customFormat="1" ht="15.75" customHeight="1"/>
    <x:row r="376" s="23" customFormat="1" ht="15.75" customHeight="1"/>
    <x:row r="377" s="23" customFormat="1" ht="15.75" customHeight="1"/>
    <x:row r="378" s="23" customFormat="1" ht="15.75" customHeight="1"/>
    <x:row r="379" s="23" customFormat="1" ht="15.75" customHeight="1"/>
    <x:row r="380" s="23" customFormat="1" ht="15.75" customHeight="1"/>
    <x:row r="381" s="23" customFormat="1" ht="15.75" customHeight="1"/>
    <x:row r="382" s="23" customFormat="1" ht="15.75" customHeight="1"/>
    <x:row r="383" s="23" customFormat="1" ht="15.75" customHeight="1"/>
    <x:row r="384" s="23" customFormat="1" ht="15.75" customHeight="1"/>
    <x:row r="385" s="23" customFormat="1" ht="15.75" customHeight="1"/>
    <x:row r="386" s="23" customFormat="1" ht="15.75" customHeight="1"/>
    <x:row r="387" s="23" customFormat="1" ht="15.75" customHeight="1"/>
    <x:row r="388" s="23" customFormat="1" ht="15.75" customHeight="1"/>
    <x:row r="389" s="23" customFormat="1" ht="15.75" customHeight="1"/>
    <x:row r="390" s="23" customFormat="1" ht="15.75" customHeight="1"/>
    <x:row r="391" s="23" customFormat="1" ht="15.75" customHeight="1"/>
    <x:row r="392" s="23" customFormat="1" ht="15.75" customHeight="1"/>
    <x:row r="393" s="23" customFormat="1" ht="15.75" customHeight="1"/>
    <x:row r="394" s="23" customFormat="1" ht="15.75" customHeight="1"/>
    <x:row r="395" s="23" customFormat="1" ht="15.75" customHeight="1"/>
    <x:row r="396" s="23" customFormat="1" ht="15.75" customHeight="1"/>
    <x:row r="397" s="23" customFormat="1" ht="15.75" customHeight="1"/>
    <x:row r="398" s="23" customFormat="1" ht="15.75" customHeight="1"/>
    <x:row r="399" s="23" customFormat="1" ht="15.75" customHeight="1"/>
    <x:row r="400" s="23" customFormat="1" ht="15.75" customHeight="1"/>
    <x:row r="401" s="23" customFormat="1" ht="15.75" customHeight="1"/>
    <x:row r="402" s="23" customFormat="1" ht="15.75" customHeight="1"/>
    <x:row r="403" s="23" customFormat="1" ht="15.75" customHeight="1"/>
    <x:row r="404" s="23" customFormat="1" ht="15.75" customHeight="1"/>
    <x:row r="405" s="23" customFormat="1" ht="15.75" customHeight="1"/>
    <x:row r="406" s="23" customFormat="1" ht="15.75" customHeight="1"/>
    <x:row r="407" s="23" customFormat="1" ht="15.75" customHeight="1"/>
    <x:row r="408" s="23" customFormat="1" ht="15.75" customHeight="1"/>
    <x:row r="409" s="23" customFormat="1" ht="15.75" customHeight="1"/>
    <x:row r="410" s="23" customFormat="1" ht="15.75" customHeight="1"/>
    <x:row r="411" s="23" customFormat="1" ht="15.75" customHeight="1"/>
    <x:row r="412" s="23" customFormat="1" ht="15.75" customHeight="1"/>
    <x:row r="413" s="23" customFormat="1" ht="15.75" customHeight="1"/>
    <x:row r="414" s="23" customFormat="1" ht="15.75" customHeight="1"/>
    <x:row r="415" s="23" customFormat="1" ht="15.75" customHeight="1"/>
    <x:row r="416" s="23" customFormat="1" ht="15.75" customHeight="1"/>
    <x:row r="417" s="23" customFormat="1" ht="15.75" customHeight="1"/>
    <x:row r="418" s="23" customFormat="1" ht="15.75" customHeight="1"/>
    <x:row r="419" s="23" customFormat="1" ht="15.75" customHeight="1"/>
    <x:row r="420" s="23" customFormat="1" ht="15.75" customHeight="1"/>
    <x:row r="421" s="23" customFormat="1" ht="15.75" customHeight="1"/>
    <x:row r="422" s="23" customFormat="1" ht="15.75" customHeight="1"/>
    <x:row r="423" s="23" customFormat="1" ht="15.75" customHeight="1"/>
    <x:row r="424" s="23" customFormat="1" ht="15.75" customHeight="1"/>
    <x:row r="425" s="23" customFormat="1" ht="15.75" customHeight="1"/>
    <x:row r="426" s="23" customFormat="1" ht="15.75" customHeight="1"/>
    <x:row r="427" s="23" customFormat="1" ht="15.75" customHeight="1"/>
    <x:row r="428" s="23" customFormat="1" ht="15.75" customHeight="1"/>
    <x:row r="429" s="23" customFormat="1" ht="15.75" customHeight="1"/>
    <x:row r="430" s="23" customFormat="1" ht="15.75" customHeight="1"/>
    <x:row r="431" s="23" customFormat="1" ht="15.75" customHeight="1"/>
    <x:row r="432" s="23" customFormat="1" ht="15.75" customHeight="1"/>
    <x:row r="433" s="23" customFormat="1" ht="15.75" customHeight="1"/>
    <x:row r="434" s="23" customFormat="1" ht="15.75" customHeight="1"/>
    <x:row r="435" s="23" customFormat="1" ht="15.75" customHeight="1"/>
    <x:row r="436" s="23" customFormat="1" ht="15.75" customHeight="1"/>
    <x:row r="437" s="23" customFormat="1" ht="15.75" customHeight="1"/>
    <x:row r="438" s="23" customFormat="1" ht="15.75" customHeight="1"/>
    <x:row r="439" s="23" customFormat="1" ht="15.75" customHeight="1"/>
    <x:row r="440" s="23" customFormat="1" ht="15.75" customHeight="1"/>
    <x:row r="441" s="23" customFormat="1" ht="15.75" customHeight="1"/>
    <x:row r="442" s="23" customFormat="1" ht="15.75" customHeight="1"/>
    <x:row r="443" s="23" customFormat="1" ht="15.75" customHeight="1"/>
    <x:row r="444" s="23" customFormat="1" ht="15.75" customHeight="1"/>
    <x:row r="445" s="23" customFormat="1" ht="15.75" customHeight="1"/>
    <x:row r="446" s="23" customFormat="1" ht="15.75" customHeight="1"/>
    <x:row r="447" s="23" customFormat="1" ht="15.75" customHeight="1"/>
    <x:row r="448" s="23" customFormat="1" ht="15.75" customHeight="1"/>
    <x:row r="449" s="23" customFormat="1" ht="15.75" customHeight="1"/>
    <x:row r="450" s="23" customFormat="1" ht="15.75" customHeight="1"/>
    <x:row r="451" s="23" customFormat="1" ht="15.75" customHeight="1"/>
    <x:row r="452" s="23" customFormat="1" ht="15.75" customHeight="1"/>
    <x:row r="453" s="23" customFormat="1" ht="15.75" customHeight="1"/>
    <x:row r="454" s="23" customFormat="1" ht="15.75" customHeight="1"/>
    <x:row r="455" s="23" customFormat="1" ht="15.75" customHeight="1"/>
    <x:row r="456" s="23" customFormat="1" ht="15.75" customHeight="1"/>
    <x:row r="457" s="23" customFormat="1" ht="15.75" customHeight="1"/>
    <x:row r="458" s="23" customFormat="1" ht="15.75" customHeight="1"/>
    <x:row r="459" s="23" customFormat="1" ht="15.75" customHeight="1"/>
    <x:row r="460" s="23" customFormat="1" ht="15.75" customHeight="1"/>
    <x:row r="461" s="23" customFormat="1" ht="15.75" customHeight="1"/>
    <x:row r="462" s="23" customFormat="1" ht="15.75" customHeight="1"/>
    <x:row r="463" s="23" customFormat="1" ht="15.75" customHeight="1"/>
    <x:row r="464" s="23" customFormat="1" ht="15.75" customHeight="1"/>
    <x:row r="465" s="23" customFormat="1" ht="15.75" customHeight="1"/>
    <x:row r="466" s="23" customFormat="1" ht="15.75" customHeight="1"/>
    <x:row r="467" s="23" customFormat="1" ht="15.75" customHeight="1"/>
    <x:row r="468" s="23" customFormat="1" ht="15.75" customHeight="1"/>
    <x:row r="469" s="23" customFormat="1" ht="15.75" customHeight="1"/>
    <x:row r="470" s="23" customFormat="1" ht="15.75" customHeight="1"/>
    <x:row r="471" s="23" customFormat="1" ht="15.75" customHeight="1"/>
    <x:row r="472" s="23" customFormat="1" ht="15.75" customHeight="1"/>
    <x:row r="473" s="23" customFormat="1" ht="15.75" customHeight="1"/>
    <x:row r="474" s="23" customFormat="1" ht="15.75" customHeight="1"/>
    <x:row r="475" s="23" customFormat="1" ht="15.75" customHeight="1"/>
    <x:row r="476" s="23" customFormat="1" ht="15.75" customHeight="1"/>
    <x:row r="477" s="23" customFormat="1" ht="15.75" customHeight="1"/>
    <x:row r="478" s="23" customFormat="1" ht="15.75" customHeight="1"/>
    <x:row r="479" s="23" customFormat="1" ht="15.75" customHeight="1"/>
    <x:row r="480" s="23" customFormat="1" ht="15.75" customHeight="1"/>
    <x:row r="481" s="23" customFormat="1" ht="15.75" customHeight="1"/>
    <x:row r="482" s="23" customFormat="1" ht="15.75" customHeight="1"/>
    <x:row r="483" s="23" customFormat="1" ht="15.75" customHeight="1"/>
    <x:row r="484" s="23" customFormat="1" ht="15.75" customHeight="1"/>
    <x:row r="485" s="23" customFormat="1" ht="15.75" customHeight="1"/>
    <x:row r="486" s="23" customFormat="1" ht="15.75" customHeight="1"/>
    <x:row r="487" s="23" customFormat="1" ht="15.75" customHeight="1"/>
    <x:row r="488" s="23" customFormat="1" ht="15.75" customHeight="1"/>
    <x:row r="489" s="23" customFormat="1" ht="15.75" customHeight="1"/>
    <x:row r="490" s="23" customFormat="1" ht="15.75" customHeight="1"/>
    <x:row r="491" s="23" customFormat="1" ht="15.75" customHeight="1"/>
    <x:row r="492" s="23" customFormat="1" ht="15.75" customHeight="1"/>
    <x:row r="493" s="23" customFormat="1" ht="15.75" customHeight="1"/>
    <x:row r="494" s="23" customFormat="1" ht="15.75" customHeight="1"/>
    <x:row r="495" s="23" customFormat="1" ht="15.75" customHeight="1"/>
    <x:row r="496" s="23" customFormat="1" ht="15.75" customHeight="1"/>
    <x:row r="497" s="23" customFormat="1" ht="15.75" customHeight="1"/>
    <x:row r="498" s="23" customFormat="1" ht="15.75" customHeight="1"/>
    <x:row r="499" s="23" customFormat="1" ht="15.75" customHeight="1"/>
    <x:row r="500" s="23" customFormat="1" ht="15.75" customHeight="1"/>
    <x:row r="501" s="23" customFormat="1" ht="15.75" customHeight="1"/>
    <x:row r="502" s="23" customFormat="1" ht="15.75" customHeight="1"/>
    <x:row r="503" s="23" customFormat="1" ht="15.75" customHeight="1"/>
    <x:row r="504" s="23" customFormat="1" ht="15.75" customHeight="1"/>
    <x:row r="505" s="23" customFormat="1" ht="15.75" customHeight="1"/>
    <x:row r="506" s="23" customFormat="1" ht="15.75" customHeight="1"/>
    <x:row r="507" s="23" customFormat="1" ht="15.75" customHeight="1"/>
    <x:row r="508" s="23" customFormat="1" ht="15.75" customHeight="1"/>
    <x:row r="509" s="23" customFormat="1" ht="15.75" customHeight="1"/>
    <x:row r="510" s="23" customFormat="1" ht="15.75" customHeight="1"/>
    <x:row r="511" s="23" customFormat="1" ht="15.75" customHeight="1"/>
    <x:row r="512" s="23" customFormat="1" ht="15.75" customHeight="1"/>
    <x:row r="513" s="23" customFormat="1" ht="15.75" customHeight="1"/>
    <x:row r="514" s="23" customFormat="1" ht="15.75" customHeight="1"/>
    <x:row r="515" s="23" customFormat="1" ht="15.75" customHeight="1"/>
    <x:row r="516" s="23" customFormat="1" ht="15.75" customHeight="1"/>
    <x:row r="517" s="23" customFormat="1" ht="15.75" customHeight="1"/>
    <x:row r="518" s="23" customFormat="1" ht="15.75" customHeight="1"/>
    <x:row r="519" s="23" customFormat="1" ht="15.75" customHeight="1"/>
    <x:row r="520" s="23" customFormat="1" ht="15.75" customHeight="1"/>
    <x:row r="521" s="23" customFormat="1" ht="15.75" customHeight="1"/>
    <x:row r="522" s="23" customFormat="1" ht="15.75" customHeight="1"/>
    <x:row r="523" s="23" customFormat="1" ht="15.75" customHeight="1"/>
    <x:row r="524" s="23" customFormat="1" ht="15.75" customHeight="1"/>
    <x:row r="525" s="23" customFormat="1" ht="15.75" customHeight="1"/>
    <x:row r="526" s="23" customFormat="1" ht="15.75" customHeight="1"/>
    <x:row r="527" s="23" customFormat="1" ht="15.75" customHeight="1"/>
    <x:row r="528" s="23" customFormat="1" ht="15.75" customHeight="1"/>
    <x:row r="529" s="23" customFormat="1" ht="15.75" customHeight="1"/>
    <x:row r="530" s="23" customFormat="1" ht="15.75" customHeight="1"/>
    <x:row r="531" s="23" customFormat="1" ht="15.75" customHeight="1"/>
    <x:row r="532" s="23" customFormat="1" ht="15.75" customHeight="1"/>
    <x:row r="533" s="23" customFormat="1" ht="15.75" customHeight="1"/>
    <x:row r="534" s="23" customFormat="1" ht="15.75" customHeight="1"/>
    <x:row r="535" s="23" customFormat="1" ht="15.75" customHeight="1"/>
    <x:row r="536" s="23" customFormat="1" ht="15.75" customHeight="1"/>
    <x:row r="537" s="23" customFormat="1" ht="15.75" customHeight="1"/>
    <x:row r="538" s="23" customFormat="1" ht="15.75" customHeight="1"/>
    <x:row r="539" s="23" customFormat="1" ht="15.75" customHeight="1"/>
    <x:row r="540" s="23" customFormat="1" ht="15.75" customHeight="1"/>
    <x:row r="541" s="23" customFormat="1" ht="15.75" customHeight="1"/>
    <x:row r="542" s="23" customFormat="1" ht="15.75" customHeight="1"/>
    <x:row r="543" s="23" customFormat="1" ht="15.75" customHeight="1"/>
    <x:row r="544" s="23" customFormat="1" ht="15.75" customHeight="1"/>
    <x:row r="545" s="23" customFormat="1" ht="15.75" customHeight="1"/>
    <x:row r="546" s="23" customFormat="1" ht="15.75" customHeight="1"/>
    <x:row r="547" s="23" customFormat="1" ht="15.75" customHeight="1"/>
    <x:row r="548" s="23" customFormat="1" ht="15.75" customHeight="1"/>
    <x:row r="549" s="23" customFormat="1" ht="15.75" customHeight="1"/>
    <x:row r="550" s="23" customFormat="1" ht="15.75" customHeight="1"/>
    <x:row r="551" s="23" customFormat="1" ht="15.75" customHeight="1"/>
    <x:row r="552" s="23" customFormat="1" ht="15.75" customHeight="1"/>
    <x:row r="553" s="23" customFormat="1" ht="15.75" customHeight="1"/>
    <x:row r="554" s="23" customFormat="1" ht="15.75" customHeight="1"/>
    <x:row r="555" s="23" customFormat="1" ht="15.75" customHeight="1"/>
    <x:row r="556" s="23" customFormat="1" ht="15.75" customHeight="1"/>
    <x:row r="557" s="23" customFormat="1" ht="15.75" customHeight="1"/>
    <x:row r="558" s="23" customFormat="1" ht="15.75" customHeight="1"/>
    <x:row r="559" s="23" customFormat="1" ht="15.75" customHeight="1"/>
    <x:row r="560" s="23" customFormat="1" ht="15.75" customHeight="1"/>
    <x:row r="561" s="23" customFormat="1" ht="15.75" customHeight="1"/>
    <x:row r="562" s="23" customFormat="1" ht="15.75" customHeight="1"/>
    <x:row r="563" s="23" customFormat="1" ht="15.75" customHeight="1"/>
    <x:row r="564" s="23" customFormat="1" ht="15.75" customHeight="1"/>
    <x:row r="565" s="23" customFormat="1" ht="15.75" customHeight="1"/>
    <x:row r="566" s="23" customFormat="1" ht="15.75" customHeight="1"/>
    <x:row r="567" s="23" customFormat="1" ht="15.75" customHeight="1"/>
    <x:row r="568" s="23" customFormat="1" ht="15.75" customHeight="1"/>
    <x:row r="569" s="23" customFormat="1" ht="15.75" customHeight="1"/>
    <x:row r="570" s="23" customFormat="1" ht="15.75" customHeight="1"/>
    <x:row r="571" s="23" customFormat="1" ht="15.75" customHeight="1"/>
    <x:row r="572" s="23" customFormat="1" ht="15.75" customHeight="1"/>
    <x:row r="573" s="23" customFormat="1" ht="15.75" customHeight="1"/>
    <x:row r="574" s="23" customFormat="1" ht="15.75" customHeight="1"/>
    <x:row r="575" s="23" customFormat="1" ht="15.75" customHeight="1"/>
    <x:row r="576" s="23" customFormat="1" ht="15.75" customHeight="1"/>
    <x:row r="577" s="23" customFormat="1" ht="15.75" customHeight="1"/>
    <x:row r="578" s="23" customFormat="1" ht="15.75" customHeight="1"/>
    <x:row r="579" s="23" customFormat="1" ht="15.75" customHeight="1"/>
    <x:row r="580" s="23" customFormat="1" ht="15.75" customHeight="1"/>
    <x:row r="581" s="23" customFormat="1" ht="15.75" customHeight="1"/>
    <x:row r="582" s="23" customFormat="1" ht="15.75" customHeight="1"/>
    <x:row r="583" s="23" customFormat="1" ht="15.75" customHeight="1"/>
    <x:row r="584" s="23" customFormat="1" ht="15.75" customHeight="1"/>
    <x:row r="585" s="23" customFormat="1" ht="15.75" customHeight="1"/>
    <x:row r="586" s="23" customFormat="1" ht="15.75" customHeight="1"/>
    <x:row r="587" s="23" customFormat="1" ht="15.75" customHeight="1"/>
    <x:row r="588" s="23" customFormat="1" ht="15.75" customHeight="1"/>
    <x:row r="589" s="23" customFormat="1" ht="15.75" customHeight="1"/>
    <x:row r="590" s="23" customFormat="1" ht="15.75" customHeight="1"/>
    <x:row r="591" s="23" customFormat="1" ht="15.75" customHeight="1"/>
    <x:row r="592" s="23" customFormat="1" ht="15.75" customHeight="1"/>
    <x:row r="593" s="23" customFormat="1" ht="15.75" customHeight="1"/>
    <x:row r="594" s="23" customFormat="1" ht="15.75" customHeight="1"/>
    <x:row r="595" s="23" customFormat="1" ht="15.75" customHeight="1"/>
    <x:row r="596" s="23" customFormat="1" ht="15.75" customHeight="1"/>
    <x:row r="597" s="23" customFormat="1" ht="15.75" customHeight="1"/>
    <x:row r="598" s="23" customFormat="1" ht="15.75" customHeight="1"/>
    <x:row r="599" s="23" customFormat="1" ht="15.75" customHeight="1"/>
    <x:row r="600" s="23" customFormat="1" ht="15.75" customHeight="1"/>
    <x:row r="601" s="23" customFormat="1" ht="15.75" customHeight="1"/>
    <x:row r="602" s="23" customFormat="1" ht="15.75" customHeight="1"/>
    <x:row r="603" s="23" customFormat="1" ht="15.75" customHeight="1"/>
    <x:row r="604" s="23" customFormat="1" ht="15.75" customHeight="1"/>
    <x:row r="605" s="23" customFormat="1" ht="15.75" customHeight="1"/>
    <x:row r="606" s="23" customFormat="1" ht="15.75" customHeight="1"/>
    <x:row r="607" s="23" customFormat="1" ht="15.75" customHeight="1"/>
    <x:row r="608" s="23" customFormat="1" ht="15.75" customHeight="1"/>
    <x:row r="609" s="23" customFormat="1" ht="15.75" customHeight="1"/>
    <x:row r="610" s="23" customFormat="1" ht="15.75" customHeight="1"/>
    <x:row r="611" s="23" customFormat="1" ht="15.75" customHeight="1"/>
    <x:row r="612" s="23" customFormat="1" ht="15.75" customHeight="1"/>
    <x:row r="613" s="23" customFormat="1" ht="15.75" customHeight="1"/>
    <x:row r="614" s="23" customFormat="1" ht="15.75" customHeight="1"/>
    <x:row r="615" s="23" customFormat="1" ht="15.75" customHeight="1"/>
    <x:row r="616" s="23" customFormat="1" ht="15.75" customHeight="1"/>
    <x:row r="617" s="23" customFormat="1" ht="15.75" customHeight="1"/>
    <x:row r="618" s="23" customFormat="1" ht="15.75" customHeight="1"/>
    <x:row r="619" s="23" customFormat="1" ht="15.75" customHeight="1"/>
    <x:row r="620" s="23" customFormat="1" ht="15.75" customHeight="1"/>
    <x:row r="621" s="23" customFormat="1" ht="15.75" customHeight="1"/>
    <x:row r="622" s="23" customFormat="1" ht="15.75" customHeight="1"/>
    <x:row r="623" s="23" customFormat="1" ht="15.75" customHeight="1"/>
    <x:row r="624" s="23" customFormat="1" ht="15.75" customHeight="1"/>
    <x:row r="625" s="23" customFormat="1" ht="15.75" customHeight="1"/>
    <x:row r="626" s="23" customFormat="1" ht="15.75" customHeight="1"/>
    <x:row r="627" s="23" customFormat="1" ht="15.75" customHeight="1"/>
    <x:row r="628" s="23" customFormat="1" ht="15.75" customHeight="1"/>
    <x:row r="629" s="23" customFormat="1" ht="15.75" customHeight="1"/>
    <x:row r="630" s="23" customFormat="1" ht="15.75" customHeight="1"/>
    <x:row r="631" s="23" customFormat="1" ht="15.75" customHeight="1"/>
    <x:row r="632" s="23" customFormat="1" ht="15.75" customHeight="1"/>
    <x:row r="633" s="23" customFormat="1" ht="15.75" customHeight="1"/>
    <x:row r="634" s="23" customFormat="1" ht="15.75" customHeight="1"/>
    <x:row r="635" s="23" customFormat="1" ht="15.75" customHeight="1"/>
    <x:row r="636" s="23" customFormat="1" ht="15.75" customHeight="1"/>
    <x:row r="637" s="23" customFormat="1" ht="15.75" customHeight="1"/>
    <x:row r="638" s="23" customFormat="1" ht="15.75" customHeight="1"/>
    <x:row r="639" s="23" customFormat="1" ht="15.75" customHeight="1"/>
    <x:row r="640" s="23" customFormat="1" ht="15.75" customHeight="1"/>
    <x:row r="641" s="23" customFormat="1" ht="15.75" customHeight="1"/>
    <x:row r="642" s="23" customFormat="1" ht="15.75" customHeight="1"/>
    <x:row r="643" s="23" customFormat="1" ht="15.75" customHeight="1"/>
    <x:row r="644" s="23" customFormat="1" ht="15.75" customHeight="1"/>
    <x:row r="645" s="23" customFormat="1" ht="15.75" customHeight="1"/>
    <x:row r="646" s="23" customFormat="1" ht="15.75" customHeight="1"/>
    <x:row r="647" s="23" customFormat="1" ht="15.75" customHeight="1"/>
    <x:row r="648" s="23" customFormat="1" ht="15.75" customHeight="1"/>
    <x:row r="649" s="23" customFormat="1" ht="15.75" customHeight="1"/>
    <x:row r="650" s="23" customFormat="1" ht="15.75" customHeight="1"/>
    <x:row r="651" s="23" customFormat="1" ht="15.75" customHeight="1"/>
    <x:row r="652" s="23" customFormat="1" ht="15.75" customHeight="1"/>
    <x:row r="653" s="23" customFormat="1" ht="15.75" customHeight="1"/>
    <x:row r="654" s="23" customFormat="1" ht="15.75" customHeight="1"/>
    <x:row r="655" s="23" customFormat="1" ht="15.75" customHeight="1"/>
    <x:row r="656" s="23" customFormat="1" ht="15.75" customHeight="1"/>
    <x:row r="657" s="23" customFormat="1" ht="15.75" customHeight="1"/>
    <x:row r="658" s="23" customFormat="1" ht="15.75" customHeight="1"/>
    <x:row r="659" s="23" customFormat="1" ht="15.75" customHeight="1"/>
    <x:row r="660" s="23" customFormat="1" ht="15.75" customHeight="1"/>
    <x:row r="661" s="23" customFormat="1" ht="15.75" customHeight="1"/>
    <x:row r="662" s="23" customFormat="1" ht="15.75" customHeight="1"/>
    <x:row r="663" s="23" customFormat="1" ht="15.75" customHeight="1"/>
    <x:row r="664" s="23" customFormat="1" ht="15.75" customHeight="1"/>
    <x:row r="665" s="23" customFormat="1" ht="15.75" customHeight="1"/>
    <x:row r="666" s="23" customFormat="1" ht="15.75" customHeight="1"/>
    <x:row r="667" s="23" customFormat="1" ht="15.75" customHeight="1"/>
    <x:row r="668" s="23" customFormat="1" ht="15.75" customHeight="1"/>
    <x:row r="669" s="23" customFormat="1" ht="15.75" customHeight="1"/>
    <x:row r="670" s="23" customFormat="1" ht="15.75" customHeight="1"/>
    <x:row r="671" s="23" customFormat="1" ht="15.75" customHeight="1"/>
    <x:row r="672" s="23" customFormat="1" ht="15.75" customHeight="1"/>
    <x:row r="673" s="23" customFormat="1" ht="15.75" customHeight="1"/>
    <x:row r="674" s="23" customFormat="1" ht="15.75" customHeight="1"/>
    <x:row r="675" s="23" customFormat="1" ht="15.75" customHeight="1"/>
    <x:row r="676" s="23" customFormat="1" ht="15.75" customHeight="1"/>
    <x:row r="677" s="23" customFormat="1" ht="15.75" customHeight="1"/>
    <x:row r="678" s="23" customFormat="1" ht="15.75" customHeight="1"/>
    <x:row r="679" s="23" customFormat="1" ht="15.75" customHeight="1"/>
    <x:row r="680" s="23" customFormat="1" ht="15.75" customHeight="1"/>
    <x:row r="681" s="23" customFormat="1" ht="15.75" customHeight="1"/>
    <x:row r="682" s="23" customFormat="1" ht="15.75" customHeight="1"/>
    <x:row r="683" s="23" customFormat="1" ht="15.75" customHeight="1"/>
    <x:row r="684" s="23" customFormat="1" ht="15.75" customHeight="1"/>
    <x:row r="685" s="23" customFormat="1" ht="15.75" customHeight="1"/>
    <x:row r="686" s="23" customFormat="1" ht="15.75" customHeight="1"/>
    <x:row r="687" s="23" customFormat="1" ht="15.75" customHeight="1"/>
    <x:row r="688" s="23" customFormat="1" ht="15.75" customHeight="1"/>
    <x:row r="689" s="23" customFormat="1" ht="15.75" customHeight="1"/>
    <x:row r="690" s="23" customFormat="1" ht="15.75" customHeight="1"/>
    <x:row r="691" s="23" customFormat="1" ht="15.75" customHeight="1"/>
    <x:row r="692" s="23" customFormat="1" ht="15.75" customHeight="1"/>
    <x:row r="693" s="23" customFormat="1" ht="15.75" customHeight="1"/>
    <x:row r="694" s="23" customFormat="1" ht="15.75" customHeight="1"/>
    <x:row r="695" s="23" customFormat="1" ht="15.75" customHeight="1"/>
    <x:row r="696" s="23" customFormat="1" ht="15.75" customHeight="1"/>
    <x:row r="697" s="23" customFormat="1" ht="15.75" customHeight="1"/>
    <x:row r="698" s="23" customFormat="1" ht="15.75" customHeight="1"/>
    <x:row r="699" s="23" customFormat="1" ht="15.75" customHeight="1"/>
    <x:row r="700" s="23" customFormat="1" ht="15.75" customHeight="1"/>
    <x:row r="701" s="23" customFormat="1" ht="15.75" customHeight="1"/>
    <x:row r="702" s="23" customFormat="1" ht="15.75" customHeight="1"/>
    <x:row r="703" s="23" customFormat="1" ht="15.75" customHeight="1"/>
    <x:row r="704" s="23" customFormat="1" ht="15.75" customHeight="1"/>
    <x:row r="705" s="23" customFormat="1" ht="15.75" customHeight="1"/>
    <x:row r="706" s="23" customFormat="1" ht="15.75" customHeight="1"/>
    <x:row r="707" s="23" customFormat="1" ht="15.75" customHeight="1"/>
    <x:row r="708" s="23" customFormat="1" ht="15.75" customHeight="1"/>
    <x:row r="709" s="23" customFormat="1" ht="15.75" customHeight="1"/>
    <x:row r="710" s="23" customFormat="1" ht="15.75" customHeight="1"/>
    <x:row r="711" s="23" customFormat="1" ht="15.75" customHeight="1"/>
    <x:row r="712" s="23" customFormat="1" ht="15.75" customHeight="1"/>
    <x:row r="713" s="23" customFormat="1" ht="15.75" customHeight="1"/>
    <x:row r="714" s="23" customFormat="1" ht="15.75" customHeight="1"/>
    <x:row r="715" s="23" customFormat="1" ht="15.75" customHeight="1"/>
    <x:row r="716" s="23" customFormat="1" ht="15.75" customHeight="1"/>
    <x:row r="717" s="23" customFormat="1" ht="15.75" customHeight="1"/>
    <x:row r="718" s="23" customFormat="1" ht="15.75" customHeight="1"/>
    <x:row r="719" s="23" customFormat="1" ht="15.75" customHeight="1"/>
    <x:row r="720" s="23" customFormat="1" ht="15.75" customHeight="1"/>
    <x:row r="721" s="23" customFormat="1" ht="15.75" customHeight="1"/>
    <x:row r="722" s="23" customFormat="1" ht="15.75" customHeight="1"/>
    <x:row r="723" s="23" customFormat="1" ht="15.75" customHeight="1"/>
    <x:row r="724" s="23" customFormat="1" ht="15.75" customHeight="1"/>
    <x:row r="725" s="23" customFormat="1" ht="15.75" customHeight="1"/>
    <x:row r="726" s="23" customFormat="1" ht="15.75" customHeight="1"/>
    <x:row r="727" s="23" customFormat="1" ht="15.75" customHeight="1"/>
    <x:row r="728" s="23" customFormat="1" ht="15.75" customHeight="1"/>
    <x:row r="729" s="23" customFormat="1" ht="15.75" customHeight="1"/>
    <x:row r="730" s="23" customFormat="1" ht="15.75" customHeight="1"/>
    <x:row r="731" s="23" customFormat="1" ht="15.75" customHeight="1"/>
    <x:row r="732" s="23" customFormat="1" ht="15.75" customHeight="1"/>
    <x:row r="733" s="23" customFormat="1" ht="15.75" customHeight="1"/>
    <x:row r="734" s="23" customFormat="1" ht="15.75" customHeight="1"/>
    <x:row r="735" s="23" customFormat="1" ht="15.75" customHeight="1"/>
    <x:row r="736" s="23" customFormat="1" ht="15.75" customHeight="1"/>
    <x:row r="737" s="23" customFormat="1" ht="15.75" customHeight="1"/>
    <x:row r="738" s="23" customFormat="1" ht="15.75" customHeight="1"/>
    <x:row r="739" s="23" customFormat="1" ht="15.75" customHeight="1"/>
    <x:row r="740" s="23" customFormat="1" ht="15.75" customHeight="1"/>
    <x:row r="741" s="23" customFormat="1" ht="15.75" customHeight="1"/>
    <x:row r="742" s="23" customFormat="1" ht="15.75" customHeight="1"/>
    <x:row r="743" s="23" customFormat="1" ht="15.75" customHeight="1"/>
    <x:row r="744" s="23" customFormat="1" ht="15.75" customHeight="1"/>
    <x:row r="745" s="23" customFormat="1" ht="15.75" customHeight="1"/>
    <x:row r="746" s="23" customFormat="1" ht="15.75" customHeight="1"/>
    <x:row r="747" s="23" customFormat="1" ht="15.75" customHeight="1"/>
    <x:row r="748" s="23" customFormat="1" ht="15.75" customHeight="1"/>
    <x:row r="749" s="23" customFormat="1" ht="15.75" customHeight="1"/>
    <x:row r="750" s="23" customFormat="1" ht="15.75" customHeight="1"/>
    <x:row r="751" s="23" customFormat="1" ht="15.75" customHeight="1"/>
    <x:row r="752" s="23" customFormat="1" ht="15.75" customHeight="1"/>
    <x:row r="753" s="23" customFormat="1" ht="15.75" customHeight="1"/>
    <x:row r="754" s="23" customFormat="1" ht="15.75" customHeight="1"/>
    <x:row r="755" s="23" customFormat="1" ht="15.75" customHeight="1"/>
    <x:row r="756" s="23" customFormat="1" ht="15.75" customHeight="1"/>
    <x:row r="757" s="23" customFormat="1" ht="15.75" customHeight="1"/>
    <x:row r="758" s="23" customFormat="1" ht="15.75" customHeight="1"/>
    <x:row r="759" s="23" customFormat="1" ht="15.75" customHeight="1"/>
    <x:row r="760" s="23" customFormat="1" ht="15.75" customHeight="1"/>
    <x:row r="761" s="23" customFormat="1" ht="15.75" customHeight="1"/>
    <x:row r="762" s="23" customFormat="1" ht="15.75" customHeight="1"/>
    <x:row r="763" s="23" customFormat="1" ht="15.75" customHeight="1"/>
    <x:row r="764" s="23" customFormat="1" ht="15.75" customHeight="1"/>
    <x:row r="765" s="23" customFormat="1" ht="15.75" customHeight="1"/>
    <x:row r="766" s="23" customFormat="1" ht="15.75" customHeight="1"/>
    <x:row r="767" s="23" customFormat="1" ht="15.75" customHeight="1"/>
    <x:row r="768" s="23" customFormat="1" ht="15.75" customHeight="1"/>
    <x:row r="769" s="23" customFormat="1" ht="15.75" customHeight="1"/>
    <x:row r="770" s="23" customFormat="1" ht="15.75" customHeight="1"/>
    <x:row r="771" s="23" customFormat="1" ht="15.75" customHeight="1"/>
    <x:row r="772" s="23" customFormat="1" ht="15.75" customHeight="1"/>
    <x:row r="773" s="23" customFormat="1" ht="15.75" customHeight="1"/>
    <x:row r="774" s="23" customFormat="1" ht="15.75" customHeight="1"/>
    <x:row r="775" s="23" customFormat="1" ht="15.75" customHeight="1"/>
    <x:row r="776" s="23" customFormat="1" ht="15.75" customHeight="1"/>
    <x:row r="777" s="23" customFormat="1" ht="15.75" customHeight="1"/>
    <x:row r="778" s="23" customFormat="1" ht="15.75" customHeight="1"/>
    <x:row r="779" s="23" customFormat="1" ht="15.75" customHeight="1"/>
    <x:row r="780" s="23" customFormat="1" ht="15.75" customHeight="1"/>
    <x:row r="781" s="23" customFormat="1" ht="15.75" customHeight="1"/>
    <x:row r="782" s="23" customFormat="1" ht="15.75" customHeight="1"/>
    <x:row r="783" s="23" customFormat="1" ht="15.75" customHeight="1"/>
    <x:row r="784" s="23" customFormat="1" ht="15.75" customHeight="1"/>
    <x:row r="785" s="23" customFormat="1" ht="15.75" customHeight="1"/>
    <x:row r="786" s="23" customFormat="1" ht="15.75" customHeight="1"/>
    <x:row r="787" s="23" customFormat="1" ht="15.75" customHeight="1"/>
    <x:row r="788" s="23" customFormat="1" ht="15.75" customHeight="1"/>
    <x:row r="789" s="23" customFormat="1" ht="15.75" customHeight="1"/>
    <x:row r="790" s="23" customFormat="1" ht="15.75" customHeight="1"/>
    <x:row r="791" s="23" customFormat="1" ht="15.75" customHeight="1"/>
    <x:row r="792" s="23" customFormat="1" ht="15.75" customHeight="1"/>
    <x:row r="793" s="23" customFormat="1" ht="15.75" customHeight="1"/>
    <x:row r="794" s="23" customFormat="1" ht="15.75" customHeight="1"/>
    <x:row r="795" s="23" customFormat="1" ht="15.75" customHeight="1"/>
    <x:row r="796" s="23" customFormat="1" ht="15.75" customHeight="1"/>
    <x:row r="797" s="23" customFormat="1" ht="15.75" customHeight="1"/>
    <x:row r="798" s="23" customFormat="1" ht="15.75" customHeight="1"/>
    <x:row r="799" s="23" customFormat="1" ht="15.75" customHeight="1"/>
    <x:row r="800" s="23" customFormat="1" ht="15.75" customHeight="1"/>
    <x:row r="801" s="23" customFormat="1" ht="15.75" customHeight="1"/>
    <x:row r="802" s="23" customFormat="1" ht="15.75" customHeight="1"/>
    <x:row r="803" s="23" customFormat="1" ht="15.75" customHeight="1"/>
    <x:row r="804" s="23" customFormat="1" ht="15.75" customHeight="1"/>
    <x:row r="805" s="23" customFormat="1" ht="15.75" customHeight="1"/>
    <x:row r="806" s="23" customFormat="1" ht="15.75" customHeight="1"/>
    <x:row r="807" s="23" customFormat="1" ht="15.75" customHeight="1"/>
    <x:row r="808" s="23" customFormat="1" ht="15.75" customHeight="1"/>
    <x:row r="809" s="23" customFormat="1" ht="15.75" customHeight="1"/>
    <x:row r="810" s="23" customFormat="1" ht="15.75" customHeight="1"/>
    <x:row r="811" s="23" customFormat="1" ht="15.75" customHeight="1"/>
    <x:row r="812" s="23" customFormat="1" ht="15.75" customHeight="1"/>
    <x:row r="813" s="23" customFormat="1" ht="15.75" customHeight="1"/>
    <x:row r="814" s="23" customFormat="1" ht="15.75" customHeight="1"/>
    <x:row r="815" s="23" customFormat="1" ht="15.75" customHeight="1"/>
    <x:row r="816" s="23" customFormat="1" ht="15.75" customHeight="1"/>
    <x:row r="817" s="23" customFormat="1" ht="15.75" customHeight="1"/>
    <x:row r="818" s="23" customFormat="1" ht="15.75" customHeight="1"/>
    <x:row r="819" s="23" customFormat="1" ht="15.75" customHeight="1"/>
    <x:row r="820" s="23" customFormat="1" ht="15.75" customHeight="1"/>
    <x:row r="821" s="23" customFormat="1" ht="15.75" customHeight="1"/>
    <x:row r="822" s="23" customFormat="1" ht="15.75" customHeight="1"/>
    <x:row r="823" s="23" customFormat="1" ht="15.75" customHeight="1"/>
    <x:row r="824" s="23" customFormat="1" ht="15.75" customHeight="1"/>
    <x:row r="825" s="23" customFormat="1" ht="15.75" customHeight="1"/>
    <x:row r="826" s="23" customFormat="1" ht="15.75" customHeight="1"/>
    <x:row r="827" s="23" customFormat="1" ht="15.75" customHeight="1"/>
    <x:row r="828" s="23" customFormat="1" ht="15.75" customHeight="1"/>
    <x:row r="829" s="23" customFormat="1" ht="15.75" customHeight="1"/>
    <x:row r="830" s="23" customFormat="1" ht="15.75" customHeight="1"/>
    <x:row r="831" s="23" customFormat="1" ht="15.75" customHeight="1"/>
    <x:row r="832" s="23" customFormat="1" ht="15.75" customHeight="1"/>
    <x:row r="833" s="23" customFormat="1" ht="15.75" customHeight="1"/>
    <x:row r="834" s="23" customFormat="1" ht="15.75" customHeight="1"/>
    <x:row r="835" s="23" customFormat="1" ht="15.75" customHeight="1"/>
    <x:row r="836" s="23" customFormat="1" ht="15.75" customHeight="1"/>
    <x:row r="837" s="23" customFormat="1" ht="15.75" customHeight="1"/>
    <x:row r="838" s="23" customFormat="1" ht="15.75" customHeight="1"/>
    <x:row r="839" s="23" customFormat="1" ht="15.75" customHeight="1"/>
    <x:row r="840" s="23" customFormat="1" ht="15.75" customHeight="1"/>
    <x:row r="841" s="23" customFormat="1" ht="15.75" customHeight="1"/>
    <x:row r="842" s="23" customFormat="1" ht="15.75" customHeight="1"/>
    <x:row r="843" s="23" customFormat="1" ht="15.75" customHeight="1"/>
    <x:row r="844" s="23" customFormat="1" ht="15.75" customHeight="1"/>
    <x:row r="845" s="23" customFormat="1" ht="15.75" customHeight="1"/>
    <x:row r="846" s="23" customFormat="1" ht="15.75" customHeight="1"/>
    <x:row r="847" s="23" customFormat="1" ht="15.75" customHeight="1"/>
    <x:row r="848" s="23" customFormat="1" ht="15.75" customHeight="1"/>
    <x:row r="849" s="23" customFormat="1" ht="15.75" customHeight="1"/>
    <x:row r="850" s="23" customFormat="1" ht="15.75" customHeight="1"/>
    <x:row r="851" s="23" customFormat="1" ht="15.75" customHeight="1"/>
    <x:row r="852" s="23" customFormat="1" ht="15.75" customHeight="1"/>
    <x:row r="853" s="23" customFormat="1" ht="15.75" customHeight="1"/>
    <x:row r="854" s="23" customFormat="1" ht="15.75" customHeight="1"/>
    <x:row r="855" s="23" customFormat="1" ht="15.75" customHeight="1"/>
    <x:row r="856" s="23" customFormat="1" ht="15.75" customHeight="1"/>
    <x:row r="857" s="23" customFormat="1" ht="15.75" customHeight="1"/>
    <x:row r="858" s="23" customFormat="1" ht="15.75" customHeight="1"/>
    <x:row r="859" s="23" customFormat="1" ht="15.75" customHeight="1"/>
    <x:row r="860" s="23" customFormat="1" ht="15.75" customHeight="1"/>
    <x:row r="861" s="23" customFormat="1" ht="15.75" customHeight="1"/>
    <x:row r="862" s="23" customFormat="1" ht="15.75" customHeight="1"/>
    <x:row r="863" s="23" customFormat="1" ht="15.75" customHeight="1"/>
    <x:row r="864" s="23" customFormat="1" ht="15.75" customHeight="1"/>
    <x:row r="865" s="23" customFormat="1" ht="15.75" customHeight="1"/>
    <x:row r="866" s="23" customFormat="1" ht="15.75" customHeight="1"/>
    <x:row r="867" s="23" customFormat="1" ht="15.75" customHeight="1"/>
    <x:row r="868" s="23" customFormat="1" ht="15.75" customHeight="1"/>
    <x:row r="869" s="23" customFormat="1" ht="15.75" customHeight="1"/>
    <x:row r="870" s="23" customFormat="1" ht="15.75" customHeight="1"/>
    <x:row r="871" s="23" customFormat="1" ht="15.75" customHeight="1"/>
    <x:row r="872" s="23" customFormat="1" ht="15.75" customHeight="1"/>
    <x:row r="873" s="23" customFormat="1" ht="15.75" customHeight="1"/>
    <x:row r="874" s="23" customFormat="1" ht="15.75" customHeight="1"/>
    <x:row r="875" s="23" customFormat="1" ht="15.75" customHeight="1"/>
    <x:row r="876" s="23" customFormat="1" ht="15.75" customHeight="1"/>
    <x:row r="877" s="23" customFormat="1" ht="15.75" customHeight="1"/>
    <x:row r="878" s="23" customFormat="1" ht="15.75" customHeight="1"/>
    <x:row r="879" s="23" customFormat="1" ht="15.75" customHeight="1"/>
    <x:row r="880" s="23" customFormat="1" ht="15.75" customHeight="1"/>
    <x:row r="881" s="23" customFormat="1" ht="15.75" customHeight="1"/>
    <x:row r="882" s="23" customFormat="1" ht="15.75" customHeight="1"/>
    <x:row r="883" s="23" customFormat="1" ht="15.75" customHeight="1"/>
    <x:row r="884" s="23" customFormat="1" ht="15.75" customHeight="1"/>
    <x:row r="885" s="23" customFormat="1" ht="15.75" customHeight="1"/>
    <x:row r="886" s="23" customFormat="1" ht="15.75" customHeight="1"/>
    <x:row r="887" s="23" customFormat="1" ht="15.75" customHeight="1"/>
    <x:row r="888" s="23" customFormat="1" ht="15.75" customHeight="1"/>
    <x:row r="889" s="23" customFormat="1" ht="15.75" customHeight="1"/>
    <x:row r="890" s="23" customFormat="1" ht="15.75" customHeight="1"/>
    <x:row r="891" s="23" customFormat="1" ht="15.75" customHeight="1"/>
    <x:row r="892" s="23" customFormat="1" ht="15.75" customHeight="1"/>
    <x:row r="893" s="23" customFormat="1" ht="15.75" customHeight="1"/>
    <x:row r="894" s="23" customFormat="1" ht="15.75" customHeight="1"/>
    <x:row r="895" s="23" customFormat="1" ht="15.75" customHeight="1"/>
    <x:row r="896" s="23" customFormat="1" ht="15.75" customHeight="1"/>
    <x:row r="897" s="23" customFormat="1" ht="15.75" customHeight="1"/>
    <x:row r="898" s="23" customFormat="1" ht="15.75" customHeight="1"/>
    <x:row r="899" s="23" customFormat="1" ht="15.75" customHeight="1"/>
    <x:row r="900" s="23" customFormat="1" ht="15.75" customHeight="1"/>
    <x:row r="901" s="23" customFormat="1" ht="15.75" customHeight="1"/>
    <x:row r="902" s="23" customFormat="1" ht="15.75" customHeight="1"/>
    <x:row r="903" s="23" customFormat="1" ht="15.75" customHeight="1"/>
    <x:row r="904" s="23" customFormat="1" ht="15.75" customHeight="1"/>
    <x:row r="905" s="23" customFormat="1" ht="15.75" customHeight="1"/>
    <x:row r="906" s="23" customFormat="1" ht="15.75" customHeight="1"/>
    <x:row r="907" s="23" customFormat="1" ht="15.75" customHeight="1"/>
    <x:row r="908" s="23" customFormat="1" ht="15.75" customHeight="1"/>
    <x:row r="909" s="23" customFormat="1" ht="15.75" customHeight="1"/>
    <x:row r="910" s="23" customFormat="1" ht="15.75" customHeight="1"/>
    <x:row r="911" s="23" customFormat="1" ht="15.75" customHeight="1"/>
    <x:row r="912" s="23" customFormat="1" ht="15.75" customHeight="1"/>
    <x:row r="913" s="23" customFormat="1" ht="15.75" customHeight="1"/>
    <x:row r="914" s="23" customFormat="1" ht="15.75" customHeight="1"/>
    <x:row r="915" s="23" customFormat="1" ht="15.75" customHeight="1"/>
    <x:row r="916" s="23" customFormat="1" ht="15.75" customHeight="1"/>
    <x:row r="917" s="23" customFormat="1" ht="15.75" customHeight="1"/>
    <x:row r="918" s="23" customFormat="1" ht="15.75" customHeight="1"/>
    <x:row r="919" s="23" customFormat="1" ht="15.75" customHeight="1"/>
    <x:row r="920" s="23" customFormat="1" ht="15.75" customHeight="1"/>
    <x:row r="921" s="23" customFormat="1" ht="15.75" customHeight="1"/>
    <x:row r="922" s="23" customFormat="1" ht="15.75" customHeight="1"/>
    <x:row r="923" s="23" customFormat="1" ht="15.75" customHeight="1"/>
    <x:row r="924" s="23" customFormat="1" ht="15.75" customHeight="1"/>
    <x:row r="925" s="23" customFormat="1" ht="15.75" customHeight="1"/>
    <x:row r="926" s="23" customFormat="1" ht="15.75" customHeight="1"/>
    <x:row r="927" s="23" customFormat="1" ht="15.75" customHeight="1"/>
    <x:row r="928" s="23" customFormat="1" ht="15.75" customHeight="1"/>
    <x:row r="929" s="23" customFormat="1" ht="15.75" customHeight="1"/>
    <x:row r="930" s="23" customFormat="1" ht="15.75" customHeight="1"/>
    <x:row r="931" s="23" customFormat="1" ht="15.75" customHeight="1"/>
    <x:row r="932" s="23" customFormat="1" ht="15.75" customHeight="1"/>
    <x:row r="933" s="23" customFormat="1" ht="15.75" customHeight="1"/>
    <x:row r="934" s="23" customFormat="1" ht="15.75" customHeight="1"/>
    <x:row r="935" s="23" customFormat="1" ht="15.75" customHeight="1"/>
    <x:row r="936" s="23" customFormat="1" ht="15.75" customHeight="1"/>
    <x:row r="937" s="23" customFormat="1" ht="15.75" customHeight="1"/>
    <x:row r="938" s="23" customFormat="1" ht="15.75" customHeight="1"/>
    <x:row r="939" s="23" customFormat="1" ht="15.75" customHeight="1"/>
    <x:row r="940" s="23" customFormat="1" ht="15.75" customHeight="1"/>
    <x:row r="941" s="23" customFormat="1" ht="15.75" customHeight="1"/>
    <x:row r="942" s="23" customFormat="1" ht="15.75" customHeight="1"/>
    <x:row r="943" s="23" customFormat="1" ht="15.75" customHeight="1"/>
    <x:row r="944" s="23" customFormat="1" ht="15.75" customHeight="1"/>
    <x:row r="945" s="23" customFormat="1" ht="15.75" customHeight="1"/>
    <x:row r="946" s="23" customFormat="1" ht="15.75" customHeight="1"/>
    <x:row r="947" s="23" customFormat="1" ht="15.75" customHeight="1"/>
    <x:row r="948" s="23" customFormat="1" ht="15.75" customHeight="1"/>
    <x:row r="949" s="23" customFormat="1" ht="15.75" customHeight="1"/>
    <x:row r="950" s="23" customFormat="1" ht="15.75" customHeight="1"/>
    <x:row r="951" s="23" customFormat="1" ht="15.75" customHeight="1"/>
    <x:row r="952" s="23" customFormat="1" ht="15.75" customHeight="1"/>
    <x:row r="953" s="23" customFormat="1" ht="15.75" customHeight="1"/>
    <x:row r="954" s="23" customFormat="1" ht="15.75" customHeight="1"/>
    <x:row r="955" s="23" customFormat="1" ht="15.75" customHeight="1"/>
    <x:row r="956" s="23" customFormat="1" ht="15.75" customHeight="1"/>
    <x:row r="957" s="23" customFormat="1" ht="15.75" customHeight="1"/>
    <x:row r="958" s="23" customFormat="1" ht="15.75" customHeight="1"/>
    <x:row r="959" s="23" customFormat="1" ht="15.75" customHeight="1"/>
    <x:row r="960" s="23" customFormat="1" ht="15.75" customHeight="1"/>
    <x:row r="961" s="23" customFormat="1" ht="15.75" customHeight="1"/>
    <x:row r="962" s="23" customFormat="1" ht="15.75" customHeight="1"/>
    <x:row r="963" s="23" customFormat="1" ht="15.75" customHeight="1"/>
    <x:row r="964" s="23" customFormat="1" ht="15.75" customHeight="1"/>
    <x:row r="965" s="23" customFormat="1" ht="15.75" customHeight="1"/>
    <x:row r="966" s="23" customFormat="1" ht="15.75" customHeight="1"/>
    <x:row r="967" s="23" customFormat="1" ht="15.75" customHeight="1"/>
    <x:row r="968" s="23" customFormat="1" ht="15.75" customHeight="1"/>
    <x:row r="969" s="23" customFormat="1" ht="15.75" customHeight="1"/>
    <x:row r="970" s="23" customFormat="1" ht="15.75" customHeight="1"/>
    <x:row r="971" s="23" customFormat="1" ht="15.75" customHeight="1"/>
    <x:row r="972" s="23" customFormat="1" ht="15.75" customHeight="1"/>
    <x:row r="973" s="23" customFormat="1" ht="15.75" customHeight="1"/>
    <x:row r="974" s="23" customFormat="1" ht="15.75" customHeight="1"/>
    <x:row r="975" s="23" customFormat="1" ht="15.75" customHeight="1"/>
    <x:row r="976" s="23" customFormat="1" ht="15.75" customHeight="1"/>
    <x:row r="977" s="23" customFormat="1" ht="15.75" customHeight="1"/>
    <x:row r="978" s="23" customFormat="1" ht="15.75" customHeight="1"/>
    <x:row r="979" s="23" customFormat="1" ht="15.75" customHeight="1"/>
    <x:row r="980" s="23" customFormat="1" ht="15.75" customHeight="1"/>
    <x:row r="981" s="23" customFormat="1" ht="15.75" customHeight="1"/>
    <x:row r="982" s="23" customFormat="1" ht="15.75" customHeight="1"/>
    <x:row r="983" s="23" customFormat="1" ht="15.75" customHeight="1"/>
    <x:row r="984" s="23" customFormat="1" ht="15.75" customHeight="1"/>
    <x:row r="985" s="23" customFormat="1" ht="15.75" customHeight="1"/>
    <x:row r="986" s="23" customFormat="1" ht="15.75" customHeight="1"/>
    <x:row r="987" s="23" customFormat="1" ht="15.75" customHeight="1"/>
    <x:row r="988" s="23" customFormat="1" ht="15.75" customHeight="1"/>
    <x:row r="989" s="23" customFormat="1" ht="15.75" customHeight="1"/>
    <x:row r="990" s="23" customFormat="1" ht="15.75" customHeight="1"/>
    <x:row r="991" s="23" customFormat="1" ht="15.75" customHeight="1"/>
    <x:row r="992" s="23" customFormat="1" ht="15.75" customHeight="1"/>
    <x:row r="993" s="23" customFormat="1" ht="15.75" customHeight="1"/>
    <x:row r="994" s="23" customFormat="1" ht="15.75" customHeight="1"/>
    <x:row r="995" s="23" customFormat="1" ht="15.75" customHeight="1"/>
    <x:row r="996" s="23" customFormat="1" ht="15.75" customHeight="1"/>
    <x:row r="997" s="23" customFormat="1" ht="15.75" customHeight="1"/>
    <x:row r="998" s="23" customFormat="1" ht="15.75" customHeight="1"/>
    <x:row r="999" s="23" customFormat="1" ht="15.75" customHeight="1"/>
    <x:row r="1000" s="23" customFormat="1" ht="15.75" customHeight="1"/>
  </x:sheetData>
  <x:conditionalFormatting sqref="A7:G38">
    <x:cfRule type="expression" dxfId="0" priority="1">
      <x:formula>$A7=TRUE</x:formula>
    </x:cfRule>
  </x:conditionalFormatting>
  <x:pageMargins left="0.7" right="0.7" top="0.75" bottom="0.75" header="0.3" footer="0.3"/>
</x:worksheet>
</file>

<file path=xl/worksheets/sheet3.xml><?xml version="1.0" encoding="utf-8"?>
<x:worksheet xmlns:x="http://schemas.openxmlformats.org/spreadsheetml/2006/main">
  <x:sheetPr>
    <x:tabColor rgb="FF1F2937"/>
  </x:sheetPr>
  <x:sheetViews>
    <x:sheetView showGridLines="0" workbookViewId="0">
      <x:pane xSplit="2" ySplit="6" topLeftCell="C7" activePane="bottomRight" state="frozen"/>
    </x:sheetView>
  </x:sheetViews>
  <x:sheetFormatPr baseColWidth="8" defaultColWidth="12.630000114440918" defaultRowHeight="15"/>
  <x:cols>
    <x:col min="1" max="1" width="8" style="23" customWidth="1"/>
    <x:col min="2" max="2" width="16" style="23" customWidth="1"/>
    <x:col min="3" max="3" width="12" style="23" customWidth="1"/>
    <x:col min="4" max="4" width="38" style="23" customWidth="1"/>
    <x:col min="5" max="5" width="30" style="23" customWidth="1"/>
    <x:col min="6" max="7" width="14.5" style="23" customWidth="1"/>
    <x:col min="8" max="26" width="8.630000114440918" style="23" customWidth="1"/>
  </x:cols>
  <x:sheetData>
    <x:row r="1">
      <x:c r="A1" s="4" t="n"/>
      <x:c r="B1" s="4" t="n"/>
      <x:c r="C1" s="4" t="n"/>
      <x:c r="D1" s="4" t="n"/>
      <x:c r="E1" s="4" t="n"/>
      <x:c r="F1" s="4" t="n"/>
      <x:c r="G1" s="4" t="n"/>
    </x:row>
    <x:row r="2">
      <x:c r="A2" s="2" t="inlineStr">
        <x:is>
          <x:t xml:space="preserve">The Clone Wars: Official Chronological Order</x:t>
        </x:is>
      </x:c>
      <x:c r="B2" s="4" t="n"/>
      <x:c r="C2" s="4" t="n"/>
      <x:c r="D2" s="4" t="n"/>
      <x:c r="E2" s="4" t="n"/>
      <x:c r="F2" s="4" t="n"/>
      <x:c r="G2" s="4" t="n"/>
    </x:row>
    <x:row r="3">
      <x:c r="A3" s="5" t="inlineStr">
        <x:is>
          <x:t xml:space="preserve">The air code is decoded for you: 216 means Season 2, Episode 16. Direct links come from the official chronological guide.</x:t>
        </x:is>
      </x:c>
      <x:c r="B3" s="4" t="n"/>
      <x:c r="C3" s="4" t="n"/>
      <x:c r="D3" s="4" t="n"/>
      <x:c r="E3" s="4" t="n"/>
      <x:c r="F3" s="4" t="n"/>
      <x:c r="G3" s="4" t="n"/>
    </x:row>
    <x:row r="4">
      <x:c r="A4" s="7" t="inlineStr">
        <x:is>
          <x:t xml:space="preserve">Completed</x:t>
        </x:is>
      </x:c>
      <x:c r="B4" s="7" t="n">
        <x:f>COUNTIF(A7:A140,TRUE)</x:f>
        <x:v>0</x:v>
      </x:c>
      <x:c r="C4" s="7" t="inlineStr">
        <x:is>
          <x:t xml:space="preserve">Total</x:t>
        </x:is>
      </x:c>
      <x:c r="D4" s="7" t="n">
        <x:f>COUNTA(D7:D140)</x:f>
        <x:v>134</x:v>
      </x:c>
      <x:c r="E4" s="7" t="inlineStr">
        <x:is>
          <x:t xml:space="preserve">Progress</x:t>
        </x:is>
      </x:c>
      <x:c r="F4" s="8" t="n">
        <x:f>IF(D4=0,0,B4/D4)</x:f>
        <x:v>0</x:v>
      </x:c>
      <x:c r="G4" s="4" t="n"/>
    </x:row>
    <x:row r="5">
      <x:c r="A5" s="4" t="n"/>
      <x:c r="B5" s="4" t="n"/>
      <x:c r="C5" s="4" t="n"/>
      <x:c r="D5" s="4" t="n"/>
      <x:c r="E5" s="4" t="n"/>
      <x:c r="F5" s="4" t="n"/>
      <x:c r="G5" s="4" t="n"/>
    </x:row>
    <x:row r="6">
      <x:c r="A6" s="12" t="inlineStr">
        <x:is>
          <x:t xml:space="preserve">Done</x:t>
        </x:is>
      </x:c>
      <x:c r="B6" s="12" t="inlineStr">
        <x:is>
          <x:t xml:space="preserve">Chronological #</x:t>
        </x:is>
      </x:c>
      <x:c r="C6" s="12" t="inlineStr">
        <x:is>
          <x:t xml:space="preserve">Air code</x:t>
        </x:is>
      </x:c>
      <x:c r="D6" s="12" t="inlineStr">
        <x:is>
          <x:t xml:space="preserve">Episode</x:t>
        </x:is>
      </x:c>
      <x:c r="E6" s="12" t="inlineStr">
        <x:is>
          <x:t xml:space="preserve">Where to find it on Disney+</x:t>
        </x:is>
      </x:c>
      <x:c r="F6" s="12" t="inlineStr">
        <x:is>
          <x:t xml:space="preserve">Episode guide</x:t>
        </x:is>
      </x:c>
      <x:c r="G6" s="12" t="inlineStr">
        <x:is>
          <x:t xml:space="preserve">Direct Disney+ link</x:t>
        </x:is>
      </x:c>
    </x:row>
    <x:row r="7" s="23" customFormat="1" ht="30" customHeight="1">
      <x:c r="A7" s="21" t="b">
        <x:v>0</x:v>
      </x:c>
      <x:c r="B7" s="21" t="n">
        <x:v>1</x:v>
      </x:c>
      <x:c r="C7" s="21" t="inlineStr">
        <x:is>
          <x:t xml:space="preserve">216</x:t>
        </x:is>
      </x:c>
      <x:c r="D7" s="14" t="inlineStr">
        <x:is>
          <x:t xml:space="preserve">Cat and Mouse</x:t>
        </x:is>
      </x:c>
      <x:c r="E7" s="14" t="inlineStr">
        <x:is>
          <x:t xml:space="preserve">Season 2, Episode 16</x:t>
        </x:is>
      </x:c>
      <x:c r="F7" s="20" t="e">
        <x:f>HYPERLINK("https://www.starwars.com/tv-shows/clone-wars/cat-and-mouse-episode-guide","Episode guide")</x:f>
        <x:v>HYPERLINK is not implemented. linkLocation=https://www.starwars.com/tv-shows/clone-wars/cat-and-mouse-episode-guide, friendlyName=Episode guide</x:v>
      </x:c>
      <x:c r="G7" s="20" t="e">
        <x:f>HYPERLINK("https://www.disneyplus.com/video/5faf61af-2ce0-4baa-a647-a4f4363eba0e?cid=DTCI-Synergy-DDN-Site-Acquisition-StarWars-US-StarWars-StarWarsTheCloneWars-EN-BlogArticleEmbed-TCWChronological_StreamOnDisneyPlusCTA-NA","Watch")</x:f>
        <x:v>HYPERLINK is not implemented. linkLocation=https://www.disneyplus.com/video/5faf61af-2ce0-4baa-a647-a4f4363eba0e?cid=DTCI-Synergy-DDN-Site-Acquisition-StarWars-US-StarWars-StarWarsTheCloneWars-EN-BlogArticleEmbed-TCWChronological_StreamOnDisneyPlusCTA-NA, friendlyName=Watch</x:v>
      </x:c>
    </x:row>
    <x:row r="8" s="23" customFormat="1" ht="30" customHeight="1">
      <x:c r="A8" s="21" t="b">
        <x:v>0</x:v>
      </x:c>
      <x:c r="B8" s="21" t="n">
        <x:v>2</x:v>
      </x:c>
      <x:c r="C8" s="21" t="inlineStr">
        <x:is>
          <x:t xml:space="preserve">116</x:t>
        </x:is>
      </x:c>
      <x:c r="D8" s="14" t="inlineStr">
        <x:is>
          <x:t xml:space="preserve">Hidden Enemy</x:t>
        </x:is>
      </x:c>
      <x:c r="E8" s="14" t="inlineStr">
        <x:is>
          <x:t xml:space="preserve">Season 1, Episode 16</x:t>
        </x:is>
      </x:c>
      <x:c r="F8" s="20" t="e">
        <x:f>HYPERLINK("https://www.starwars.com/tv-shows/clone-wars/the-hidden-enemy-episode-guide","Episode guide")</x:f>
        <x:v>HYPERLINK is not implemented. linkLocation=https://www.starwars.com/tv-shows/clone-wars/the-hidden-enemy-episode-guide, friendlyName=Episode guide</x:v>
      </x:c>
      <x:c r="G8" s="20" t="e">
        <x:f>HYPERLINK("https://www.disneyplus.com/video/7c732b05-b90f-4090-a184-5652be228139?cid=DTCI-Synergy-DDN-Site-Acquisition-StarWars-US-StarWars-StarWarsTheCloneWars-EN-BlogArticleEmbed-TCWChronological_StreamOnDisneyPlusCTA-NA","Watch")</x:f>
        <x:v>HYPERLINK is not implemented. linkLocation=https://www.disneyplus.com/video/7c732b05-b90f-4090-a184-5652be228139?cid=DTCI-Synergy-DDN-Site-Acquisition-StarWars-US-StarWars-StarWarsTheCloneWars-EN-BlogArticleEmbed-TCWChronological_StreamOnDisneyPlusCTA-NA, friendlyName=Watch</x:v>
      </x:c>
    </x:row>
    <x:row r="9" s="23" customFormat="1" ht="30" customHeight="1">
      <x:c r="A9" s="21" t="b">
        <x:v>0</x:v>
      </x:c>
      <x:c r="B9" s="21" t="n">
        <x:v>3</x:v>
      </x:c>
      <x:c r="C9" s="21" t="inlineStr">
        <x:is>
          <x:t xml:space="preserve">Movie</x:t>
        </x:is>
      </x:c>
      <x:c r="D9" s="14" t="inlineStr">
        <x:is>
          <x:t xml:space="preserve">The Clone Wars theatrical movie</x:t>
        </x:is>
      </x:c>
      <x:c r="E9" s="14" t="inlineStr">
        <x:is>
          <x:t xml:space="preserve">Separate movie listing</x:t>
        </x:is>
      </x:c>
      <x:c r="F9" s="20" t="e">
        <x:f>HYPERLINK("https://www.disneyplus.com/movies/star-wars-the-clone-wars/AVmv1ulT1nQW?cid=DTCI-Synergy-StarWars-Site-Aquisition-USLaunch-US-StarWars-StarWarsTheCloneWars-EN-NavPipe-StartStreamingNow-NA","Episode guide")</x:f>
        <x:v>HYPERLINK is not implemented. linkLocation=https://www.disneyplus.com/movies/star-wars-the-clone-wars/AVmv1ulT1nQW?cid=DTCI-Synergy-StarWars-Site-Aquisition-USLaunch-US-StarWars-StarWarsTheCloneWars-EN-NavPipe-StartStreamingNow-NA, friendlyName=Episode guide</x:v>
      </x:c>
      <x:c r="G9" s="20" t="e">
        <x:f>HYPERLINK("https://www.disneyplus.com/movies/star-wars-the-clone-wars/AVmv1ulT1nQW?cid=DTCI-Synergy-DDN-Site-Acquisition-StarWars-US-StarWars-StarWarsTheCloneWars-EN-BlogArticleEmbed-TCWChronological_StreamOnDisneyPlusCTA-NA","Watch")</x:f>
        <x:v>HYPERLINK is not implemented. linkLocation=https://www.disneyplus.com/movies/star-wars-the-clone-wars/AVmv1ulT1nQW?cid=DTCI-Synergy-DDN-Site-Acquisition-StarWars-US-StarWars-StarWarsTheCloneWars-EN-BlogArticleEmbed-TCWChronological_StreamOnDisneyPlusCTA-NA, friendlyName=Watch</x:v>
      </x:c>
    </x:row>
    <x:row r="10" s="23" customFormat="1" ht="30" customHeight="1">
      <x:c r="A10" s="21" t="b">
        <x:v>0</x:v>
      </x:c>
      <x:c r="B10" s="21" t="n">
        <x:v>4</x:v>
      </x:c>
      <x:c r="C10" s="21" t="inlineStr">
        <x:is>
          <x:t xml:space="preserve">301</x:t>
        </x:is>
      </x:c>
      <x:c r="D10" s="14" t="inlineStr">
        <x:is>
          <x:t xml:space="preserve">Clone Cadets</x:t>
        </x:is>
      </x:c>
      <x:c r="E10" s="14" t="inlineStr">
        <x:is>
          <x:t xml:space="preserve">Season 3, Episode 1</x:t>
        </x:is>
      </x:c>
      <x:c r="F10" s="20" t="e">
        <x:f>HYPERLINK("https://www.starwars.com/tv-shows/clone-wars/clone-cadets-episode-guide","Episode guide")</x:f>
        <x:v>HYPERLINK is not implemented. linkLocation=https://www.starwars.com/tv-shows/clone-wars/clone-cadets-episode-guide, friendlyName=Episode guide</x:v>
      </x:c>
      <x:c r="G10" s="20" t="e">
        <x:f>HYPERLINK("https://www.disneyplus.com/video/7851718f-2530-47e2-bf32-a8b498b3efa9?cid=DTCI-Synergy-DDN-Site-Acquisition-StarWars-US-StarWars-StarWarsTheCloneWars-EN-BlogArticleEmbed-TCWChronological_StreamOnDisneyPlusCTA-NA","Watch")</x:f>
        <x:v>HYPERLINK is not implemented. linkLocation=https://www.disneyplus.com/video/7851718f-2530-47e2-bf32-a8b498b3efa9?cid=DTCI-Synergy-DDN-Site-Acquisition-StarWars-US-StarWars-StarWarsTheCloneWars-EN-BlogArticleEmbed-TCWChronological_StreamOnDisneyPlusCTA-NA, friendlyName=Watch</x:v>
      </x:c>
    </x:row>
    <x:row r="11" s="23" customFormat="1" ht="30" customHeight="1">
      <x:c r="A11" s="21" t="b">
        <x:v>0</x:v>
      </x:c>
      <x:c r="B11" s="21" t="n">
        <x:v>5</x:v>
      </x:c>
      <x:c r="C11" s="21" t="inlineStr">
        <x:is>
          <x:t xml:space="preserve">303</x:t>
        </x:is>
      </x:c>
      <x:c r="D11" s="14" t="inlineStr">
        <x:is>
          <x:t xml:space="preserve">Supply Lines</x:t>
        </x:is>
      </x:c>
      <x:c r="E11" s="14" t="inlineStr">
        <x:is>
          <x:t xml:space="preserve">Season 3, Episode 3</x:t>
        </x:is>
      </x:c>
      <x:c r="F11" s="20" t="e">
        <x:f>HYPERLINK("https://www.starwars.com/tv-shows/clone-wars/supply-lines-episode-guide","Episode guide")</x:f>
        <x:v>HYPERLINK is not implemented. linkLocation=https://www.starwars.com/tv-shows/clone-wars/supply-lines-episode-guide, friendlyName=Episode guide</x:v>
      </x:c>
      <x:c r="G11" s="20" t="e">
        <x:f>HYPERLINK("https://www.disneyplus.com/video/9d78f2ca-bcf7-413c-a0ab-f6afe9edf677?cid=DTCI-Synergy-DDN-Site-Acquisition-StarWars-US-StarWars-StarWarsTheCloneWars-EN-BlogArticleEmbed-TCWChronological_StreamOnDisneyPlusCTA-NA","Watch")</x:f>
        <x:v>HYPERLINK is not implemented. linkLocation=https://www.disneyplus.com/video/9d78f2ca-bcf7-413c-a0ab-f6afe9edf677?cid=DTCI-Synergy-DDN-Site-Acquisition-StarWars-US-StarWars-StarWarsTheCloneWars-EN-BlogArticleEmbed-TCWChronological_StreamOnDisneyPlusCTA-NA, friendlyName=Watch</x:v>
      </x:c>
    </x:row>
    <x:row r="12" s="23" customFormat="1" ht="30" customHeight="1">
      <x:c r="A12" s="21" t="b">
        <x:v>0</x:v>
      </x:c>
      <x:c r="B12" s="21" t="n">
        <x:v>6</x:v>
      </x:c>
      <x:c r="C12" s="21" t="inlineStr">
        <x:is>
          <x:t xml:space="preserve">101</x:t>
        </x:is>
      </x:c>
      <x:c r="D12" s="14" t="inlineStr">
        <x:is>
          <x:t xml:space="preserve">Ambush</x:t>
        </x:is>
      </x:c>
      <x:c r="E12" s="14" t="inlineStr">
        <x:is>
          <x:t xml:space="preserve">Season 1, Episode 1</x:t>
        </x:is>
      </x:c>
      <x:c r="F12" s="20" t="e">
        <x:f>HYPERLINK("https://www.starwars.com/tv-shows/clone-wars/ambush-episode-guide","Episode guide")</x:f>
        <x:v>HYPERLINK is not implemented. linkLocation=https://www.starwars.com/tv-shows/clone-wars/ambush-episode-guide, friendlyName=Episode guide</x:v>
      </x:c>
      <x:c r="G12" s="20" t="e">
        <x:f>HYPERLINK("https://www.disneyplus.com/video/0bf87f10-d9a1-44ca-8371-f38543eb3706?cid=DTCI-Synergy-DDN-Site-Acquisition-StarWars-US-StarWars-StarWarsTheCloneWars-EN-BlogArticleEmbed-TCWChronological_StreamOnDisneyPlusCTA-NA","Watch")</x:f>
        <x:v>HYPERLINK is not implemented. linkLocation=https://www.disneyplus.com/video/0bf87f10-d9a1-44ca-8371-f38543eb3706?cid=DTCI-Synergy-DDN-Site-Acquisition-StarWars-US-StarWars-StarWarsTheCloneWars-EN-BlogArticleEmbed-TCWChronological_StreamOnDisneyPlusCTA-NA, friendlyName=Watch</x:v>
      </x:c>
    </x:row>
    <x:row r="13" s="23" customFormat="1" ht="30" customHeight="1">
      <x:c r="A13" s="21" t="b">
        <x:v>0</x:v>
      </x:c>
      <x:c r="B13" s="21" t="n">
        <x:v>7</x:v>
      </x:c>
      <x:c r="C13" s="21" t="inlineStr">
        <x:is>
          <x:t xml:space="preserve">102</x:t>
        </x:is>
      </x:c>
      <x:c r="D13" s="14" t="inlineStr">
        <x:is>
          <x:t xml:space="preserve">Rising Malevolence</x:t>
        </x:is>
      </x:c>
      <x:c r="E13" s="14" t="inlineStr">
        <x:is>
          <x:t xml:space="preserve">Season 1, Episode 2</x:t>
        </x:is>
      </x:c>
      <x:c r="F13" s="20" t="e">
        <x:f>HYPERLINK("https://www.starwars.com/tv-shows/clone-wars/rising-malevolence-episode-guide","Episode guide")</x:f>
        <x:v>HYPERLINK is not implemented. linkLocation=https://www.starwars.com/tv-shows/clone-wars/rising-malevolence-episode-guide, friendlyName=Episode guide</x:v>
      </x:c>
      <x:c r="G13" s="20" t="e">
        <x:f>HYPERLINK("https://www.disneyplus.com/video/5bb0c4dc-91f1-434b-974f-1716511ecd4e?cid=DTCI-Synergy-DDN-Site-Acquisition-StarWars-US-StarWars-StarWarsTheCloneWars-EN-BlogArticleEmbed-TCWChronological_StreamOnDisneyPlusCTA-NA","Watch")</x:f>
        <x:v>HYPERLINK is not implemented. linkLocation=https://www.disneyplus.com/video/5bb0c4dc-91f1-434b-974f-1716511ecd4e?cid=DTCI-Synergy-DDN-Site-Acquisition-StarWars-US-StarWars-StarWarsTheCloneWars-EN-BlogArticleEmbed-TCWChronological_StreamOnDisneyPlusCTA-NA, friendlyName=Watch</x:v>
      </x:c>
    </x:row>
    <x:row r="14" s="23" customFormat="1" ht="30" customHeight="1">
      <x:c r="A14" s="21" t="b">
        <x:v>0</x:v>
      </x:c>
      <x:c r="B14" s="21" t="n">
        <x:v>8</x:v>
      </x:c>
      <x:c r="C14" s="21" t="inlineStr">
        <x:is>
          <x:t xml:space="preserve">103</x:t>
        </x:is>
      </x:c>
      <x:c r="D14" s="14" t="inlineStr">
        <x:is>
          <x:t xml:space="preserve">Shadow of Malevolence</x:t>
        </x:is>
      </x:c>
      <x:c r="E14" s="14" t="inlineStr">
        <x:is>
          <x:t xml:space="preserve">Season 1, Episode 3</x:t>
        </x:is>
      </x:c>
      <x:c r="F14" s="20" t="e">
        <x:f>HYPERLINK("https://www.starwars.com/tv-shows/clone-wars/shadow-of-malevolence-episode-guide","Episode guide")</x:f>
        <x:v>HYPERLINK is not implemented. linkLocation=https://www.starwars.com/tv-shows/clone-wars/shadow-of-malevolence-episode-guide, friendlyName=Episode guide</x:v>
      </x:c>
      <x:c r="G14" s="20" t="e">
        <x:f>HYPERLINK("https://www.disneyplus.com/video/96e47d91-f975-4302-8bb0-73dfe9ad0a37?cid=DTCI-Synergy-DDN-Site-Acquisition-StarWars-US-StarWars-StarWarsTheCloneWars-EN-BlogArticleEmbed-TCWChronological_StreamOnDisneyPlusCTA-NA","Watch")</x:f>
        <x:v>HYPERLINK is not implemented. linkLocation=https://www.disneyplus.com/video/96e47d91-f975-4302-8bb0-73dfe9ad0a37?cid=DTCI-Synergy-DDN-Site-Acquisition-StarWars-US-StarWars-StarWarsTheCloneWars-EN-BlogArticleEmbed-TCWChronological_StreamOnDisneyPlusCTA-NA, friendlyName=Watch</x:v>
      </x:c>
    </x:row>
    <x:row r="15" s="23" customFormat="1" ht="30" customHeight="1">
      <x:c r="A15" s="21" t="b">
        <x:v>0</x:v>
      </x:c>
      <x:c r="B15" s="21" t="n">
        <x:v>9</x:v>
      </x:c>
      <x:c r="C15" s="21" t="inlineStr">
        <x:is>
          <x:t xml:space="preserve">104</x:t>
        </x:is>
      </x:c>
      <x:c r="D15" s="14" t="inlineStr">
        <x:is>
          <x:t xml:space="preserve">Destroy Malevolence</x:t>
        </x:is>
      </x:c>
      <x:c r="E15" s="14" t="inlineStr">
        <x:is>
          <x:t xml:space="preserve">Season 1, Episode 4</x:t>
        </x:is>
      </x:c>
      <x:c r="F15" s="20" t="e">
        <x:f>HYPERLINK("https://www.starwars.com/tv-shows/clone-wars/destroy-malevolence-episode-guide","Episode guide")</x:f>
        <x:v>HYPERLINK is not implemented. linkLocation=https://www.starwars.com/tv-shows/clone-wars/destroy-malevolence-episode-guide, friendlyName=Episode guide</x:v>
      </x:c>
      <x:c r="G15" s="20" t="e">
        <x:f>HYPERLINK("https://www.disneyplus.com/video/7097d305-bca4-40e9-9cf0-cc84d89583a6?cid=DTCI-Synergy-DDN-Site-Acquisition-StarWars-US-StarWars-StarWarsTheCloneWars-EN-BlogArticleEmbed-TCWChronological_StreamOnDisneyPlusCTA-NA","Watch")</x:f>
        <x:v>HYPERLINK is not implemented. linkLocation=https://www.disneyplus.com/video/7097d305-bca4-40e9-9cf0-cc84d89583a6?cid=DTCI-Synergy-DDN-Site-Acquisition-StarWars-US-StarWars-StarWarsTheCloneWars-EN-BlogArticleEmbed-TCWChronological_StreamOnDisneyPlusCTA-NA, friendlyName=Watch</x:v>
      </x:c>
    </x:row>
    <x:row r="16" s="23" customFormat="1" ht="30" customHeight="1">
      <x:c r="A16" s="21" t="b">
        <x:v>0</x:v>
      </x:c>
      <x:c r="B16" s="21" t="n">
        <x:v>10</x:v>
      </x:c>
      <x:c r="C16" s="21" t="inlineStr">
        <x:is>
          <x:t xml:space="preserve">105</x:t>
        </x:is>
      </x:c>
      <x:c r="D16" s="14" t="inlineStr">
        <x:is>
          <x:t xml:space="preserve">Rookies</x:t>
        </x:is>
      </x:c>
      <x:c r="E16" s="14" t="inlineStr">
        <x:is>
          <x:t xml:space="preserve">Season 1, Episode 5</x:t>
        </x:is>
      </x:c>
      <x:c r="F16" s="20" t="e">
        <x:f>HYPERLINK("https://www.starwars.com/tv-shows/clone-wars/rookies-episode-guide","Episode guide")</x:f>
        <x:v>HYPERLINK is not implemented. linkLocation=https://www.starwars.com/tv-shows/clone-wars/rookies-episode-guide, friendlyName=Episode guide</x:v>
      </x:c>
      <x:c r="G16" s="20" t="e">
        <x:f>HYPERLINK("https://www.disneyplus.com/video/598d1e7b-f39e-4527-9487-b5e891f5eefa?cid=DTCI-Synergy-DDN-Site-Acquisition-StarWars-US-StarWars-StarWarsTheCloneWars-EN-BlogArticleEmbed-TCWChronological_StreamOnDisneyPlusCTA-NA","Watch")</x:f>
        <x:v>HYPERLINK is not implemented. linkLocation=https://www.disneyplus.com/video/598d1e7b-f39e-4527-9487-b5e891f5eefa?cid=DTCI-Synergy-DDN-Site-Acquisition-StarWars-US-StarWars-StarWarsTheCloneWars-EN-BlogArticleEmbed-TCWChronological_StreamOnDisneyPlusCTA-NA, friendlyName=Watch</x:v>
      </x:c>
    </x:row>
    <x:row r="17" s="23" customFormat="1" ht="30" customHeight="1">
      <x:c r="A17" s="21" t="b">
        <x:v>0</x:v>
      </x:c>
      <x:c r="B17" s="21" t="n">
        <x:v>11</x:v>
      </x:c>
      <x:c r="C17" s="21" t="inlineStr">
        <x:is>
          <x:t xml:space="preserve">106</x:t>
        </x:is>
      </x:c>
      <x:c r="D17" s="14" t="inlineStr">
        <x:is>
          <x:t xml:space="preserve">Downfall of a Droid</x:t>
        </x:is>
      </x:c>
      <x:c r="E17" s="14" t="inlineStr">
        <x:is>
          <x:t xml:space="preserve">Season 1, Episode 6</x:t>
        </x:is>
      </x:c>
      <x:c r="F17" s="20" t="e">
        <x:f>HYPERLINK("https://www.starwars.com/tv-shows/clone-wars/downfall-of-a-droid-episode-guide","Episode guide")</x:f>
        <x:v>HYPERLINK is not implemented. linkLocation=https://www.starwars.com/tv-shows/clone-wars/downfall-of-a-droid-episode-guide, friendlyName=Episode guide</x:v>
      </x:c>
      <x:c r="G17" s="20" t="e">
        <x:f>HYPERLINK("https://www.disneyplus.com/video/41059c6d-bb4c-4185-91f4-7b5eb3f15849?cid=DTCI-Synergy-DDN-Site-Acquisition-StarWars-US-StarWars-StarWarsTheCloneWars-EN-BlogArticleEmbed-TCWChronological_StreamOnDisneyPlusCTA-NA","Watch")</x:f>
        <x:v>HYPERLINK is not implemented. linkLocation=https://www.disneyplus.com/video/41059c6d-bb4c-4185-91f4-7b5eb3f15849?cid=DTCI-Synergy-DDN-Site-Acquisition-StarWars-US-StarWars-StarWarsTheCloneWars-EN-BlogArticleEmbed-TCWChronological_StreamOnDisneyPlusCTA-NA, friendlyName=Watch</x:v>
      </x:c>
    </x:row>
    <x:row r="18" s="23" customFormat="1" ht="30" customHeight="1">
      <x:c r="A18" s="21" t="b">
        <x:v>0</x:v>
      </x:c>
      <x:c r="B18" s="21" t="n">
        <x:v>12</x:v>
      </x:c>
      <x:c r="C18" s="21" t="inlineStr">
        <x:is>
          <x:t xml:space="preserve">107</x:t>
        </x:is>
      </x:c>
      <x:c r="D18" s="14" t="inlineStr">
        <x:is>
          <x:t xml:space="preserve">Duel of the Droids</x:t>
        </x:is>
      </x:c>
      <x:c r="E18" s="14" t="inlineStr">
        <x:is>
          <x:t xml:space="preserve">Season 1, Episode 7</x:t>
        </x:is>
      </x:c>
      <x:c r="F18" s="20" t="e">
        <x:f>HYPERLINK("https://www.starwars.com/tv-shows/clone-wars/duel-of-the-droids-episode-guide","Episode guide")</x:f>
        <x:v>HYPERLINK is not implemented. linkLocation=https://www.starwars.com/tv-shows/clone-wars/duel-of-the-droids-episode-guide, friendlyName=Episode guide</x:v>
      </x:c>
      <x:c r="G18" s="20" t="e">
        <x:f>HYPERLINK("https://www.disneyplus.com/video/6dfef4c5-f797-4ff3-95ca-2f6e6f865f82?cid=DTCI-Synergy-DDN-Site-Acquisition-StarWars-US-StarWars-StarWarsTheCloneWars-EN-BlogArticleEmbed-TCWChronological_StreamOnDisneyPlusCTA-NA","Watch")</x:f>
        <x:v>HYPERLINK is not implemented. linkLocation=https://www.disneyplus.com/video/6dfef4c5-f797-4ff3-95ca-2f6e6f865f82?cid=DTCI-Synergy-DDN-Site-Acquisition-StarWars-US-StarWars-StarWarsTheCloneWars-EN-BlogArticleEmbed-TCWChronological_StreamOnDisneyPlusCTA-NA, friendlyName=Watch</x:v>
      </x:c>
    </x:row>
    <x:row r="19" s="23" customFormat="1" ht="30" customHeight="1">
      <x:c r="A19" s="21" t="b">
        <x:v>0</x:v>
      </x:c>
      <x:c r="B19" s="21" t="n">
        <x:v>13</x:v>
      </x:c>
      <x:c r="C19" s="21" t="inlineStr">
        <x:is>
          <x:t xml:space="preserve">108</x:t>
        </x:is>
      </x:c>
      <x:c r="D19" s="14" t="inlineStr">
        <x:is>
          <x:t xml:space="preserve">Bombad Jedi</x:t>
        </x:is>
      </x:c>
      <x:c r="E19" s="14" t="inlineStr">
        <x:is>
          <x:t xml:space="preserve">Season 1, Episode 8</x:t>
        </x:is>
      </x:c>
      <x:c r="F19" s="20" t="e">
        <x:f>HYPERLINK("https://www.starwars.com/tv-shows/clone-wars/bombad-jedi-episode-guide","Episode guide")</x:f>
        <x:v>HYPERLINK is not implemented. linkLocation=https://www.starwars.com/tv-shows/clone-wars/bombad-jedi-episode-guide, friendlyName=Episode guide</x:v>
      </x:c>
      <x:c r="G19" s="20" t="e">
        <x:f>HYPERLINK("https://www.disneyplus.com/video/c0491eed-234e-461d-9e98-82dd297e1f6f?cid=DTCI-Synergy-DDN-Site-Acquisition-StarWars-US-StarWars-StarWarsTheCloneWars-EN-BlogArticleEmbed-TCWChronological_StreamOnDisneyPlusCTA-NA","Watch")</x:f>
        <x:v>HYPERLINK is not implemented. linkLocation=https://www.disneyplus.com/video/c0491eed-234e-461d-9e98-82dd297e1f6f?cid=DTCI-Synergy-DDN-Site-Acquisition-StarWars-US-StarWars-StarWarsTheCloneWars-EN-BlogArticleEmbed-TCWChronological_StreamOnDisneyPlusCTA-NA, friendlyName=Watch</x:v>
      </x:c>
    </x:row>
    <x:row r="20" s="23" customFormat="1" ht="30" customHeight="1">
      <x:c r="A20" s="21" t="b">
        <x:v>0</x:v>
      </x:c>
      <x:c r="B20" s="21" t="n">
        <x:v>14</x:v>
      </x:c>
      <x:c r="C20" s="21" t="inlineStr">
        <x:is>
          <x:t xml:space="preserve">109</x:t>
        </x:is>
      </x:c>
      <x:c r="D20" s="14" t="inlineStr">
        <x:is>
          <x:t xml:space="preserve">Cloak of Darkness</x:t>
        </x:is>
      </x:c>
      <x:c r="E20" s="14" t="inlineStr">
        <x:is>
          <x:t xml:space="preserve">Season 1, Episode 9</x:t>
        </x:is>
      </x:c>
      <x:c r="F20" s="20" t="e">
        <x:f>HYPERLINK("https://www.starwars.com/tv-shows/clone-wars/cloak-of-darkness-episode-guide","Episode guide")</x:f>
        <x:v>HYPERLINK is not implemented. linkLocation=https://www.starwars.com/tv-shows/clone-wars/cloak-of-darkness-episode-guide, friendlyName=Episode guide</x:v>
      </x:c>
      <x:c r="G20" s="20" t="e">
        <x:f>HYPERLINK("https://www.disneyplus.com/video/96574cf0-9dd5-48f4-9625-545a13cff7db?cid=DTCI-Synergy-DDN-Site-Acquisition-StarWars-US-StarWars-StarWarsTheCloneWars-EN-BlogArticleEmbed-TCWChronological_StreamOnDisneyPlusCTA-NA","Watch")</x:f>
        <x:v>HYPERLINK is not implemented. linkLocation=https://www.disneyplus.com/video/96574cf0-9dd5-48f4-9625-545a13cff7db?cid=DTCI-Synergy-DDN-Site-Acquisition-StarWars-US-StarWars-StarWarsTheCloneWars-EN-BlogArticleEmbed-TCWChronological_StreamOnDisneyPlusCTA-NA, friendlyName=Watch</x:v>
      </x:c>
    </x:row>
    <x:row r="21" s="23" customFormat="1" ht="30" customHeight="1">
      <x:c r="A21" s="21" t="b">
        <x:v>0</x:v>
      </x:c>
      <x:c r="B21" s="21" t="n">
        <x:v>15</x:v>
      </x:c>
      <x:c r="C21" s="21" t="inlineStr">
        <x:is>
          <x:t xml:space="preserve">110</x:t>
        </x:is>
      </x:c>
      <x:c r="D21" s="14" t="inlineStr">
        <x:is>
          <x:t xml:space="preserve">Lair of Grievous</x:t>
        </x:is>
      </x:c>
      <x:c r="E21" s="14" t="inlineStr">
        <x:is>
          <x:t xml:space="preserve">Season 1, Episode 10</x:t>
        </x:is>
      </x:c>
      <x:c r="F21" s="20" t="e">
        <x:f>HYPERLINK("https://www.starwars.com/tv-shows/clone-wars/lair-of-grievous-episode-guide","Episode guide")</x:f>
        <x:v>HYPERLINK is not implemented. linkLocation=https://www.starwars.com/tv-shows/clone-wars/lair-of-grievous-episode-guide, friendlyName=Episode guide</x:v>
      </x:c>
      <x:c r="G21" s="20" t="e">
        <x:f>HYPERLINK("https://www.disneyplus.com/video/3755d2fb-2904-47a2-9315-fd4969401c30?cid=DTCI-Synergy-DDN-Site-Acquisition-StarWars-US-StarWars-StarWarsTheCloneWars-EN-BlogArticleEmbed-TCWChronological_StreamOnDisneyPlusCTA-NA","Watch")</x:f>
        <x:v>HYPERLINK is not implemented. linkLocation=https://www.disneyplus.com/video/3755d2fb-2904-47a2-9315-fd4969401c30?cid=DTCI-Synergy-DDN-Site-Acquisition-StarWars-US-StarWars-StarWarsTheCloneWars-EN-BlogArticleEmbed-TCWChronological_StreamOnDisneyPlusCTA-NA, friendlyName=Watch</x:v>
      </x:c>
    </x:row>
    <x:row r="22" s="23" customFormat="1" ht="30" customHeight="1">
      <x:c r="A22" s="21" t="b">
        <x:v>0</x:v>
      </x:c>
      <x:c r="B22" s="21" t="n">
        <x:v>16</x:v>
      </x:c>
      <x:c r="C22" s="21" t="inlineStr">
        <x:is>
          <x:t xml:space="preserve">111</x:t>
        </x:is>
      </x:c>
      <x:c r="D22" s="14" t="inlineStr">
        <x:is>
          <x:t xml:space="preserve">Dooku Captured</x:t>
        </x:is>
      </x:c>
      <x:c r="E22" s="14" t="inlineStr">
        <x:is>
          <x:t xml:space="preserve">Season 1, Episode 11</x:t>
        </x:is>
      </x:c>
      <x:c r="F22" s="20" t="e">
        <x:f>HYPERLINK("https://www.starwars.com/tv-shows/clone-wars/dooku-captured-episode-guide","Episode guide")</x:f>
        <x:v>HYPERLINK is not implemented. linkLocation=https://www.starwars.com/tv-shows/clone-wars/dooku-captured-episode-guide, friendlyName=Episode guide</x:v>
      </x:c>
      <x:c r="G22" s="20" t="e">
        <x:f>HYPERLINK("https://www.disneyplus.com/video/9bc09e32-83d9-4e00-a49e-a0241b4fb243?cid=DTCI-Synergy-DDN-Site-Acquisition-StarWars-US-StarWars-StarWarsTheCloneWars-EN-BlogArticleEmbed-TCWChronological_StreamOnDisneyPlusCTA-NA","Watch")</x:f>
        <x:v>HYPERLINK is not implemented. linkLocation=https://www.disneyplus.com/video/9bc09e32-83d9-4e00-a49e-a0241b4fb243?cid=DTCI-Synergy-DDN-Site-Acquisition-StarWars-US-StarWars-StarWarsTheCloneWars-EN-BlogArticleEmbed-TCWChronological_StreamOnDisneyPlusCTA-NA, friendlyName=Watch</x:v>
      </x:c>
    </x:row>
    <x:row r="23" s="23" customFormat="1" ht="30" customHeight="1">
      <x:c r="A23" s="21" t="b">
        <x:v>0</x:v>
      </x:c>
      <x:c r="B23" s="21" t="n">
        <x:v>17</x:v>
      </x:c>
      <x:c r="C23" s="21" t="inlineStr">
        <x:is>
          <x:t xml:space="preserve">112</x:t>
        </x:is>
      </x:c>
      <x:c r="D23" s="14" t="inlineStr">
        <x:is>
          <x:t xml:space="preserve">The Gungan General</x:t>
        </x:is>
      </x:c>
      <x:c r="E23" s="14" t="inlineStr">
        <x:is>
          <x:t xml:space="preserve">Season 1, Episode 12</x:t>
        </x:is>
      </x:c>
      <x:c r="F23" s="20" t="e">
        <x:f>HYPERLINK("https://www.starwars.com/tv-shows/clone-wars/the-gungan-general-episode-guide","Episode guide")</x:f>
        <x:v>HYPERLINK is not implemented. linkLocation=https://www.starwars.com/tv-shows/clone-wars/the-gungan-general-episode-guide, friendlyName=Episode guide</x:v>
      </x:c>
      <x:c r="G23" s="20" t="e">
        <x:f>HYPERLINK("https://www.disneyplus.com/video/c1ac160f-7cc2-444f-a8a6-e1a1aa68d12d?cid=DTCI-Synergy-DDN-Site-Acquisition-StarWars-US-StarWars-StarWarsTheCloneWars-EN-BlogArticleEmbed-TCWChronological_StreamOnDisneyPlusCTA-NA","Watch")</x:f>
        <x:v>HYPERLINK is not implemented. linkLocation=https://www.disneyplus.com/video/c1ac160f-7cc2-444f-a8a6-e1a1aa68d12d?cid=DTCI-Synergy-DDN-Site-Acquisition-StarWars-US-StarWars-StarWarsTheCloneWars-EN-BlogArticleEmbed-TCWChronological_StreamOnDisneyPlusCTA-NA, friendlyName=Watch</x:v>
      </x:c>
    </x:row>
    <x:row r="24" s="23" customFormat="1" ht="30" customHeight="1">
      <x:c r="A24" s="21" t="b">
        <x:v>0</x:v>
      </x:c>
      <x:c r="B24" s="21" t="n">
        <x:v>18</x:v>
      </x:c>
      <x:c r="C24" s="21" t="inlineStr">
        <x:is>
          <x:t xml:space="preserve">113</x:t>
        </x:is>
      </x:c>
      <x:c r="D24" s="14" t="inlineStr">
        <x:is>
          <x:t xml:space="preserve">Jedi Crash</x:t>
        </x:is>
      </x:c>
      <x:c r="E24" s="14" t="inlineStr">
        <x:is>
          <x:t xml:space="preserve">Season 1, Episode 13</x:t>
        </x:is>
      </x:c>
      <x:c r="F24" s="20" t="e">
        <x:f>HYPERLINK("https://www.starwars.com/tv-shows/clone-wars/jedi-crash-episode-guide","Episode guide")</x:f>
        <x:v>HYPERLINK is not implemented. linkLocation=https://www.starwars.com/tv-shows/clone-wars/jedi-crash-episode-guide, friendlyName=Episode guide</x:v>
      </x:c>
      <x:c r="G24" s="20" t="e">
        <x:f>HYPERLINK("https://www.disneyplus.com/video/28c0b907-8efe-4400-af50-c13c66e18468?cid=DTCI-Synergy-DDN-Site-Acquisition-StarWars-US-StarWars-StarWarsTheCloneWars-EN-BlogArticleEmbed-TCWChronological_StreamOnDisneyPlusCTA-NA","Watch")</x:f>
        <x:v>HYPERLINK is not implemented. linkLocation=https://www.disneyplus.com/video/28c0b907-8efe-4400-af50-c13c66e18468?cid=DTCI-Synergy-DDN-Site-Acquisition-StarWars-US-StarWars-StarWarsTheCloneWars-EN-BlogArticleEmbed-TCWChronological_StreamOnDisneyPlusCTA-NA, friendlyName=Watch</x:v>
      </x:c>
    </x:row>
    <x:row r="25" s="23" customFormat="1" ht="30" customHeight="1">
      <x:c r="A25" s="21" t="b">
        <x:v>0</x:v>
      </x:c>
      <x:c r="B25" s="21" t="n">
        <x:v>19</x:v>
      </x:c>
      <x:c r="C25" s="21" t="inlineStr">
        <x:is>
          <x:t xml:space="preserve">114</x:t>
        </x:is>
      </x:c>
      <x:c r="D25" s="14" t="inlineStr">
        <x:is>
          <x:t xml:space="preserve">Defenders of Peace</x:t>
        </x:is>
      </x:c>
      <x:c r="E25" s="14" t="inlineStr">
        <x:is>
          <x:t xml:space="preserve">Season 1, Episode 14</x:t>
        </x:is>
      </x:c>
      <x:c r="F25" s="20" t="e">
        <x:f>HYPERLINK("https://www.starwars.com/tv-shows/clone-wars/defenders-of-peace-episode-guide","Episode guide")</x:f>
        <x:v>HYPERLINK is not implemented. linkLocation=https://www.starwars.com/tv-shows/clone-wars/defenders-of-peace-episode-guide, friendlyName=Episode guide</x:v>
      </x:c>
      <x:c r="G25" s="20" t="e">
        <x:f>HYPERLINK("https://www.disneyplus.com/video/b258d36e-98da-419a-bcc4-58826cd79f95?cid=DTCI-Synergy-DDN-Site-Acquisition-StarWars-US-StarWars-StarWarsTheCloneWars-EN-BlogArticleEmbed-TCWChronological_StreamOnDisneyPlusCTA-NA","Watch")</x:f>
        <x:v>HYPERLINK is not implemented. linkLocation=https://www.disneyplus.com/video/b258d36e-98da-419a-bcc4-58826cd79f95?cid=DTCI-Synergy-DDN-Site-Acquisition-StarWars-US-StarWars-StarWarsTheCloneWars-EN-BlogArticleEmbed-TCWChronological_StreamOnDisneyPlusCTA-NA, friendlyName=Watch</x:v>
      </x:c>
    </x:row>
    <x:row r="26" s="23" customFormat="1" ht="30" customHeight="1">
      <x:c r="A26" s="21" t="b">
        <x:v>0</x:v>
      </x:c>
      <x:c r="B26" s="21" t="n">
        <x:v>20</x:v>
      </x:c>
      <x:c r="C26" s="21" t="inlineStr">
        <x:is>
          <x:t xml:space="preserve">115</x:t>
        </x:is>
      </x:c>
      <x:c r="D26" s="14" t="inlineStr">
        <x:is>
          <x:t xml:space="preserve">Trespass</x:t>
        </x:is>
      </x:c>
      <x:c r="E26" s="14" t="inlineStr">
        <x:is>
          <x:t xml:space="preserve">Season 1, Episode 15</x:t>
        </x:is>
      </x:c>
      <x:c r="F26" s="20" t="e">
        <x:f>HYPERLINK("https://www.starwars.com/tv-shows/clone-wars/trespass-episode-guide","Episode guide")</x:f>
        <x:v>HYPERLINK is not implemented. linkLocation=https://www.starwars.com/tv-shows/clone-wars/trespass-episode-guide, friendlyName=Episode guide</x:v>
      </x:c>
      <x:c r="G26" s="20" t="e">
        <x:f>HYPERLINK("https://www.disneyplus.com/video/bf62fc31-f895-4dec-9d96-6635bda89f26?cid=DTCI-Synergy-DDN-Site-Acquisition-StarWars-US-StarWars-StarWarsTheCloneWars-EN-BlogArticleEmbed-TCWChronological_StreamOnDisneyPlusCTA-NA","Watch")</x:f>
        <x:v>HYPERLINK is not implemented. linkLocation=https://www.disneyplus.com/video/bf62fc31-f895-4dec-9d96-6635bda89f26?cid=DTCI-Synergy-DDN-Site-Acquisition-StarWars-US-StarWars-StarWarsTheCloneWars-EN-BlogArticleEmbed-TCWChronological_StreamOnDisneyPlusCTA-NA, friendlyName=Watch</x:v>
      </x:c>
    </x:row>
    <x:row r="27" s="23" customFormat="1" ht="30" customHeight="1">
      <x:c r="A27" s="21" t="b">
        <x:v>0</x:v>
      </x:c>
      <x:c r="B27" s="21" t="n">
        <x:v>21</x:v>
      </x:c>
      <x:c r="C27" s="21" t="inlineStr">
        <x:is>
          <x:t xml:space="preserve">117</x:t>
        </x:is>
      </x:c>
      <x:c r="D27" s="14" t="inlineStr">
        <x:is>
          <x:t xml:space="preserve">Blue Shadow Virus</x:t>
        </x:is>
      </x:c>
      <x:c r="E27" s="14" t="inlineStr">
        <x:is>
          <x:t xml:space="preserve">Season 1, Episode 17</x:t>
        </x:is>
      </x:c>
      <x:c r="F27" s="20" t="e">
        <x:f>HYPERLINK("https://www.starwars.com/tv-shows/clone-wars/blue-shadow-virus-episode-guide","Episode guide")</x:f>
        <x:v>HYPERLINK is not implemented. linkLocation=https://www.starwars.com/tv-shows/clone-wars/blue-shadow-virus-episode-guide, friendlyName=Episode guide</x:v>
      </x:c>
      <x:c r="G27" s="20" t="e">
        <x:f>HYPERLINK("https://www.disneyplus.com/video/393b2b72-7e23-420d-ae09-f5332cb6b726?cid=DTCI-Synergy-DDN-Site-Acquisition-StarWars-US-StarWars-StarWarsTheCloneWars-EN-BlogArticleEmbed-TCWChronological_StreamOnDisneyPlusCTA-NA","Watch")</x:f>
        <x:v>HYPERLINK is not implemented. linkLocation=https://www.disneyplus.com/video/393b2b72-7e23-420d-ae09-f5332cb6b726?cid=DTCI-Synergy-DDN-Site-Acquisition-StarWars-US-StarWars-StarWarsTheCloneWars-EN-BlogArticleEmbed-TCWChronological_StreamOnDisneyPlusCTA-NA, friendlyName=Watch</x:v>
      </x:c>
    </x:row>
    <x:row r="28" s="23" customFormat="1" ht="30" customHeight="1">
      <x:c r="A28" s="21" t="b">
        <x:v>0</x:v>
      </x:c>
      <x:c r="B28" s="21" t="n">
        <x:v>22</x:v>
      </x:c>
      <x:c r="C28" s="21" t="inlineStr">
        <x:is>
          <x:t xml:space="preserve">118</x:t>
        </x:is>
      </x:c>
      <x:c r="D28" s="14" t="inlineStr">
        <x:is>
          <x:t xml:space="preserve">Mystery of a Thousand Moons</x:t>
        </x:is>
      </x:c>
      <x:c r="E28" s="14" t="inlineStr">
        <x:is>
          <x:t xml:space="preserve">Season 1, Episode 18</x:t>
        </x:is>
      </x:c>
      <x:c r="F28" s="20" t="e">
        <x:f>HYPERLINK("https://www.starwars.com/tv-shows/clone-wars/mystery-of-a-thousand-moons-episode-guide","Episode guide")</x:f>
        <x:v>HYPERLINK is not implemented. linkLocation=https://www.starwars.com/tv-shows/clone-wars/mystery-of-a-thousand-moons-episode-guide, friendlyName=Episode guide</x:v>
      </x:c>
      <x:c r="G28" s="20" t="e">
        <x:f>HYPERLINK("https://www.disneyplus.com/video/f6fe3f35-5e5e-440b-97d6-425ea1a1820d?cid=DTCI-Synergy-DDN-Site-Acquisition-StarWars-US-StarWars-StarWarsTheCloneWars-EN-BlogArticleEmbed-TCWChronological_StreamOnDisneyPlusCTA-NA","Watch")</x:f>
        <x:v>HYPERLINK is not implemented. linkLocation=https://www.disneyplus.com/video/f6fe3f35-5e5e-440b-97d6-425ea1a1820d?cid=DTCI-Synergy-DDN-Site-Acquisition-StarWars-US-StarWars-StarWarsTheCloneWars-EN-BlogArticleEmbed-TCWChronological_StreamOnDisneyPlusCTA-NA, friendlyName=Watch</x:v>
      </x:c>
    </x:row>
    <x:row r="29" s="23" customFormat="1" ht="30" customHeight="1">
      <x:c r="A29" s="21" t="b">
        <x:v>0</x:v>
      </x:c>
      <x:c r="B29" s="21" t="n">
        <x:v>23</x:v>
      </x:c>
      <x:c r="C29" s="21" t="inlineStr">
        <x:is>
          <x:t xml:space="preserve">119</x:t>
        </x:is>
      </x:c>
      <x:c r="D29" s="14" t="inlineStr">
        <x:is>
          <x:t xml:space="preserve">Storm over Ryloth</x:t>
        </x:is>
      </x:c>
      <x:c r="E29" s="14" t="inlineStr">
        <x:is>
          <x:t xml:space="preserve">Season 1, Episode 19</x:t>
        </x:is>
      </x:c>
      <x:c r="F29" s="20" t="e">
        <x:f>HYPERLINK("https://www.starwars.com/tv-shows/clone-wars/storm-over-ryloth-episode-guide","Episode guide")</x:f>
        <x:v>HYPERLINK is not implemented. linkLocation=https://www.starwars.com/tv-shows/clone-wars/storm-over-ryloth-episode-guide, friendlyName=Episode guide</x:v>
      </x:c>
      <x:c r="G29" s="20" t="e">
        <x:f>HYPERLINK("https://www.disneyplus.com/video/76710ca6-5a5f-4fbd-8bc3-2a62beba88cf?cid=DTCI-Synergy-DDN-Site-Acquisition-StarWars-US-StarWars-StarWarsTheCloneWars-EN-BlogArticleEmbed-TCWChronological_StreamOnDisneyPlusCTA-NA","Watch")</x:f>
        <x:v>HYPERLINK is not implemented. linkLocation=https://www.disneyplus.com/video/76710ca6-5a5f-4fbd-8bc3-2a62beba88cf?cid=DTCI-Synergy-DDN-Site-Acquisition-StarWars-US-StarWars-StarWarsTheCloneWars-EN-BlogArticleEmbed-TCWChronological_StreamOnDisneyPlusCTA-NA, friendlyName=Watch</x:v>
      </x:c>
    </x:row>
    <x:row r="30" s="23" customFormat="1" ht="30" customHeight="1">
      <x:c r="A30" s="21" t="b">
        <x:v>0</x:v>
      </x:c>
      <x:c r="B30" s="21" t="n">
        <x:v>24</x:v>
      </x:c>
      <x:c r="C30" s="21" t="inlineStr">
        <x:is>
          <x:t xml:space="preserve">120</x:t>
        </x:is>
      </x:c>
      <x:c r="D30" s="14" t="inlineStr">
        <x:is>
          <x:t xml:space="preserve">Innocents of Ryloth</x:t>
        </x:is>
      </x:c>
      <x:c r="E30" s="14" t="inlineStr">
        <x:is>
          <x:t xml:space="preserve">Season 1, Episode 20</x:t>
        </x:is>
      </x:c>
      <x:c r="F30" s="20" t="e">
        <x:f>HYPERLINK("https://www.starwars.com/tv-shows/clone-wars/innocents-of-ryloth-episode-guide","Episode guide")</x:f>
        <x:v>HYPERLINK is not implemented. linkLocation=https://www.starwars.com/tv-shows/clone-wars/innocents-of-ryloth-episode-guide, friendlyName=Episode guide</x:v>
      </x:c>
      <x:c r="G30" s="20" t="e">
        <x:f>HYPERLINK("https://www.disneyplus.com/video/d4f5abd5-3e71-4cef-9928-6be9527fdb89?cid=DTCI-Synergy-DDN-Site-Acquisition-StarWars-US-StarWars-StarWarsTheCloneWars-EN-BlogArticleEmbed-TCWChronological_StreamOnDisneyPlusCTA-NA","Watch")</x:f>
        <x:v>HYPERLINK is not implemented. linkLocation=https://www.disneyplus.com/video/d4f5abd5-3e71-4cef-9928-6be9527fdb89?cid=DTCI-Synergy-DDN-Site-Acquisition-StarWars-US-StarWars-StarWarsTheCloneWars-EN-BlogArticleEmbed-TCWChronological_StreamOnDisneyPlusCTA-NA, friendlyName=Watch</x:v>
      </x:c>
    </x:row>
    <x:row r="31" s="23" customFormat="1" ht="30" customHeight="1">
      <x:c r="A31" s="21" t="b">
        <x:v>0</x:v>
      </x:c>
      <x:c r="B31" s="21" t="n">
        <x:v>25</x:v>
      </x:c>
      <x:c r="C31" s="21" t="inlineStr">
        <x:is>
          <x:t xml:space="preserve">121</x:t>
        </x:is>
      </x:c>
      <x:c r="D31" s="14" t="inlineStr">
        <x:is>
          <x:t xml:space="preserve">Liberty on Ryloth</x:t>
        </x:is>
      </x:c>
      <x:c r="E31" s="14" t="inlineStr">
        <x:is>
          <x:t xml:space="preserve">Season 1, Episode 21</x:t>
        </x:is>
      </x:c>
      <x:c r="F31" s="20" t="e">
        <x:f>HYPERLINK("https://www.starwars.com/tv-shows/clone-wars/liberty-on-ryloth-episode-guide","Episode guide")</x:f>
        <x:v>HYPERLINK is not implemented. linkLocation=https://www.starwars.com/tv-shows/clone-wars/liberty-on-ryloth-episode-guide, friendlyName=Episode guide</x:v>
      </x:c>
      <x:c r="G31" s="20" t="e">
        <x:f>HYPERLINK("https://www.disneyplus.com/video/0f87705e-7773-4154-8ff8-fdee5671431d?cid=DTCI-Synergy-DDN-Site-Acquisition-StarWars-US-StarWars-StarWarsTheCloneWars-EN-BlogArticleEmbed-TCWChronological_StreamOnDisneyPlusCTA-NA","Watch")</x:f>
        <x:v>HYPERLINK is not implemented. linkLocation=https://www.disneyplus.com/video/0f87705e-7773-4154-8ff8-fdee5671431d?cid=DTCI-Synergy-DDN-Site-Acquisition-StarWars-US-StarWars-StarWarsTheCloneWars-EN-BlogArticleEmbed-TCWChronological_StreamOnDisneyPlusCTA-NA, friendlyName=Watch</x:v>
      </x:c>
    </x:row>
    <x:row r="32" s="23" customFormat="1" ht="30" customHeight="1">
      <x:c r="A32" s="21" t="b">
        <x:v>0</x:v>
      </x:c>
      <x:c r="B32" s="21" t="n">
        <x:v>26</x:v>
      </x:c>
      <x:c r="C32" s="21" t="inlineStr">
        <x:is>
          <x:t xml:space="preserve">201</x:t>
        </x:is>
      </x:c>
      <x:c r="D32" s="14" t="inlineStr">
        <x:is>
          <x:t xml:space="preserve">Holocron Heist</x:t>
        </x:is>
      </x:c>
      <x:c r="E32" s="14" t="inlineStr">
        <x:is>
          <x:t xml:space="preserve">Season 2, Episode 1</x:t>
        </x:is>
      </x:c>
      <x:c r="F32" s="20" t="e">
        <x:f>HYPERLINK("https://www.starwars.com/tv-shows/clone-wars/holocron-heist-episode-guide","Episode guide")</x:f>
        <x:v>HYPERLINK is not implemented. linkLocation=https://www.starwars.com/tv-shows/clone-wars/holocron-heist-episode-guide, friendlyName=Episode guide</x:v>
      </x:c>
      <x:c r="G32" s="20" t="e">
        <x:f>HYPERLINK("https://www.disneyplus.com/video/0eb555a3-9420-4364-aef2-7186f5e4fb4e?cid=DTCI-Synergy-DDN-Site-Acquisition-StarWars-US-StarWars-StarWarsTheCloneWars-EN-BlogArticleEmbed-TCWChronological_StreamOnDisneyPlusCTA-NA","Watch")</x:f>
        <x:v>HYPERLINK is not implemented. linkLocation=https://www.disneyplus.com/video/0eb555a3-9420-4364-aef2-7186f5e4fb4e?cid=DTCI-Synergy-DDN-Site-Acquisition-StarWars-US-StarWars-StarWarsTheCloneWars-EN-BlogArticleEmbed-TCWChronological_StreamOnDisneyPlusCTA-NA, friendlyName=Watch</x:v>
      </x:c>
    </x:row>
    <x:row r="33" s="23" customFormat="1" ht="30" customHeight="1">
      <x:c r="A33" s="21" t="b">
        <x:v>0</x:v>
      </x:c>
      <x:c r="B33" s="21" t="n">
        <x:v>27</x:v>
      </x:c>
      <x:c r="C33" s="21" t="inlineStr">
        <x:is>
          <x:t xml:space="preserve">202</x:t>
        </x:is>
      </x:c>
      <x:c r="D33" s="14" t="inlineStr">
        <x:is>
          <x:t xml:space="preserve">Cargo of Doom</x:t>
        </x:is>
      </x:c>
      <x:c r="E33" s="14" t="inlineStr">
        <x:is>
          <x:t xml:space="preserve">Season 2, Episode 2</x:t>
        </x:is>
      </x:c>
      <x:c r="F33" s="20" t="e">
        <x:f>HYPERLINK("https://www.starwars.com/tv-shows/clone-wars/cargo-of-doom-episode-guide","Episode guide")</x:f>
        <x:v>HYPERLINK is not implemented. linkLocation=https://www.starwars.com/tv-shows/clone-wars/cargo-of-doom-episode-guide, friendlyName=Episode guide</x:v>
      </x:c>
      <x:c r="G33" s="20" t="e">
        <x:f>HYPERLINK("https://www.disneyplus.com/video/865525da-5daa-4188-9bca-8abd942909fd?cid=DTCI-Synergy-DDN-Site-Acquisition-StarWars-US-StarWars-StarWarsTheCloneWars-EN-BlogArticleEmbed-TCWChronological_StreamOnDisneyPlusCTA-NA","Watch")</x:f>
        <x:v>HYPERLINK is not implemented. linkLocation=https://www.disneyplus.com/video/865525da-5daa-4188-9bca-8abd942909fd?cid=DTCI-Synergy-DDN-Site-Acquisition-StarWars-US-StarWars-StarWarsTheCloneWars-EN-BlogArticleEmbed-TCWChronological_StreamOnDisneyPlusCTA-NA, friendlyName=Watch</x:v>
      </x:c>
    </x:row>
    <x:row r="34" s="23" customFormat="1" ht="30" customHeight="1">
      <x:c r="A34" s="21" t="b">
        <x:v>0</x:v>
      </x:c>
      <x:c r="B34" s="21" t="n">
        <x:v>28</x:v>
      </x:c>
      <x:c r="C34" s="21" t="inlineStr">
        <x:is>
          <x:t xml:space="preserve">203</x:t>
        </x:is>
      </x:c>
      <x:c r="D34" s="14" t="inlineStr">
        <x:is>
          <x:t xml:space="preserve">Children of the Force</x:t>
        </x:is>
      </x:c>
      <x:c r="E34" s="14" t="inlineStr">
        <x:is>
          <x:t xml:space="preserve">Season 2, Episode 3</x:t>
        </x:is>
      </x:c>
      <x:c r="F34" s="20" t="e">
        <x:f>HYPERLINK("https://www.starwars.com/tv-shows/clone-wars/children-of-the-force-episode-guide","Episode guide")</x:f>
        <x:v>HYPERLINK is not implemented. linkLocation=https://www.starwars.com/tv-shows/clone-wars/children-of-the-force-episode-guide, friendlyName=Episode guide</x:v>
      </x:c>
      <x:c r="G34" s="20" t="e">
        <x:f>HYPERLINK("https://www.disneyplus.com/video/2b77cbb2-045c-456d-a551-be454175ca28?cid=DTCI-Synergy-DDN-Site-Acquisition-StarWars-US-StarWars-StarWarsTheCloneWars-EN-BlogArticleEmbed-TCWChronological_StreamOnDisneyPlusCTA-NA","Watch")</x:f>
        <x:v>HYPERLINK is not implemented. linkLocation=https://www.disneyplus.com/video/2b77cbb2-045c-456d-a551-be454175ca28?cid=DTCI-Synergy-DDN-Site-Acquisition-StarWars-US-StarWars-StarWarsTheCloneWars-EN-BlogArticleEmbed-TCWChronological_StreamOnDisneyPlusCTA-NA, friendlyName=Watch</x:v>
      </x:c>
    </x:row>
    <x:row r="35" s="23" customFormat="1" ht="30" customHeight="1">
      <x:c r="A35" s="21" t="b">
        <x:v>0</x:v>
      </x:c>
      <x:c r="B35" s="21" t="n">
        <x:v>29</x:v>
      </x:c>
      <x:c r="C35" s="21" t="inlineStr">
        <x:is>
          <x:t xml:space="preserve">217</x:t>
        </x:is>
      </x:c>
      <x:c r="D35" s="14" t="inlineStr">
        <x:is>
          <x:t xml:space="preserve">Bounty Hunters</x:t>
        </x:is>
      </x:c>
      <x:c r="E35" s="14" t="inlineStr">
        <x:is>
          <x:t xml:space="preserve">Season 2, Episode 17</x:t>
        </x:is>
      </x:c>
      <x:c r="F35" s="20" t="e">
        <x:f>HYPERLINK("https://www.starwars.com/tv-shows/clone-wars/bounty-hunters-episode-guide","Episode guide")</x:f>
        <x:v>HYPERLINK is not implemented. linkLocation=https://www.starwars.com/tv-shows/clone-wars/bounty-hunters-episode-guide, friendlyName=Episode guide</x:v>
      </x:c>
      <x:c r="G35" s="20" t="e">
        <x:f>HYPERLINK("https://www.disneyplus.com/video/2bfad4dd-0bf4-4c76-a7ce-7e34df37618a?cid=DTCI-Synergy-DDN-Site-Acquisition-StarWars-US-StarWars-StarWarsTheCloneWars-EN-BlogArticleEmbed-TCWChronological_StreamOnDisneyPlusCTA-NA","Watch")</x:f>
        <x:v>HYPERLINK is not implemented. linkLocation=https://www.disneyplus.com/video/2bfad4dd-0bf4-4c76-a7ce-7e34df37618a?cid=DTCI-Synergy-DDN-Site-Acquisition-StarWars-US-StarWars-StarWarsTheCloneWars-EN-BlogArticleEmbed-TCWChronological_StreamOnDisneyPlusCTA-NA, friendlyName=Watch</x:v>
      </x:c>
    </x:row>
    <x:row r="36" s="23" customFormat="1" ht="30" customHeight="1">
      <x:c r="A36" s="21" t="b">
        <x:v>0</x:v>
      </x:c>
      <x:c r="B36" s="21" t="n">
        <x:v>30</x:v>
      </x:c>
      <x:c r="C36" s="21" t="inlineStr">
        <x:is>
          <x:t xml:space="preserve">218</x:t>
        </x:is>
      </x:c>
      <x:c r="D36" s="14" t="inlineStr">
        <x:is>
          <x:t xml:space="preserve">The Zillo Beast</x:t>
        </x:is>
      </x:c>
      <x:c r="E36" s="14" t="inlineStr">
        <x:is>
          <x:t xml:space="preserve">Season 2, Episode 18</x:t>
        </x:is>
      </x:c>
      <x:c r="F36" s="20" t="e">
        <x:f>HYPERLINK("https://www.starwars.com/tv-shows/clone-wars/the-zillo-beast-episode-guide","Episode guide")</x:f>
        <x:v>HYPERLINK is not implemented. linkLocation=https://www.starwars.com/tv-shows/clone-wars/the-zillo-beast-episode-guide, friendlyName=Episode guide</x:v>
      </x:c>
      <x:c r="G36" s="20" t="e">
        <x:f>HYPERLINK("https://www.disneyplus.com/video/13d1cbe9-abf9-4691-a407-228d16cfa48d?cid=DTCI-Synergy-DDN-Site-Acquisition-StarWars-US-StarWars-StarWarsTheCloneWars-EN-BlogArticleEmbed-TCWChronological_StreamOnDisneyPlusCTA-NA","Watch")</x:f>
        <x:v>HYPERLINK is not implemented. linkLocation=https://www.disneyplus.com/video/13d1cbe9-abf9-4691-a407-228d16cfa48d?cid=DTCI-Synergy-DDN-Site-Acquisition-StarWars-US-StarWars-StarWarsTheCloneWars-EN-BlogArticleEmbed-TCWChronological_StreamOnDisneyPlusCTA-NA, friendlyName=Watch</x:v>
      </x:c>
    </x:row>
    <x:row r="37" s="23" customFormat="1" ht="30" customHeight="1">
      <x:c r="A37" s="21" t="b">
        <x:v>0</x:v>
      </x:c>
      <x:c r="B37" s="21" t="n">
        <x:v>31</x:v>
      </x:c>
      <x:c r="C37" s="21" t="inlineStr">
        <x:is>
          <x:t xml:space="preserve">219</x:t>
        </x:is>
      </x:c>
      <x:c r="D37" s="14" t="inlineStr">
        <x:is>
          <x:t xml:space="preserve">The Zillo Beast Strikes Back</x:t>
        </x:is>
      </x:c>
      <x:c r="E37" s="14" t="inlineStr">
        <x:is>
          <x:t xml:space="preserve">Season 2, Episode 19</x:t>
        </x:is>
      </x:c>
      <x:c r="F37" s="20" t="e">
        <x:f>HYPERLINK("https://www.starwars.com/tv-shows/clone-wars/the-zillo-beast-strikes-back-episode-guide","Episode guide")</x:f>
        <x:v>HYPERLINK is not implemented. linkLocation=https://www.starwars.com/tv-shows/clone-wars/the-zillo-beast-strikes-back-episode-guide, friendlyName=Episode guide</x:v>
      </x:c>
      <x:c r="G37" s="20" t="e">
        <x:f>HYPERLINK("https://www.disneyplus.com/video/6f2cd6cf-8e7a-42e6-893a-6465f2683648?cid=DTCI-Synergy-DDN-Site-Acquisition-StarWars-US-StarWars-StarWarsTheCloneWars-EN-BlogArticleEmbed-TCWChronological_StreamOnDisneyPlusCTA-NA","Watch")</x:f>
        <x:v>HYPERLINK is not implemented. linkLocation=https://www.disneyplus.com/video/6f2cd6cf-8e7a-42e6-893a-6465f2683648?cid=DTCI-Synergy-DDN-Site-Acquisition-StarWars-US-StarWars-StarWarsTheCloneWars-EN-BlogArticleEmbed-TCWChronological_StreamOnDisneyPlusCTA-NA, friendlyName=Watch</x:v>
      </x:c>
    </x:row>
    <x:row r="38" s="23" customFormat="1" ht="30" customHeight="1">
      <x:c r="A38" s="21" t="b">
        <x:v>0</x:v>
      </x:c>
      <x:c r="B38" s="21" t="n">
        <x:v>32</x:v>
      </x:c>
      <x:c r="C38" s="21" t="inlineStr">
        <x:is>
          <x:t xml:space="preserve">204</x:t>
        </x:is>
      </x:c>
      <x:c r="D38" s="14" t="inlineStr">
        <x:is>
          <x:t xml:space="preserve">Senate Spy</x:t>
        </x:is>
      </x:c>
      <x:c r="E38" s="14" t="inlineStr">
        <x:is>
          <x:t xml:space="preserve">Season 2, Episode 4</x:t>
        </x:is>
      </x:c>
      <x:c r="F38" s="20" t="e">
        <x:f>HYPERLINK("https://www.starwars.com/tv-shows/clone-wars/senate-spy-episode-guide","Episode guide")</x:f>
        <x:v>HYPERLINK is not implemented. linkLocation=https://www.starwars.com/tv-shows/clone-wars/senate-spy-episode-guide, friendlyName=Episode guide</x:v>
      </x:c>
      <x:c r="G38" s="20" t="e">
        <x:f>HYPERLINK("https://www.disneyplus.com/video/094ea69a-1e8f-44cd-9ebb-1551993b5129?cid=DTCI-Synergy-DDN-Site-Acquisition-StarWars-US-StarWars-StarWarsTheCloneWars-EN-BlogArticleEmbed-TCWChronological_StreamOnDisneyPlusCTA-NA","Watch")</x:f>
        <x:v>HYPERLINK is not implemented. linkLocation=https://www.disneyplus.com/video/094ea69a-1e8f-44cd-9ebb-1551993b5129?cid=DTCI-Synergy-DDN-Site-Acquisition-StarWars-US-StarWars-StarWarsTheCloneWars-EN-BlogArticleEmbed-TCWChronological_StreamOnDisneyPlusCTA-NA, friendlyName=Watch</x:v>
      </x:c>
    </x:row>
    <x:row r="39" s="23" customFormat="1" ht="30" customHeight="1">
      <x:c r="A39" s="21" t="b">
        <x:v>0</x:v>
      </x:c>
      <x:c r="B39" s="21" t="n">
        <x:v>33</x:v>
      </x:c>
      <x:c r="C39" s="21" t="inlineStr">
        <x:is>
          <x:t xml:space="preserve">205</x:t>
        </x:is>
      </x:c>
      <x:c r="D39" s="14" t="inlineStr">
        <x:is>
          <x:t xml:space="preserve">Landing at Point Rain</x:t>
        </x:is>
      </x:c>
      <x:c r="E39" s="14" t="inlineStr">
        <x:is>
          <x:t xml:space="preserve">Season 2, Episode 5</x:t>
        </x:is>
      </x:c>
      <x:c r="F39" s="20" t="e">
        <x:f>HYPERLINK("https://www.starwars.com/tv-shows/clone-wars/landing-at-point-rain-episode-guide","Episode guide")</x:f>
        <x:v>HYPERLINK is not implemented. linkLocation=https://www.starwars.com/tv-shows/clone-wars/landing-at-point-rain-episode-guide, friendlyName=Episode guide</x:v>
      </x:c>
      <x:c r="G39" s="20" t="e">
        <x:f>HYPERLINK("https://www.disneyplus.com/video/6ba55d34-2db4-4f82-b219-fc82500ca89a?cid=DTCI-Synergy-DDN-Site-Acquisition-StarWars-US-StarWars-StarWarsTheCloneWars-EN-BlogArticleEmbed-TCWChronological_StreamOnDisneyPlusCTA-NA","Watch")</x:f>
        <x:v>HYPERLINK is not implemented. linkLocation=https://www.disneyplus.com/video/6ba55d34-2db4-4f82-b219-fc82500ca89a?cid=DTCI-Synergy-DDN-Site-Acquisition-StarWars-US-StarWars-StarWarsTheCloneWars-EN-BlogArticleEmbed-TCWChronological_StreamOnDisneyPlusCTA-NA, friendlyName=Watch</x:v>
      </x:c>
    </x:row>
    <x:row r="40" s="23" customFormat="1" ht="30" customHeight="1">
      <x:c r="A40" s="21" t="b">
        <x:v>0</x:v>
      </x:c>
      <x:c r="B40" s="21" t="n">
        <x:v>34</x:v>
      </x:c>
      <x:c r="C40" s="21" t="inlineStr">
        <x:is>
          <x:t xml:space="preserve">206</x:t>
        </x:is>
      </x:c>
      <x:c r="D40" s="14" t="inlineStr">
        <x:is>
          <x:t xml:space="preserve">Weapons Factory</x:t>
        </x:is>
      </x:c>
      <x:c r="E40" s="14" t="inlineStr">
        <x:is>
          <x:t xml:space="preserve">Season 2, Episode 6</x:t>
        </x:is>
      </x:c>
      <x:c r="F40" s="20" t="e">
        <x:f>HYPERLINK("https://www.starwars.com/tv-shows/clone-wars/weapons-factory-episode-guide","Episode guide")</x:f>
        <x:v>HYPERLINK is not implemented. linkLocation=https://www.starwars.com/tv-shows/clone-wars/weapons-factory-episode-guide, friendlyName=Episode guide</x:v>
      </x:c>
      <x:c r="G40" s="20" t="e">
        <x:f>HYPERLINK("https://www.disneyplus.com/video/a4fc767f-a20d-4fb6-b8ce-5e9b6ec80dac?cid=DTCI-Synergy-DDN-Site-Acquisition-StarWars-US-StarWars-StarWarsTheCloneWars-EN-BlogArticleEmbed-TCWChronological_StreamOnDisneyPlusCTA-NA","Watch")</x:f>
        <x:v>HYPERLINK is not implemented. linkLocation=https://www.disneyplus.com/video/a4fc767f-a20d-4fb6-b8ce-5e9b6ec80dac?cid=DTCI-Synergy-DDN-Site-Acquisition-StarWars-US-StarWars-StarWarsTheCloneWars-EN-BlogArticleEmbed-TCWChronological_StreamOnDisneyPlusCTA-NA, friendlyName=Watch</x:v>
      </x:c>
    </x:row>
    <x:row r="41" s="23" customFormat="1" ht="30" customHeight="1">
      <x:c r="A41" s="21" t="b">
        <x:v>0</x:v>
      </x:c>
      <x:c r="B41" s="21" t="n">
        <x:v>35</x:v>
      </x:c>
      <x:c r="C41" s="21" t="inlineStr">
        <x:is>
          <x:t xml:space="preserve">207</x:t>
        </x:is>
      </x:c>
      <x:c r="D41" s="14" t="inlineStr">
        <x:is>
          <x:t xml:space="preserve">Legacy of Terror</x:t>
        </x:is>
      </x:c>
      <x:c r="E41" s="14" t="inlineStr">
        <x:is>
          <x:t xml:space="preserve">Season 2, Episode 7</x:t>
        </x:is>
      </x:c>
      <x:c r="F41" s="20" t="e">
        <x:f>HYPERLINK("https://www.starwars.com/tv-shows/clone-wars/legacy-of-terror-episode-guide","Episode guide")</x:f>
        <x:v>HYPERLINK is not implemented. linkLocation=https://www.starwars.com/tv-shows/clone-wars/legacy-of-terror-episode-guide, friendlyName=Episode guide</x:v>
      </x:c>
      <x:c r="G41" s="20" t="e">
        <x:f>HYPERLINK("https://www.disneyplus.com/video/ed8f1cb7-f3e3-4ab0-af03-888ba8b20d25?cid=DTCI-Synergy-DDN-Site-Acquisition-StarWars-US-StarWars-StarWarsTheCloneWars-EN-BlogArticleEmbed-TCWChronological_StreamOnDisneyPlusCTA-NA","Watch")</x:f>
        <x:v>HYPERLINK is not implemented. linkLocation=https://www.disneyplus.com/video/ed8f1cb7-f3e3-4ab0-af03-888ba8b20d25?cid=DTCI-Synergy-DDN-Site-Acquisition-StarWars-US-StarWars-StarWarsTheCloneWars-EN-BlogArticleEmbed-TCWChronological_StreamOnDisneyPlusCTA-NA, friendlyName=Watch</x:v>
      </x:c>
    </x:row>
    <x:row r="42" s="23" customFormat="1" ht="30" customHeight="1">
      <x:c r="A42" s="21" t="b">
        <x:v>0</x:v>
      </x:c>
      <x:c r="B42" s="21" t="n">
        <x:v>36</x:v>
      </x:c>
      <x:c r="C42" s="21" t="inlineStr">
        <x:is>
          <x:t xml:space="preserve">208</x:t>
        </x:is>
      </x:c>
      <x:c r="D42" s="14" t="inlineStr">
        <x:is>
          <x:t xml:space="preserve">Brain Invaders</x:t>
        </x:is>
      </x:c>
      <x:c r="E42" s="14" t="inlineStr">
        <x:is>
          <x:t xml:space="preserve">Season 2, Episode 8</x:t>
        </x:is>
      </x:c>
      <x:c r="F42" s="20" t="e">
        <x:f>HYPERLINK("https://www.starwars.com/tv-shows/clone-wars/brain-invaders-episode-guide","Episode guide")</x:f>
        <x:v>HYPERLINK is not implemented. linkLocation=https://www.starwars.com/tv-shows/clone-wars/brain-invaders-episode-guide, friendlyName=Episode guide</x:v>
      </x:c>
      <x:c r="G42" s="20" t="e">
        <x:f>HYPERLINK("https://www.disneyplus.com/video/521b49b5-26a5-4153-af04-3fc40e4ececd?cid=DTCI-Synergy-DDN-Site-Acquisition-StarWars-US-StarWars-StarWarsTheCloneWars-EN-BlogArticleEmbed-TCWChronological_StreamOnDisneyPlusCTA-NA","Watch")</x:f>
        <x:v>HYPERLINK is not implemented. linkLocation=https://www.disneyplus.com/video/521b49b5-26a5-4153-af04-3fc40e4ececd?cid=DTCI-Synergy-DDN-Site-Acquisition-StarWars-US-StarWars-StarWarsTheCloneWars-EN-BlogArticleEmbed-TCWChronological_StreamOnDisneyPlusCTA-NA, friendlyName=Watch</x:v>
      </x:c>
    </x:row>
    <x:row r="43" s="23" customFormat="1" ht="30" customHeight="1">
      <x:c r="A43" s="21" t="b">
        <x:v>0</x:v>
      </x:c>
      <x:c r="B43" s="21" t="n">
        <x:v>37</x:v>
      </x:c>
      <x:c r="C43" s="21" t="inlineStr">
        <x:is>
          <x:t xml:space="preserve">209</x:t>
        </x:is>
      </x:c>
      <x:c r="D43" s="14" t="inlineStr">
        <x:is>
          <x:t xml:space="preserve">Grievous Intrigue</x:t>
        </x:is>
      </x:c>
      <x:c r="E43" s="14" t="inlineStr">
        <x:is>
          <x:t xml:space="preserve">Season 2, Episode 9</x:t>
        </x:is>
      </x:c>
      <x:c r="F43" s="20" t="e">
        <x:f>HYPERLINK("https://www.starwars.com/tv-shows/clone-wars/grievous-intrigue-episode-guide","Episode guide")</x:f>
        <x:v>HYPERLINK is not implemented. linkLocation=https://www.starwars.com/tv-shows/clone-wars/grievous-intrigue-episode-guide, friendlyName=Episode guide</x:v>
      </x:c>
      <x:c r="G43" s="20" t="e">
        <x:f>HYPERLINK("https://www.disneyplus.com/video/83357ef1-f768-4f3b-8b03-2f0c2e4617e7?cid=DTCI-Synergy-DDN-Site-Acquisition-StarWars-US-StarWars-StarWarsTheCloneWars-EN-BlogArticleEmbed-TCWChronological_StreamOnDisneyPlusCTA-NA","Watch")</x:f>
        <x:v>HYPERLINK is not implemented. linkLocation=https://www.disneyplus.com/video/83357ef1-f768-4f3b-8b03-2f0c2e4617e7?cid=DTCI-Synergy-DDN-Site-Acquisition-StarWars-US-StarWars-StarWarsTheCloneWars-EN-BlogArticleEmbed-TCWChronological_StreamOnDisneyPlusCTA-NA, friendlyName=Watch</x:v>
      </x:c>
    </x:row>
    <x:row r="44" s="23" customFormat="1" ht="30" customHeight="1">
      <x:c r="A44" s="21" t="b">
        <x:v>0</x:v>
      </x:c>
      <x:c r="B44" s="21" t="n">
        <x:v>38</x:v>
      </x:c>
      <x:c r="C44" s="21" t="inlineStr">
        <x:is>
          <x:t xml:space="preserve">210</x:t>
        </x:is>
      </x:c>
      <x:c r="D44" s="14" t="inlineStr">
        <x:is>
          <x:t xml:space="preserve">The Deserter</x:t>
        </x:is>
      </x:c>
      <x:c r="E44" s="14" t="inlineStr">
        <x:is>
          <x:t xml:space="preserve">Season 2, Episode 10</x:t>
        </x:is>
      </x:c>
      <x:c r="F44" s="20" t="e">
        <x:f>HYPERLINK("https://www.starwars.com/tv-shows/clone-wars/the-deserter-episode-guide","Episode guide")</x:f>
        <x:v>HYPERLINK is not implemented. linkLocation=https://www.starwars.com/tv-shows/clone-wars/the-deserter-episode-guide, friendlyName=Episode guide</x:v>
      </x:c>
      <x:c r="G44" s="20" t="e">
        <x:f>HYPERLINK("https://www.disneyplus.com/video/09f9af96-40bd-4e9a-a18d-92fb9f373298?cid=DTCI-Synergy-DDN-Site-Acquisition-StarWars-US-StarWars-StarWarsTheCloneWars-EN-BlogArticleEmbed-TCWChronological_StreamOnDisneyPlusCTA-NA","Watch")</x:f>
        <x:v>HYPERLINK is not implemented. linkLocation=https://www.disneyplus.com/video/09f9af96-40bd-4e9a-a18d-92fb9f373298?cid=DTCI-Synergy-DDN-Site-Acquisition-StarWars-US-StarWars-StarWarsTheCloneWars-EN-BlogArticleEmbed-TCWChronological_StreamOnDisneyPlusCTA-NA, friendlyName=Watch</x:v>
      </x:c>
    </x:row>
    <x:row r="45" s="23" customFormat="1" ht="30" customHeight="1">
      <x:c r="A45" s="21" t="b">
        <x:v>0</x:v>
      </x:c>
      <x:c r="B45" s="21" t="n">
        <x:v>39</x:v>
      </x:c>
      <x:c r="C45" s="21" t="inlineStr">
        <x:is>
          <x:t xml:space="preserve">211</x:t>
        </x:is>
      </x:c>
      <x:c r="D45" s="14" t="inlineStr">
        <x:is>
          <x:t xml:space="preserve">Lightsaber Lost</x:t>
        </x:is>
      </x:c>
      <x:c r="E45" s="14" t="inlineStr">
        <x:is>
          <x:t xml:space="preserve">Season 2, Episode 11</x:t>
        </x:is>
      </x:c>
      <x:c r="F45" s="20" t="e">
        <x:f>HYPERLINK("https://www.starwars.com/tv-shows/clone-wars/lightsaber-lost-episode-guide","Episode guide")</x:f>
        <x:v>HYPERLINK is not implemented. linkLocation=https://www.starwars.com/tv-shows/clone-wars/lightsaber-lost-episode-guide, friendlyName=Episode guide</x:v>
      </x:c>
      <x:c r="G45" s="20" t="e">
        <x:f>HYPERLINK("https://www.disneyplus.com/video/07c0124a-5234-4c58-a2f0-79508e3b14b6?cid=DTCI-Synergy-DDN-Site-Acquisition-StarWars-US-StarWars-StarWarsTheCloneWars-EN-BlogArticleEmbed-TCWChronological_StreamOnDisneyPlusCTA-NA","Watch")</x:f>
        <x:v>HYPERLINK is not implemented. linkLocation=https://www.disneyplus.com/video/07c0124a-5234-4c58-a2f0-79508e3b14b6?cid=DTCI-Synergy-DDN-Site-Acquisition-StarWars-US-StarWars-StarWarsTheCloneWars-EN-BlogArticleEmbed-TCWChronological_StreamOnDisneyPlusCTA-NA, friendlyName=Watch</x:v>
      </x:c>
    </x:row>
    <x:row r="46" s="23" customFormat="1" ht="30" customHeight="1">
      <x:c r="A46" s="21" t="b">
        <x:v>0</x:v>
      </x:c>
      <x:c r="B46" s="21" t="n">
        <x:v>40</x:v>
      </x:c>
      <x:c r="C46" s="21" t="inlineStr">
        <x:is>
          <x:t xml:space="preserve">212</x:t>
        </x:is>
      </x:c>
      <x:c r="D46" s="14" t="inlineStr">
        <x:is>
          <x:t xml:space="preserve">The Mandalore Plot</x:t>
        </x:is>
      </x:c>
      <x:c r="E46" s="14" t="inlineStr">
        <x:is>
          <x:t xml:space="preserve">Season 2, Episode 12</x:t>
        </x:is>
      </x:c>
      <x:c r="F46" s="20" t="e">
        <x:f>HYPERLINK("https://www.starwars.com/tv-shows/clone-wars/the-mandalore-plot-episode-guide","Episode guide")</x:f>
        <x:v>HYPERLINK is not implemented. linkLocation=https://www.starwars.com/tv-shows/clone-wars/the-mandalore-plot-episode-guide, friendlyName=Episode guide</x:v>
      </x:c>
      <x:c r="G46" s="20" t="e">
        <x:f>HYPERLINK("https://www.disneyplus.com/video/91d2a7e2-8eb1-411d-941e-4bd8babe4e55?cid=DTCI-Synergy-DDN-Site-Acquisition-StarWars-US-StarWars-StarWarsTheCloneWars-EN-BlogArticleEmbed-TCWChronological_StreamOnDisneyPlusCTA-NA","Watch")</x:f>
        <x:v>HYPERLINK is not implemented. linkLocation=https://www.disneyplus.com/video/91d2a7e2-8eb1-411d-941e-4bd8babe4e55?cid=DTCI-Synergy-DDN-Site-Acquisition-StarWars-US-StarWars-StarWarsTheCloneWars-EN-BlogArticleEmbed-TCWChronological_StreamOnDisneyPlusCTA-NA, friendlyName=Watch</x:v>
      </x:c>
    </x:row>
    <x:row r="47" s="23" customFormat="1" ht="30" customHeight="1">
      <x:c r="A47" s="21" t="b">
        <x:v>0</x:v>
      </x:c>
      <x:c r="B47" s="21" t="n">
        <x:v>41</x:v>
      </x:c>
      <x:c r="C47" s="21" t="inlineStr">
        <x:is>
          <x:t xml:space="preserve">213</x:t>
        </x:is>
      </x:c>
      <x:c r="D47" s="14" t="inlineStr">
        <x:is>
          <x:t xml:space="preserve">Voyage of Temptation</x:t>
        </x:is>
      </x:c>
      <x:c r="E47" s="14" t="inlineStr">
        <x:is>
          <x:t xml:space="preserve">Season 2, Episode 13</x:t>
        </x:is>
      </x:c>
      <x:c r="F47" s="20" t="e">
        <x:f>HYPERLINK("https://www.starwars.com/tv-shows/clone-wars/voyage-of-temptation-episode-guide","Episode guide")</x:f>
        <x:v>HYPERLINK is not implemented. linkLocation=https://www.starwars.com/tv-shows/clone-wars/voyage-of-temptation-episode-guide, friendlyName=Episode guide</x:v>
      </x:c>
      <x:c r="G47" s="20" t="e">
        <x:f>HYPERLINK("https://www.disneyplus.com/video/9d2c4240-5a2e-4f2a-ab88-628a5dc68540?cid=DTCI-Synergy-DDN-Site-Acquisition-StarWars-US-StarWars-StarWarsTheCloneWars-EN-BlogArticleEmbed-TCWChronological_StreamOnDisneyPlusCTA-NA","Watch")</x:f>
        <x:v>HYPERLINK is not implemented. linkLocation=https://www.disneyplus.com/video/9d2c4240-5a2e-4f2a-ab88-628a5dc68540?cid=DTCI-Synergy-DDN-Site-Acquisition-StarWars-US-StarWars-StarWarsTheCloneWars-EN-BlogArticleEmbed-TCWChronological_StreamOnDisneyPlusCTA-NA, friendlyName=Watch</x:v>
      </x:c>
    </x:row>
    <x:row r="48" s="23" customFormat="1" ht="30" customHeight="1">
      <x:c r="A48" s="21" t="b">
        <x:v>0</x:v>
      </x:c>
      <x:c r="B48" s="21" t="n">
        <x:v>42</x:v>
      </x:c>
      <x:c r="C48" s="21" t="inlineStr">
        <x:is>
          <x:t xml:space="preserve">214</x:t>
        </x:is>
      </x:c>
      <x:c r="D48" s="14" t="inlineStr">
        <x:is>
          <x:t xml:space="preserve">Duchess of Mandalore</x:t>
        </x:is>
      </x:c>
      <x:c r="E48" s="14" t="inlineStr">
        <x:is>
          <x:t xml:space="preserve">Season 2, Episode 14</x:t>
        </x:is>
      </x:c>
      <x:c r="F48" s="20" t="e">
        <x:f>HYPERLINK("https://www.starwars.com/tv-shows/clone-wars/duchess-of-mandalore-episode-guide","Episode guide")</x:f>
        <x:v>HYPERLINK is not implemented. linkLocation=https://www.starwars.com/tv-shows/clone-wars/duchess-of-mandalore-episode-guide, friendlyName=Episode guide</x:v>
      </x:c>
      <x:c r="G48" s="20" t="e">
        <x:f>HYPERLINK("https://www.disneyplus.com/video/9aedb852-9abb-4c59-95c3-58f1bfb0cef6?cid=DTCI-Synergy-DDN-Site-Acquisition-StarWars-US-StarWars-StarWarsTheCloneWars-EN-BlogArticleEmbed-TCWChronological_StreamOnDisneyPlusCTA-NA","Watch")</x:f>
        <x:v>HYPERLINK is not implemented. linkLocation=https://www.disneyplus.com/video/9aedb852-9abb-4c59-95c3-58f1bfb0cef6?cid=DTCI-Synergy-DDN-Site-Acquisition-StarWars-US-StarWars-StarWarsTheCloneWars-EN-BlogArticleEmbed-TCWChronological_StreamOnDisneyPlusCTA-NA, friendlyName=Watch</x:v>
      </x:c>
    </x:row>
    <x:row r="49" s="23" customFormat="1" ht="30" customHeight="1">
      <x:c r="A49" s="21" t="b">
        <x:v>0</x:v>
      </x:c>
      <x:c r="B49" s="21" t="n">
        <x:v>43</x:v>
      </x:c>
      <x:c r="C49" s="21" t="inlineStr">
        <x:is>
          <x:t xml:space="preserve">220</x:t>
        </x:is>
      </x:c>
      <x:c r="D49" s="14" t="inlineStr">
        <x:is>
          <x:t xml:space="preserve">Death Trap</x:t>
        </x:is>
      </x:c>
      <x:c r="E49" s="14" t="inlineStr">
        <x:is>
          <x:t xml:space="preserve">Season 2, Episode 20</x:t>
        </x:is>
      </x:c>
      <x:c r="F49" s="20" t="e">
        <x:f>HYPERLINK("https://www.starwars.com/series/clone-wars/death-trap-episode-guide","Episode guide")</x:f>
        <x:v>HYPERLINK is not implemented. linkLocation=https://www.starwars.com/series/clone-wars/death-trap-episode-guide, friendlyName=Episode guide</x:v>
      </x:c>
      <x:c r="G49" s="20" t="e">
        <x:f>HYPERLINK("https://www.disneyplus.com/video/c60abd64-34bd-4141-ab53-3a265a929a7b?cid=DTCI-Synergy-DDN-Site-Acquisition-StarWars-US-StarWars-StarWarsTheCloneWars-EN-BlogArticleEmbed-TCWChronological_StreamOnDisneyPlusCTA-NA","Watch")</x:f>
        <x:v>HYPERLINK is not implemented. linkLocation=https://www.disneyplus.com/video/c60abd64-34bd-4141-ab53-3a265a929a7b?cid=DTCI-Synergy-DDN-Site-Acquisition-StarWars-US-StarWars-StarWarsTheCloneWars-EN-BlogArticleEmbed-TCWChronological_StreamOnDisneyPlusCTA-NA, friendlyName=Watch</x:v>
      </x:c>
    </x:row>
    <x:row r="50" s="23" customFormat="1" ht="30" customHeight="1">
      <x:c r="A50" s="21" t="b">
        <x:v>0</x:v>
      </x:c>
      <x:c r="B50" s="21" t="n">
        <x:v>44</x:v>
      </x:c>
      <x:c r="C50" s="21" t="inlineStr">
        <x:is>
          <x:t xml:space="preserve">221</x:t>
        </x:is>
      </x:c>
      <x:c r="D50" s="14" t="inlineStr">
        <x:is>
          <x:t xml:space="preserve">R2 Come Home</x:t>
        </x:is>
      </x:c>
      <x:c r="E50" s="14" t="inlineStr">
        <x:is>
          <x:t xml:space="preserve">Season 2, Episode 21</x:t>
        </x:is>
      </x:c>
      <x:c r="F50" s="20" t="e">
        <x:f>HYPERLINK("https://www.starwars.com/tv-shows/clone-wars/r2-come-home-episode-guide","Episode guide")</x:f>
        <x:v>HYPERLINK is not implemented. linkLocation=https://www.starwars.com/tv-shows/clone-wars/r2-come-home-episode-guide, friendlyName=Episode guide</x:v>
      </x:c>
      <x:c r="G50" s="20" t="e">
        <x:f>HYPERLINK("https://www.disneyplus.com/video/28034e35-c413-4219-8072-444cef55bd64?cid=DTCI-Synergy-DDN-Site-Acquisition-StarWars-US-StarWars-StarWarsTheCloneWars-EN-BlogArticleEmbed-TCWChronological_StreamOnDisneyPlusCTA-NA","Watch")</x:f>
        <x:v>HYPERLINK is not implemented. linkLocation=https://www.disneyplus.com/video/28034e35-c413-4219-8072-444cef55bd64?cid=DTCI-Synergy-DDN-Site-Acquisition-StarWars-US-StarWars-StarWarsTheCloneWars-EN-BlogArticleEmbed-TCWChronological_StreamOnDisneyPlusCTA-NA, friendlyName=Watch</x:v>
      </x:c>
    </x:row>
    <x:row r="51" s="23" customFormat="1" ht="30" customHeight="1">
      <x:c r="A51" s="21" t="b">
        <x:v>0</x:v>
      </x:c>
      <x:c r="B51" s="21" t="n">
        <x:v>45</x:v>
      </x:c>
      <x:c r="C51" s="21" t="inlineStr">
        <x:is>
          <x:t xml:space="preserve">222</x:t>
        </x:is>
      </x:c>
      <x:c r="D51" s="14" t="inlineStr">
        <x:is>
          <x:t xml:space="preserve">Lethal Trackdown</x:t>
        </x:is>
      </x:c>
      <x:c r="E51" s="14" t="inlineStr">
        <x:is>
          <x:t xml:space="preserve">Season 2, Episode 22</x:t>
        </x:is>
      </x:c>
      <x:c r="F51" s="20" t="e">
        <x:f>HYPERLINK("https://www.starwars.com/tv-shows/clone-wars/lethal-trackdown-episode-guide","Episode guide")</x:f>
        <x:v>HYPERLINK is not implemented. linkLocation=https://www.starwars.com/tv-shows/clone-wars/lethal-trackdown-episode-guide, friendlyName=Episode guide</x:v>
      </x:c>
      <x:c r="G51" s="20" t="e">
        <x:f>HYPERLINK("https://www.disneyplus.com/video/eccba821-6a8a-4007-8ea2-1995ffe5637d?cid=DTCI-Synergy-DDN-Site-Acquisition-StarWars-US-StarWars-StarWarsTheCloneWars-EN-BlogArticleEmbed-TCWChronological_StreamOnDisneyPlusCTA-NA","Watch")</x:f>
        <x:v>HYPERLINK is not implemented. linkLocation=https://www.disneyplus.com/video/eccba821-6a8a-4007-8ea2-1995ffe5637d?cid=DTCI-Synergy-DDN-Site-Acquisition-StarWars-US-StarWars-StarWarsTheCloneWars-EN-BlogArticleEmbed-TCWChronological_StreamOnDisneyPlusCTA-NA, friendlyName=Watch</x:v>
      </x:c>
    </x:row>
    <x:row r="52" s="23" customFormat="1" ht="30" customHeight="1">
      <x:c r="A52" s="21" t="b">
        <x:v>0</x:v>
      </x:c>
      <x:c r="B52" s="21" t="n">
        <x:v>46</x:v>
      </x:c>
      <x:c r="C52" s="21" t="inlineStr">
        <x:is>
          <x:t xml:space="preserve">305</x:t>
        </x:is>
      </x:c>
      <x:c r="D52" s="14" t="inlineStr">
        <x:is>
          <x:t xml:space="preserve">Corruption</x:t>
        </x:is>
      </x:c>
      <x:c r="E52" s="14" t="inlineStr">
        <x:is>
          <x:t xml:space="preserve">Season 3, Episode 5</x:t>
        </x:is>
      </x:c>
      <x:c r="F52" s="20" t="e">
        <x:f>HYPERLINK("https://www.starwars.com/tv-shows/clone-wars/corruption-episode-guide","Episode guide")</x:f>
        <x:v>HYPERLINK is not implemented. linkLocation=https://www.starwars.com/tv-shows/clone-wars/corruption-episode-guide, friendlyName=Episode guide</x:v>
      </x:c>
      <x:c r="G52" s="20" t="e">
        <x:f>HYPERLINK("https://www.disneyplus.com/video/3ce7a07a-460a-4e02-9fe9-e7240bff2b01?cid=DTCI-Synergy-DDN-Site-Acquisition-StarWars-US-StarWars-StarWarsTheCloneWars-EN-BlogArticleEmbed-TCWChronological_StreamOnDisneyPlusCTA-NA","Watch")</x:f>
        <x:v>HYPERLINK is not implemented. linkLocation=https://www.disneyplus.com/video/3ce7a07a-460a-4e02-9fe9-e7240bff2b01?cid=DTCI-Synergy-DDN-Site-Acquisition-StarWars-US-StarWars-StarWarsTheCloneWars-EN-BlogArticleEmbed-TCWChronological_StreamOnDisneyPlusCTA-NA, friendlyName=Watch</x:v>
      </x:c>
    </x:row>
    <x:row r="53" s="23" customFormat="1" ht="30" customHeight="1">
      <x:c r="A53" s="21" t="b">
        <x:v>0</x:v>
      </x:c>
      <x:c r="B53" s="21" t="n">
        <x:v>47</x:v>
      </x:c>
      <x:c r="C53" s="21" t="inlineStr">
        <x:is>
          <x:t xml:space="preserve">306</x:t>
        </x:is>
      </x:c>
      <x:c r="D53" s="14" t="inlineStr">
        <x:is>
          <x:t xml:space="preserve">The Academy</x:t>
        </x:is>
      </x:c>
      <x:c r="E53" s="14" t="inlineStr">
        <x:is>
          <x:t xml:space="preserve">Season 3, Episode 6</x:t>
        </x:is>
      </x:c>
      <x:c r="F53" s="20" t="e">
        <x:f>HYPERLINK("https://www.starwars.com/tv-shows/clone-wars/the-academy-episode-guide","Episode guide")</x:f>
        <x:v>HYPERLINK is not implemented. linkLocation=https://www.starwars.com/tv-shows/clone-wars/the-academy-episode-guide, friendlyName=Episode guide</x:v>
      </x:c>
      <x:c r="G53" s="20" t="e">
        <x:f>HYPERLINK("https://www.disneyplus.com/video/f464497e-a4e5-44db-922e-d44d1a70fd73?cid=DTCI-Synergy-DDN-Site-Acquisition-StarWars-US-StarWars-StarWarsTheCloneWars-EN-BlogArticleEmbed-TCWChronological_StreamOnDisneyPlusCTA-NA","Watch")</x:f>
        <x:v>HYPERLINK is not implemented. linkLocation=https://www.disneyplus.com/video/f464497e-a4e5-44db-922e-d44d1a70fd73?cid=DTCI-Synergy-DDN-Site-Acquisition-StarWars-US-StarWars-StarWarsTheCloneWars-EN-BlogArticleEmbed-TCWChronological_StreamOnDisneyPlusCTA-NA, friendlyName=Watch</x:v>
      </x:c>
    </x:row>
    <x:row r="54" s="23" customFormat="1" ht="30" customHeight="1">
      <x:c r="A54" s="21" t="b">
        <x:v>0</x:v>
      </x:c>
      <x:c r="B54" s="21" t="n">
        <x:v>48</x:v>
      </x:c>
      <x:c r="C54" s="21" t="inlineStr">
        <x:is>
          <x:t xml:space="preserve">307</x:t>
        </x:is>
      </x:c>
      <x:c r="D54" s="14" t="inlineStr">
        <x:is>
          <x:t xml:space="preserve">Assassin</x:t>
        </x:is>
      </x:c>
      <x:c r="E54" s="14" t="inlineStr">
        <x:is>
          <x:t xml:space="preserve">Season 3, Episode 7</x:t>
        </x:is>
      </x:c>
      <x:c r="F54" s="20" t="e">
        <x:f>HYPERLINK("https://www.starwars.com/tv-shows/clone-wars/assassin-episode-guide","Episode guide")</x:f>
        <x:v>HYPERLINK is not implemented. linkLocation=https://www.starwars.com/tv-shows/clone-wars/assassin-episode-guide, friendlyName=Episode guide</x:v>
      </x:c>
      <x:c r="G54" s="20" t="e">
        <x:f>HYPERLINK("https://www.disneyplus.com/video/652f203c-8b9a-4b3f-981a-59915aa99cfb?cid=DTCI-Synergy-DDN-Site-Acquisition-StarWars-US-StarWars-StarWarsTheCloneWars-EN-BlogArticleEmbed-TCWChronological_StreamOnDisneyPlusCTA-NA","Watch")</x:f>
        <x:v>HYPERLINK is not implemented. linkLocation=https://www.disneyplus.com/video/652f203c-8b9a-4b3f-981a-59915aa99cfb?cid=DTCI-Synergy-DDN-Site-Acquisition-StarWars-US-StarWars-StarWarsTheCloneWars-EN-BlogArticleEmbed-TCWChronological_StreamOnDisneyPlusCTA-NA, friendlyName=Watch</x:v>
      </x:c>
    </x:row>
    <x:row r="55" s="23" customFormat="1" ht="30" customHeight="1">
      <x:c r="A55" s="21" t="b">
        <x:v>0</x:v>
      </x:c>
      <x:c r="B55" s="21" t="n">
        <x:v>49</x:v>
      </x:c>
      <x:c r="C55" s="21" t="inlineStr">
        <x:is>
          <x:t xml:space="preserve">302</x:t>
        </x:is>
      </x:c>
      <x:c r="D55" s="14" t="inlineStr">
        <x:is>
          <x:t xml:space="preserve">ARC Troopers</x:t>
        </x:is>
      </x:c>
      <x:c r="E55" s="14" t="inlineStr">
        <x:is>
          <x:t xml:space="preserve">Season 3, Episode 2</x:t>
        </x:is>
      </x:c>
      <x:c r="F55" s="20" t="e">
        <x:f>HYPERLINK("https://www.starwars.com/tv-shows/clone-wars/arc-troopers-episode-guide","Episode guide")</x:f>
        <x:v>HYPERLINK is not implemented. linkLocation=https://www.starwars.com/tv-shows/clone-wars/arc-troopers-episode-guide, friendlyName=Episode guide</x:v>
      </x:c>
      <x:c r="G55" s="20" t="e">
        <x:f>HYPERLINK("https://www.disneyplus.com/video/6e2c8c2f-a7ce-49d5-ad90-88f4a97eb303?cid=DTCI-Synergy-DDN-Site-Acquisition-StarWars-US-StarWars-StarWarsTheCloneWars-EN-BlogArticleEmbed-TCWChronological_StreamOnDisneyPlusCTA-NA","Watch")</x:f>
        <x:v>HYPERLINK is not implemented. linkLocation=https://www.disneyplus.com/video/6e2c8c2f-a7ce-49d5-ad90-88f4a97eb303?cid=DTCI-Synergy-DDN-Site-Acquisition-StarWars-US-StarWars-StarWarsTheCloneWars-EN-BlogArticleEmbed-TCWChronological_StreamOnDisneyPlusCTA-NA, friendlyName=Watch</x:v>
      </x:c>
    </x:row>
    <x:row r="56" s="23" customFormat="1" ht="30" customHeight="1">
      <x:c r="A56" s="21" t="b">
        <x:v>0</x:v>
      </x:c>
      <x:c r="B56" s="21" t="n">
        <x:v>50</x:v>
      </x:c>
      <x:c r="C56" s="21" t="inlineStr">
        <x:is>
          <x:t xml:space="preserve">304</x:t>
        </x:is>
      </x:c>
      <x:c r="D56" s="14" t="inlineStr">
        <x:is>
          <x:t xml:space="preserve">Sphere of Influence</x:t>
        </x:is>
      </x:c>
      <x:c r="E56" s="14" t="inlineStr">
        <x:is>
          <x:t xml:space="preserve">Season 3, Episode 4</x:t>
        </x:is>
      </x:c>
      <x:c r="F56" s="20" t="e">
        <x:f>HYPERLINK("https://www.starwars.com/tv-shows/clone-wars/sphere-of-influence-episode-guide","Episode guide")</x:f>
        <x:v>HYPERLINK is not implemented. linkLocation=https://www.starwars.com/tv-shows/clone-wars/sphere-of-influence-episode-guide, friendlyName=Episode guide</x:v>
      </x:c>
      <x:c r="G56" s="20" t="e">
        <x:f>HYPERLINK("https://www.disneyplus.com/video/b091b508-0880-4cb6-9d2b-24c2075acd52?cid=DTCI-Synergy-DDN-Site-Acquisition-StarWars-US-StarWars-StarWarsTheCloneWars-EN-BlogArticleEmbed-TCWChronological_StreamOnDisneyPlusCTA-NA","Watch")</x:f>
        <x:v>HYPERLINK is not implemented. linkLocation=https://www.disneyplus.com/video/b091b508-0880-4cb6-9d2b-24c2075acd52?cid=DTCI-Synergy-DDN-Site-Acquisition-StarWars-US-StarWars-StarWarsTheCloneWars-EN-BlogArticleEmbed-TCWChronological_StreamOnDisneyPlusCTA-NA, friendlyName=Watch</x:v>
      </x:c>
    </x:row>
    <x:row r="57" s="23" customFormat="1" ht="30" customHeight="1">
      <x:c r="A57" s="21" t="b">
        <x:v>0</x:v>
      </x:c>
      <x:c r="B57" s="21" t="n">
        <x:v>51</x:v>
      </x:c>
      <x:c r="C57" s="21" t="inlineStr">
        <x:is>
          <x:t xml:space="preserve">308</x:t>
        </x:is>
      </x:c>
      <x:c r="D57" s="14" t="inlineStr">
        <x:is>
          <x:t xml:space="preserve">Evil Plans</x:t>
        </x:is>
      </x:c>
      <x:c r="E57" s="14" t="inlineStr">
        <x:is>
          <x:t xml:space="preserve">Season 3, Episode 8</x:t>
        </x:is>
      </x:c>
      <x:c r="F57" s="20" t="e">
        <x:f>HYPERLINK("https://www.starwars.com/tv-shows/clone-wars/evil-plans-episode-guide","Episode guide")</x:f>
        <x:v>HYPERLINK is not implemented. linkLocation=https://www.starwars.com/tv-shows/clone-wars/evil-plans-episode-guide, friendlyName=Episode guide</x:v>
      </x:c>
      <x:c r="G57" s="20" t="e">
        <x:f>HYPERLINK("https://www.disneyplus.com/video/c69bad71-ab68-4c2c-8da7-add1e929b6bd?cid=DTCI-Synergy-DDN-Site-Acquisition-StarWars-US-StarWars-StarWarsTheCloneWars-EN-BlogArticleEmbed-TCWChronological_StreamOnDisneyPlusCTA-NA","Watch")</x:f>
        <x:v>HYPERLINK is not implemented. linkLocation=https://www.disneyplus.com/video/c69bad71-ab68-4c2c-8da7-add1e929b6bd?cid=DTCI-Synergy-DDN-Site-Acquisition-StarWars-US-StarWars-StarWarsTheCloneWars-EN-BlogArticleEmbed-TCWChronological_StreamOnDisneyPlusCTA-NA, friendlyName=Watch</x:v>
      </x:c>
    </x:row>
    <x:row r="58" s="23" customFormat="1" ht="30" customHeight="1">
      <x:c r="A58" s="21" t="b">
        <x:v>0</x:v>
      </x:c>
      <x:c r="B58" s="21" t="n">
        <x:v>52</x:v>
      </x:c>
      <x:c r="C58" s="21" t="inlineStr">
        <x:is>
          <x:t xml:space="preserve">122</x:t>
        </x:is>
      </x:c>
      <x:c r="D58" s="14" t="inlineStr">
        <x:is>
          <x:t xml:space="preserve">Hostage Crisis</x:t>
        </x:is>
      </x:c>
      <x:c r="E58" s="14" t="inlineStr">
        <x:is>
          <x:t xml:space="preserve">Season 1, Episode 22</x:t>
        </x:is>
      </x:c>
      <x:c r="F58" s="20" t="e">
        <x:f>HYPERLINK("https://www.starwars.com/tv-shows/clone-wars/hostage-crisis-episode-guide","Episode guide")</x:f>
        <x:v>HYPERLINK is not implemented. linkLocation=https://www.starwars.com/tv-shows/clone-wars/hostage-crisis-episode-guide, friendlyName=Episode guide</x:v>
      </x:c>
      <x:c r="G58" s="20" t="e">
        <x:f>HYPERLINK("https://www.disneyplus.com/video/fd88476e-ab17-437e-94e3-7465b5adda40?cid=DTCI-Synergy-DDN-Site-Acquisition-StarWars-US-StarWars-StarWarsTheCloneWars-EN-BlogArticleEmbed-TCWChronological_StreamOnDisneyPlusCTA-NA","Watch")</x:f>
        <x:v>HYPERLINK is not implemented. linkLocation=https://www.disneyplus.com/video/fd88476e-ab17-437e-94e3-7465b5adda40?cid=DTCI-Synergy-DDN-Site-Acquisition-StarWars-US-StarWars-StarWarsTheCloneWars-EN-BlogArticleEmbed-TCWChronological_StreamOnDisneyPlusCTA-NA, friendlyName=Watch</x:v>
      </x:c>
    </x:row>
    <x:row r="59" s="23" customFormat="1" ht="30" customHeight="1">
      <x:c r="A59" s="21" t="b">
        <x:v>0</x:v>
      </x:c>
      <x:c r="B59" s="21" t="n">
        <x:v>53</x:v>
      </x:c>
      <x:c r="C59" s="21" t="inlineStr">
        <x:is>
          <x:t xml:space="preserve">309</x:t>
        </x:is>
      </x:c>
      <x:c r="D59" s="14" t="inlineStr">
        <x:is>
          <x:t xml:space="preserve">Hunt for Ziro</x:t>
        </x:is>
      </x:c>
      <x:c r="E59" s="14" t="inlineStr">
        <x:is>
          <x:t xml:space="preserve">Season 3, Episode 9</x:t>
        </x:is>
      </x:c>
      <x:c r="F59" s="20" t="e">
        <x:f>HYPERLINK("https://www.starwars.com/tv-shows/clone-wars/hunt-for-ziro-episode-guide","Episode guide")</x:f>
        <x:v>HYPERLINK is not implemented. linkLocation=https://www.starwars.com/tv-shows/clone-wars/hunt-for-ziro-episode-guide, friendlyName=Episode guide</x:v>
      </x:c>
      <x:c r="G59" s="20" t="e">
        <x:f>HYPERLINK("https://www.disneyplus.com/video/b6d7ab23-6fa5-4311-973c-0eebb8e62133?cid=DTCI-Synergy-DDN-Site-Acquisition-StarWars-US-StarWars-StarWarsTheCloneWars-EN-BlogArticleEmbed-TCWChronological_StreamOnDisneyPlusCTA-NA","Watch")</x:f>
        <x:v>HYPERLINK is not implemented. linkLocation=https://www.disneyplus.com/video/b6d7ab23-6fa5-4311-973c-0eebb8e62133?cid=DTCI-Synergy-DDN-Site-Acquisition-StarWars-US-StarWars-StarWarsTheCloneWars-EN-BlogArticleEmbed-TCWChronological_StreamOnDisneyPlusCTA-NA, friendlyName=Watch</x:v>
      </x:c>
    </x:row>
    <x:row r="60" s="23" customFormat="1" ht="30" customHeight="1">
      <x:c r="A60" s="21" t="b">
        <x:v>0</x:v>
      </x:c>
      <x:c r="B60" s="21" t="n">
        <x:v>54</x:v>
      </x:c>
      <x:c r="C60" s="21" t="inlineStr">
        <x:is>
          <x:t xml:space="preserve">310</x:t>
        </x:is>
      </x:c>
      <x:c r="D60" s="14" t="inlineStr">
        <x:is>
          <x:t xml:space="preserve">Heroes on Both Sides</x:t>
        </x:is>
      </x:c>
      <x:c r="E60" s="14" t="inlineStr">
        <x:is>
          <x:t xml:space="preserve">Season 3, Episode 10</x:t>
        </x:is>
      </x:c>
      <x:c r="F60" s="20" t="e">
        <x:f>HYPERLINK("https://www.starwars.com/tv-shows/clone-wars/heroes-on-both-sides-episode-guide","Episode guide")</x:f>
        <x:v>HYPERLINK is not implemented. linkLocation=https://www.starwars.com/tv-shows/clone-wars/heroes-on-both-sides-episode-guide, friendlyName=Episode guide</x:v>
      </x:c>
      <x:c r="G60" s="20" t="e">
        <x:f>HYPERLINK("https://www.disneyplus.com/video/1e012171-5147-461e-b42c-80ee6bed9c29?cid=DTCI-Synergy-DDN-Site-Acquisition-StarWars-US-StarWars-StarWarsTheCloneWars-EN-BlogArticleEmbed-TCWChronological_StreamOnDisneyPlusCTA-NA","Watch")</x:f>
        <x:v>HYPERLINK is not implemented. linkLocation=https://www.disneyplus.com/video/1e012171-5147-461e-b42c-80ee6bed9c29?cid=DTCI-Synergy-DDN-Site-Acquisition-StarWars-US-StarWars-StarWarsTheCloneWars-EN-BlogArticleEmbed-TCWChronological_StreamOnDisneyPlusCTA-NA, friendlyName=Watch</x:v>
      </x:c>
    </x:row>
    <x:row r="61" s="23" customFormat="1" ht="30" customHeight="1">
      <x:c r="A61" s="21" t="b">
        <x:v>0</x:v>
      </x:c>
      <x:c r="B61" s="21" t="n">
        <x:v>55</x:v>
      </x:c>
      <x:c r="C61" s="21" t="inlineStr">
        <x:is>
          <x:t xml:space="preserve">311</x:t>
        </x:is>
      </x:c>
      <x:c r="D61" s="14" t="inlineStr">
        <x:is>
          <x:t xml:space="preserve">Pursuit of Peace</x:t>
        </x:is>
      </x:c>
      <x:c r="E61" s="14" t="inlineStr">
        <x:is>
          <x:t xml:space="preserve">Season 3, Episode 11</x:t>
        </x:is>
      </x:c>
      <x:c r="F61" s="20" t="e">
        <x:f>HYPERLINK("https://www.starwars.com/tv-shows/clone-wars/pursuit-of-peace-episode-guide","Episode guide")</x:f>
        <x:v>HYPERLINK is not implemented. linkLocation=https://www.starwars.com/tv-shows/clone-wars/pursuit-of-peace-episode-guide, friendlyName=Episode guide</x:v>
      </x:c>
      <x:c r="G61" s="20" t="e">
        <x:f>HYPERLINK("https://www.disneyplus.com/video/ac44bc69-553d-4c58-83ab-e621966d35e4?cid=DTCI-Synergy-DDN-Site-Acquisition-StarWars-US-StarWars-StarWarsTheCloneWars-EN-BlogArticleEmbed-TCWChronological_StreamOnDisneyPlusCTA-NA","Watch")</x:f>
        <x:v>HYPERLINK is not implemented. linkLocation=https://www.disneyplus.com/video/ac44bc69-553d-4c58-83ab-e621966d35e4?cid=DTCI-Synergy-DDN-Site-Acquisition-StarWars-US-StarWars-StarWarsTheCloneWars-EN-BlogArticleEmbed-TCWChronological_StreamOnDisneyPlusCTA-NA, friendlyName=Watch</x:v>
      </x:c>
    </x:row>
    <x:row r="62" s="23" customFormat="1" ht="30" customHeight="1">
      <x:c r="A62" s="21" t="b">
        <x:v>0</x:v>
      </x:c>
      <x:c r="B62" s="21" t="n">
        <x:v>56</x:v>
      </x:c>
      <x:c r="C62" s="21" t="inlineStr">
        <x:is>
          <x:t xml:space="preserve">215</x:t>
        </x:is>
      </x:c>
      <x:c r="D62" s="14" t="inlineStr">
        <x:is>
          <x:t xml:space="preserve">Senate Murders</x:t>
        </x:is>
      </x:c>
      <x:c r="E62" s="14" t="inlineStr">
        <x:is>
          <x:t xml:space="preserve">Season 2, Episode 15</x:t>
        </x:is>
      </x:c>
      <x:c r="F62" s="20" t="e">
        <x:f>HYPERLINK("https://www.starwars.com/tv-shows/clone-wars/senate-murders-episode-guide","Episode guide")</x:f>
        <x:v>HYPERLINK is not implemented. linkLocation=https://www.starwars.com/tv-shows/clone-wars/senate-murders-episode-guide, friendlyName=Episode guide</x:v>
      </x:c>
      <x:c r="G62" s="20" t="e">
        <x:f>HYPERLINK("https://www.disneyplus.com/video/af719ca6-3fae-435e-a2f5-07d5a3f6499d?cid=DTCI-Synergy-DDN-Site-Acquisition-StarWars-US-StarWars-StarWarsTheCloneWars-EN-BlogArticleEmbed-TCWChronological_StreamOnDisneyPlusCTA-NA","Watch")</x:f>
        <x:v>HYPERLINK is not implemented. linkLocation=https://www.disneyplus.com/video/af719ca6-3fae-435e-a2f5-07d5a3f6499d?cid=DTCI-Synergy-DDN-Site-Acquisition-StarWars-US-StarWars-StarWarsTheCloneWars-EN-BlogArticleEmbed-TCWChronological_StreamOnDisneyPlusCTA-NA, friendlyName=Watch</x:v>
      </x:c>
    </x:row>
    <x:row r="63" s="23" customFormat="1" ht="30" customHeight="1">
      <x:c r="A63" s="21" t="b">
        <x:v>0</x:v>
      </x:c>
      <x:c r="B63" s="21" t="n">
        <x:v>57</x:v>
      </x:c>
      <x:c r="C63" s="21" t="inlineStr">
        <x:is>
          <x:t xml:space="preserve">312</x:t>
        </x:is>
      </x:c>
      <x:c r="D63" s="14" t="inlineStr">
        <x:is>
          <x:t xml:space="preserve">Nightsisters</x:t>
        </x:is>
      </x:c>
      <x:c r="E63" s="14" t="inlineStr">
        <x:is>
          <x:t xml:space="preserve">Season 3, Episode 12</x:t>
        </x:is>
      </x:c>
      <x:c r="F63" s="20" t="e">
        <x:f>HYPERLINK("https://www.starwars.com/tv-shows/clone-wars/nightsisters-episode-guide","Episode guide")</x:f>
        <x:v>HYPERLINK is not implemented. linkLocation=https://www.starwars.com/tv-shows/clone-wars/nightsisters-episode-guide, friendlyName=Episode guide</x:v>
      </x:c>
      <x:c r="G63" s="20" t="e">
        <x:f>HYPERLINK("https://www.disneyplus.com/video/7efbccb3-2bc5-4271-8e20-ab78c9efbccc?cid=DTCI-Synergy-DDN-Site-Acquisition-StarWars-US-StarWars-StarWarsTheCloneWars-EN-BlogArticleEmbed-TCWChronological_StreamOnDisneyPlusCTA-NA","Watch")</x:f>
        <x:v>HYPERLINK is not implemented. linkLocation=https://www.disneyplus.com/video/7efbccb3-2bc5-4271-8e20-ab78c9efbccc?cid=DTCI-Synergy-DDN-Site-Acquisition-StarWars-US-StarWars-StarWarsTheCloneWars-EN-BlogArticleEmbed-TCWChronological_StreamOnDisneyPlusCTA-NA, friendlyName=Watch</x:v>
      </x:c>
    </x:row>
    <x:row r="64" s="23" customFormat="1" ht="30" customHeight="1">
      <x:c r="A64" s="21" t="b">
        <x:v>0</x:v>
      </x:c>
      <x:c r="B64" s="21" t="n">
        <x:v>58</x:v>
      </x:c>
      <x:c r="C64" s="21" t="inlineStr">
        <x:is>
          <x:t xml:space="preserve">313</x:t>
        </x:is>
      </x:c>
      <x:c r="D64" s="14" t="inlineStr">
        <x:is>
          <x:t xml:space="preserve">Monster</x:t>
        </x:is>
      </x:c>
      <x:c r="E64" s="14" t="inlineStr">
        <x:is>
          <x:t xml:space="preserve">Season 3, Episode 13</x:t>
        </x:is>
      </x:c>
      <x:c r="F64" s="20" t="e">
        <x:f>HYPERLINK("https://www.starwars.com/tv-shows/clone-wars/monster-episode-guide","Episode guide")</x:f>
        <x:v>HYPERLINK is not implemented. linkLocation=https://www.starwars.com/tv-shows/clone-wars/monster-episode-guide, friendlyName=Episode guide</x:v>
      </x:c>
      <x:c r="G64" s="20" t="e">
        <x:f>HYPERLINK("https://www.disneyplus.com/video/60ae22d3-0e23-42ae-9931-30076c8cd519?cid=DTCI-Synergy-DDN-Site-Acquisition-StarWars-US-StarWars-StarWarsTheCloneWars-EN-BlogArticleEmbed-TCWChronological_StreamOnDisneyPlusCTA-NA","Watch")</x:f>
        <x:v>HYPERLINK is not implemented. linkLocation=https://www.disneyplus.com/video/60ae22d3-0e23-42ae-9931-30076c8cd519?cid=DTCI-Synergy-DDN-Site-Acquisition-StarWars-US-StarWars-StarWarsTheCloneWars-EN-BlogArticleEmbed-TCWChronological_StreamOnDisneyPlusCTA-NA, friendlyName=Watch</x:v>
      </x:c>
    </x:row>
    <x:row r="65" s="23" customFormat="1" ht="30" customHeight="1">
      <x:c r="A65" s="21" t="b">
        <x:v>0</x:v>
      </x:c>
      <x:c r="B65" s="21" t="n">
        <x:v>59</x:v>
      </x:c>
      <x:c r="C65" s="21" t="inlineStr">
        <x:is>
          <x:t xml:space="preserve">314</x:t>
        </x:is>
      </x:c>
      <x:c r="D65" s="14" t="inlineStr">
        <x:is>
          <x:t xml:space="preserve">Witches of the Mist</x:t>
        </x:is>
      </x:c>
      <x:c r="E65" s="14" t="inlineStr">
        <x:is>
          <x:t xml:space="preserve">Season 3, Episode 14</x:t>
        </x:is>
      </x:c>
      <x:c r="F65" s="20" t="e">
        <x:f>HYPERLINK("https://www.starwars.com/tv-shows/clone-wars/witches-of-the-mist-episode-guide","Episode guide")</x:f>
        <x:v>HYPERLINK is not implemented. linkLocation=https://www.starwars.com/tv-shows/clone-wars/witches-of-the-mist-episode-guide, friendlyName=Episode guide</x:v>
      </x:c>
      <x:c r="G65" s="20" t="e">
        <x:f>HYPERLINK("https://www.disneyplus.com/video/43682151-f351-4280-9a86-ca1986ac7a72?cid=DTCI-Synergy-DDN-Site-Acquisition-StarWars-US-StarWars-StarWarsTheCloneWars-EN-BlogArticleEmbed-TCWChronological_StreamOnDisneyPlusCTA-NA","Watch")</x:f>
        <x:v>HYPERLINK is not implemented. linkLocation=https://www.disneyplus.com/video/43682151-f351-4280-9a86-ca1986ac7a72?cid=DTCI-Synergy-DDN-Site-Acquisition-StarWars-US-StarWars-StarWarsTheCloneWars-EN-BlogArticleEmbed-TCWChronological_StreamOnDisneyPlusCTA-NA, friendlyName=Watch</x:v>
      </x:c>
    </x:row>
    <x:row r="66" s="23" customFormat="1" ht="30" customHeight="1">
      <x:c r="A66" s="21" t="b">
        <x:v>0</x:v>
      </x:c>
      <x:c r="B66" s="21" t="n">
        <x:v>60</x:v>
      </x:c>
      <x:c r="C66" s="21" t="inlineStr">
        <x:is>
          <x:t xml:space="preserve">315</x:t>
        </x:is>
      </x:c>
      <x:c r="D66" s="14" t="inlineStr">
        <x:is>
          <x:t xml:space="preserve">Overlords</x:t>
        </x:is>
      </x:c>
      <x:c r="E66" s="14" t="inlineStr">
        <x:is>
          <x:t xml:space="preserve">Season 3, Episode 15</x:t>
        </x:is>
      </x:c>
      <x:c r="F66" s="20" t="e">
        <x:f>HYPERLINK("https://www.starwars.com/tv-shows/clone-wars/overlords-episode-guide","Episode guide")</x:f>
        <x:v>HYPERLINK is not implemented. linkLocation=https://www.starwars.com/tv-shows/clone-wars/overlords-episode-guide, friendlyName=Episode guide</x:v>
      </x:c>
      <x:c r="G66" s="20" t="e">
        <x:f>HYPERLINK("https://www.disneyplus.com/video/48c78dd1-73f6-40ef-9e0d-d469ea00ada8?cid=DTCI-Synergy-DDN-Site-Acquisition-StarWars-US-StarWars-StarWarsTheCloneWars-EN-BlogArticleEmbed-TCWChronological_StreamOnDisneyPlusCTA-NA","Watch")</x:f>
        <x:v>HYPERLINK is not implemented. linkLocation=https://www.disneyplus.com/video/48c78dd1-73f6-40ef-9e0d-d469ea00ada8?cid=DTCI-Synergy-DDN-Site-Acquisition-StarWars-US-StarWars-StarWarsTheCloneWars-EN-BlogArticleEmbed-TCWChronological_StreamOnDisneyPlusCTA-NA, friendlyName=Watch</x:v>
      </x:c>
    </x:row>
    <x:row r="67" s="23" customFormat="1" ht="30" customHeight="1">
      <x:c r="A67" s="21" t="b">
        <x:v>0</x:v>
      </x:c>
      <x:c r="B67" s="21" t="n">
        <x:v>61</x:v>
      </x:c>
      <x:c r="C67" s="21" t="inlineStr">
        <x:is>
          <x:t xml:space="preserve">316</x:t>
        </x:is>
      </x:c>
      <x:c r="D67" s="14" t="inlineStr">
        <x:is>
          <x:t xml:space="preserve">Altar of Mortis</x:t>
        </x:is>
      </x:c>
      <x:c r="E67" s="14" t="inlineStr">
        <x:is>
          <x:t xml:space="preserve">Season 3, Episode 16</x:t>
        </x:is>
      </x:c>
      <x:c r="F67" s="20" t="e">
        <x:f>HYPERLINK("https://www.starwars.com/tv-shows/clone-wars/altar-of-mortis-episode-guide","Episode guide")</x:f>
        <x:v>HYPERLINK is not implemented. linkLocation=https://www.starwars.com/tv-shows/clone-wars/altar-of-mortis-episode-guide, friendlyName=Episode guide</x:v>
      </x:c>
      <x:c r="G67" s="20" t="e">
        <x:f>HYPERLINK("https://www.disneyplus.com/video/75e60bba-9b85-4531-aec2-7f3b9ed18e4c?cid=DTCI-Synergy-DDN-Site-Acquisition-StarWars-US-StarWars-StarWarsTheCloneWars-EN-BlogArticleEmbed-TCWChronological_StreamOnDisneyPlusCTA-NA","Watch")</x:f>
        <x:v>HYPERLINK is not implemented. linkLocation=https://www.disneyplus.com/video/75e60bba-9b85-4531-aec2-7f3b9ed18e4c?cid=DTCI-Synergy-DDN-Site-Acquisition-StarWars-US-StarWars-StarWarsTheCloneWars-EN-BlogArticleEmbed-TCWChronological_StreamOnDisneyPlusCTA-NA, friendlyName=Watch</x:v>
      </x:c>
    </x:row>
    <x:row r="68" s="23" customFormat="1" ht="30" customHeight="1">
      <x:c r="A68" s="21" t="b">
        <x:v>0</x:v>
      </x:c>
      <x:c r="B68" s="21" t="n">
        <x:v>62</x:v>
      </x:c>
      <x:c r="C68" s="21" t="inlineStr">
        <x:is>
          <x:t xml:space="preserve">317</x:t>
        </x:is>
      </x:c>
      <x:c r="D68" s="14" t="inlineStr">
        <x:is>
          <x:t xml:space="preserve">Ghosts of Mortis</x:t>
        </x:is>
      </x:c>
      <x:c r="E68" s="14" t="inlineStr">
        <x:is>
          <x:t xml:space="preserve">Season 3, Episode 17</x:t>
        </x:is>
      </x:c>
      <x:c r="F68" s="20" t="e">
        <x:f>HYPERLINK("https://www.starwars.com/tv-shows/clone-wars/ghosts-of-mortis-episode-guide","Episode guide")</x:f>
        <x:v>HYPERLINK is not implemented. linkLocation=https://www.starwars.com/tv-shows/clone-wars/ghosts-of-mortis-episode-guide, friendlyName=Episode guide</x:v>
      </x:c>
      <x:c r="G68" s="20" t="e">
        <x:f>HYPERLINK("https://www.disneyplus.com/video/6eccdac1-2d29-416d-88f7-779791c8bbca?cid=DTCI-Synergy-DDN-Site-Acquisition-StarWars-US-StarWars-StarWarsTheCloneWars-EN-BlogArticleEmbed-TCWChronological_StreamOnDisneyPlusCTA-NA","Watch")</x:f>
        <x:v>HYPERLINK is not implemented. linkLocation=https://www.disneyplus.com/video/6eccdac1-2d29-416d-88f7-779791c8bbca?cid=DTCI-Synergy-DDN-Site-Acquisition-StarWars-US-StarWars-StarWarsTheCloneWars-EN-BlogArticleEmbed-TCWChronological_StreamOnDisneyPlusCTA-NA, friendlyName=Watch</x:v>
      </x:c>
    </x:row>
    <x:row r="69" s="23" customFormat="1" ht="30" customHeight="1">
      <x:c r="A69" s="21" t="b">
        <x:v>0</x:v>
      </x:c>
      <x:c r="B69" s="21" t="n">
        <x:v>63</x:v>
      </x:c>
      <x:c r="C69" s="21" t="inlineStr">
        <x:is>
          <x:t xml:space="preserve">318</x:t>
        </x:is>
      </x:c>
      <x:c r="D69" s="14" t="inlineStr">
        <x:is>
          <x:t xml:space="preserve">The Citadel</x:t>
        </x:is>
      </x:c>
      <x:c r="E69" s="14" t="inlineStr">
        <x:is>
          <x:t xml:space="preserve">Season 3, Episode 18</x:t>
        </x:is>
      </x:c>
      <x:c r="F69" s="20" t="e">
        <x:f>HYPERLINK("https://www.starwars.com/tv-shows/clone-wars/the-citadel-episode-guide","Episode guide")</x:f>
        <x:v>HYPERLINK is not implemented. linkLocation=https://www.starwars.com/tv-shows/clone-wars/the-citadel-episode-guide, friendlyName=Episode guide</x:v>
      </x:c>
      <x:c r="G69" s="20" t="e">
        <x:f>HYPERLINK("https://www.disneyplus.com/video/5ce7d03a-c7d7-4e63-8cb1-eae92bcd1349?cid=DTCI-Synergy-DDN-Site-Acquisition-StarWars-US-StarWars-StarWarsTheCloneWars-EN-BlogArticleEmbed-TCWChronological_StreamOnDisneyPlusCTA-NA","Watch")</x:f>
        <x:v>HYPERLINK is not implemented. linkLocation=https://www.disneyplus.com/video/5ce7d03a-c7d7-4e63-8cb1-eae92bcd1349?cid=DTCI-Synergy-DDN-Site-Acquisition-StarWars-US-StarWars-StarWarsTheCloneWars-EN-BlogArticleEmbed-TCWChronological_StreamOnDisneyPlusCTA-NA, friendlyName=Watch</x:v>
      </x:c>
    </x:row>
    <x:row r="70" s="23" customFormat="1" ht="30" customHeight="1">
      <x:c r="A70" s="21" t="b">
        <x:v>0</x:v>
      </x:c>
      <x:c r="B70" s="21" t="n">
        <x:v>64</x:v>
      </x:c>
      <x:c r="C70" s="21" t="inlineStr">
        <x:is>
          <x:t xml:space="preserve">319</x:t>
        </x:is>
      </x:c>
      <x:c r="D70" s="14" t="inlineStr">
        <x:is>
          <x:t xml:space="preserve">Counter Attack</x:t>
        </x:is>
      </x:c>
      <x:c r="E70" s="14" t="inlineStr">
        <x:is>
          <x:t xml:space="preserve">Season 3, Episode 19</x:t>
        </x:is>
      </x:c>
      <x:c r="F70" s="20" t="e">
        <x:f>HYPERLINK("https://www.starwars.com/tv-shows/clone-wars/counterattack-episode-guide","Episode guide")</x:f>
        <x:v>HYPERLINK is not implemented. linkLocation=https://www.starwars.com/tv-shows/clone-wars/counterattack-episode-guide, friendlyName=Episode guide</x:v>
      </x:c>
      <x:c r="G70" s="20" t="e">
        <x:f>HYPERLINK("https://www.disneyplus.com/video/da31968a-f4f6-457b-8d4a-9938d5bdb6f0?cid=DTCI-Synergy-DDN-Site-Acquisition-StarWars-US-StarWars-StarWarsTheCloneWars-EN-BlogArticleEmbed-TCWChronological_StreamOnDisneyPlusCTA-NA","Watch")</x:f>
        <x:v>HYPERLINK is not implemented. linkLocation=https://www.disneyplus.com/video/da31968a-f4f6-457b-8d4a-9938d5bdb6f0?cid=DTCI-Synergy-DDN-Site-Acquisition-StarWars-US-StarWars-StarWarsTheCloneWars-EN-BlogArticleEmbed-TCWChronological_StreamOnDisneyPlusCTA-NA, friendlyName=Watch</x:v>
      </x:c>
    </x:row>
    <x:row r="71" s="23" customFormat="1" ht="30" customHeight="1">
      <x:c r="A71" s="21" t="b">
        <x:v>0</x:v>
      </x:c>
      <x:c r="B71" s="21" t="n">
        <x:v>65</x:v>
      </x:c>
      <x:c r="C71" s="21" t="inlineStr">
        <x:is>
          <x:t xml:space="preserve">320</x:t>
        </x:is>
      </x:c>
      <x:c r="D71" s="14" t="inlineStr">
        <x:is>
          <x:t xml:space="preserve">Citadel Rescue</x:t>
        </x:is>
      </x:c>
      <x:c r="E71" s="14" t="inlineStr">
        <x:is>
          <x:t xml:space="preserve">Season 3, Episode 20</x:t>
        </x:is>
      </x:c>
      <x:c r="F71" s="20" t="e">
        <x:f>HYPERLINK("https://www.starwars.com/tv-shows/clone-wars/citadel-rescue-episode-guide","Episode guide")</x:f>
        <x:v>HYPERLINK is not implemented. linkLocation=https://www.starwars.com/tv-shows/clone-wars/citadel-rescue-episode-guide, friendlyName=Episode guide</x:v>
      </x:c>
      <x:c r="G71" s="20" t="e">
        <x:f>HYPERLINK("https://www.disneyplus.com/video/8799713b-3cd0-48e7-b32d-aef303971020?cid=DTCI-Synergy-DDN-Site-Acquisition-StarWars-US-StarWars-StarWarsTheCloneWars-EN-BlogArticleEmbed-TCWChronological_StreamOnDisneyPlusCTA-NA","Watch")</x:f>
        <x:v>HYPERLINK is not implemented. linkLocation=https://www.disneyplus.com/video/8799713b-3cd0-48e7-b32d-aef303971020?cid=DTCI-Synergy-DDN-Site-Acquisition-StarWars-US-StarWars-StarWarsTheCloneWars-EN-BlogArticleEmbed-TCWChronological_StreamOnDisneyPlusCTA-NA, friendlyName=Watch</x:v>
      </x:c>
    </x:row>
    <x:row r="72" s="23" customFormat="1" ht="30" customHeight="1">
      <x:c r="A72" s="21" t="b">
        <x:v>0</x:v>
      </x:c>
      <x:c r="B72" s="21" t="n">
        <x:v>66</x:v>
      </x:c>
      <x:c r="C72" s="21" t="inlineStr">
        <x:is>
          <x:t xml:space="preserve">321</x:t>
        </x:is>
      </x:c>
      <x:c r="D72" s="14" t="inlineStr">
        <x:is>
          <x:t xml:space="preserve">Padawan Lost</x:t>
        </x:is>
      </x:c>
      <x:c r="E72" s="14" t="inlineStr">
        <x:is>
          <x:t xml:space="preserve">Season 3, Episode 21</x:t>
        </x:is>
      </x:c>
      <x:c r="F72" s="20" t="e">
        <x:f>HYPERLINK("https://www.starwars.com/tv-shows/clone-wars/padawan-lost-episode-guide","Episode guide")</x:f>
        <x:v>HYPERLINK is not implemented. linkLocation=https://www.starwars.com/tv-shows/clone-wars/padawan-lost-episode-guide, friendlyName=Episode guide</x:v>
      </x:c>
      <x:c r="G72" s="20" t="e">
        <x:f>HYPERLINK("https://www.disneyplus.com/video/e9010f4d-8e53-4100-9e56-37526a34d8cb?cid=DTCI-Synergy-DDN-Site-Acquisition-StarWars-US-StarWars-StarWarsTheCloneWars-EN-BlogArticleEmbed-TCWChronological_StreamOnDisneyPlusCTA-NA","Watch")</x:f>
        <x:v>HYPERLINK is not implemented. linkLocation=https://www.disneyplus.com/video/e9010f4d-8e53-4100-9e56-37526a34d8cb?cid=DTCI-Synergy-DDN-Site-Acquisition-StarWars-US-StarWars-StarWarsTheCloneWars-EN-BlogArticleEmbed-TCWChronological_StreamOnDisneyPlusCTA-NA, friendlyName=Watch</x:v>
      </x:c>
    </x:row>
    <x:row r="73" s="23" customFormat="1" ht="30" customHeight="1">
      <x:c r="A73" s="21" t="b">
        <x:v>0</x:v>
      </x:c>
      <x:c r="B73" s="21" t="n">
        <x:v>67</x:v>
      </x:c>
      <x:c r="C73" s="21" t="inlineStr">
        <x:is>
          <x:t xml:space="preserve">322</x:t>
        </x:is>
      </x:c>
      <x:c r="D73" s="14" t="inlineStr">
        <x:is>
          <x:t xml:space="preserve">Wookiee Hunt</x:t>
        </x:is>
      </x:c>
      <x:c r="E73" s="14" t="inlineStr">
        <x:is>
          <x:t xml:space="preserve">Season 3, Episode 22</x:t>
        </x:is>
      </x:c>
      <x:c r="F73" s="20" t="e">
        <x:f>HYPERLINK("https://www.starwars.com/tv-shows/clone-wars/wookiee-hunt-episode-guide","Episode guide")</x:f>
        <x:v>HYPERLINK is not implemented. linkLocation=https://www.starwars.com/tv-shows/clone-wars/wookiee-hunt-episode-guide, friendlyName=Episode guide</x:v>
      </x:c>
      <x:c r="G73" s="20" t="e">
        <x:f>HYPERLINK("https://www.disneyplus.com/video/d332b464-3b44-4ace-af1b-bcabcf5f9155?cid=DTCI-Synergy-DDN-Site-Acquisition-StarWars-US-StarWars-StarWarsTheCloneWars-EN-BlogArticleEmbed-TCWChronological_StreamOnDisneyPlusCTA-NA","Watch")</x:f>
        <x:v>HYPERLINK is not implemented. linkLocation=https://www.disneyplus.com/video/d332b464-3b44-4ace-af1b-bcabcf5f9155?cid=DTCI-Synergy-DDN-Site-Acquisition-StarWars-US-StarWars-StarWarsTheCloneWars-EN-BlogArticleEmbed-TCWChronological_StreamOnDisneyPlusCTA-NA, friendlyName=Watch</x:v>
      </x:c>
    </x:row>
    <x:row r="74" s="23" customFormat="1" ht="30" customHeight="1">
      <x:c r="A74" s="21" t="b">
        <x:v>0</x:v>
      </x:c>
      <x:c r="B74" s="21" t="n">
        <x:v>68</x:v>
      </x:c>
      <x:c r="C74" s="21" t="inlineStr">
        <x:is>
          <x:t xml:space="preserve">401</x:t>
        </x:is>
      </x:c>
      <x:c r="D74" s="14" t="inlineStr">
        <x:is>
          <x:t xml:space="preserve">Water War</x:t>
        </x:is>
      </x:c>
      <x:c r="E74" s="14" t="inlineStr">
        <x:is>
          <x:t xml:space="preserve">Season 4, Episode 1</x:t>
        </x:is>
      </x:c>
      <x:c r="F74" s="20" t="e">
        <x:f>HYPERLINK("https://www.starwars.com/tv-shows/clone-wars/water-war-episode-guide","Episode guide")</x:f>
        <x:v>HYPERLINK is not implemented. linkLocation=https://www.starwars.com/tv-shows/clone-wars/water-war-episode-guide, friendlyName=Episode guide</x:v>
      </x:c>
      <x:c r="G74" s="20" t="e">
        <x:f>HYPERLINK("https://www.disneyplus.com/video/0118dfcf-cb59-44eb-bb93-15888e9cb8a6?cid=DTCI-Synergy-DDN-Site-Acquisition-StarWars-US-StarWars-StarWarsTheCloneWars-EN-BlogArticleEmbed-TCWChronological_StreamOnDisneyPlusCTA-NA","Watch")</x:f>
        <x:v>HYPERLINK is not implemented. linkLocation=https://www.disneyplus.com/video/0118dfcf-cb59-44eb-bb93-15888e9cb8a6?cid=DTCI-Synergy-DDN-Site-Acquisition-StarWars-US-StarWars-StarWarsTheCloneWars-EN-BlogArticleEmbed-TCWChronological_StreamOnDisneyPlusCTA-NA, friendlyName=Watch</x:v>
      </x:c>
    </x:row>
    <x:row r="75" s="23" customFormat="1" ht="30" customHeight="1">
      <x:c r="A75" s="21" t="b">
        <x:v>0</x:v>
      </x:c>
      <x:c r="B75" s="21" t="n">
        <x:v>69</x:v>
      </x:c>
      <x:c r="C75" s="21" t="inlineStr">
        <x:is>
          <x:t xml:space="preserve">402</x:t>
        </x:is>
      </x:c>
      <x:c r="D75" s="14" t="inlineStr">
        <x:is>
          <x:t xml:space="preserve">Gungan Attack</x:t>
        </x:is>
      </x:c>
      <x:c r="E75" s="14" t="inlineStr">
        <x:is>
          <x:t xml:space="preserve">Season 4, Episode 2</x:t>
        </x:is>
      </x:c>
      <x:c r="F75" s="20" t="e">
        <x:f>HYPERLINK("https://www.starwars.com/tv-shows/clone-wars/gungan-attack-episode-guide","Episode guide")</x:f>
        <x:v>HYPERLINK is not implemented. linkLocation=https://www.starwars.com/tv-shows/clone-wars/gungan-attack-episode-guide, friendlyName=Episode guide</x:v>
      </x:c>
      <x:c r="G75" s="20" t="e">
        <x:f>HYPERLINK("https://www.disneyplus.com/video/661736f6-035f-4d8f-98b7-d1a75d3359db?cid=DTCI-Synergy-DDN-Site-Acquisition-StarWars-US-StarWars-StarWarsTheCloneWars-EN-BlogArticleEmbed-TCWChronological_StreamOnDisneyPlusCTA-NA","Watch")</x:f>
        <x:v>HYPERLINK is not implemented. linkLocation=https://www.disneyplus.com/video/661736f6-035f-4d8f-98b7-d1a75d3359db?cid=DTCI-Synergy-DDN-Site-Acquisition-StarWars-US-StarWars-StarWarsTheCloneWars-EN-BlogArticleEmbed-TCWChronological_StreamOnDisneyPlusCTA-NA, friendlyName=Watch</x:v>
      </x:c>
    </x:row>
    <x:row r="76" s="23" customFormat="1" ht="30" customHeight="1">
      <x:c r="A76" s="21" t="b">
        <x:v>0</x:v>
      </x:c>
      <x:c r="B76" s="21" t="n">
        <x:v>70</x:v>
      </x:c>
      <x:c r="C76" s="21" t="inlineStr">
        <x:is>
          <x:t xml:space="preserve">403</x:t>
        </x:is>
      </x:c>
      <x:c r="D76" s="14" t="inlineStr">
        <x:is>
          <x:t xml:space="preserve">Prisoners</x:t>
        </x:is>
      </x:c>
      <x:c r="E76" s="14" t="inlineStr">
        <x:is>
          <x:t xml:space="preserve">Season 4, Episode 3</x:t>
        </x:is>
      </x:c>
      <x:c r="F76" s="20" t="e">
        <x:f>HYPERLINK("https://www.starwars.com/tv-shows/clone-wars/prisoners-episode-guide","Episode guide")</x:f>
        <x:v>HYPERLINK is not implemented. linkLocation=https://www.starwars.com/tv-shows/clone-wars/prisoners-episode-guide, friendlyName=Episode guide</x:v>
      </x:c>
      <x:c r="G76" s="20" t="e">
        <x:f>HYPERLINK("https://www.disneyplus.com/video/a78235e0-c137-410c-abd8-69601e432648?cid=DTCI-Synergy-DDN-Site-Acquisition-StarWars-US-StarWars-StarWarsTheCloneWars-EN-BlogArticleEmbed-TCWChronological_StreamOnDisneyPlusCTA-NA","Watch")</x:f>
        <x:v>HYPERLINK is not implemented. linkLocation=https://www.disneyplus.com/video/a78235e0-c137-410c-abd8-69601e432648?cid=DTCI-Synergy-DDN-Site-Acquisition-StarWars-US-StarWars-StarWarsTheCloneWars-EN-BlogArticleEmbed-TCWChronological_StreamOnDisneyPlusCTA-NA, friendlyName=Watch</x:v>
      </x:c>
    </x:row>
    <x:row r="77" s="23" customFormat="1" ht="30" customHeight="1">
      <x:c r="A77" s="21" t="b">
        <x:v>0</x:v>
      </x:c>
      <x:c r="B77" s="21" t="n">
        <x:v>71</x:v>
      </x:c>
      <x:c r="C77" s="21" t="inlineStr">
        <x:is>
          <x:t xml:space="preserve">404</x:t>
        </x:is>
      </x:c>
      <x:c r="D77" s="14" t="inlineStr">
        <x:is>
          <x:t xml:space="preserve">Shadow Warrior</x:t>
        </x:is>
      </x:c>
      <x:c r="E77" s="14" t="inlineStr">
        <x:is>
          <x:t xml:space="preserve">Season 4, Episode 4</x:t>
        </x:is>
      </x:c>
      <x:c r="F77" s="20" t="e">
        <x:f>HYPERLINK("https://www.starwars.com/tv-shows/clone-wars/shadow-warrior-episode-guide","Episode guide")</x:f>
        <x:v>HYPERLINK is not implemented. linkLocation=https://www.starwars.com/tv-shows/clone-wars/shadow-warrior-episode-guide, friendlyName=Episode guide</x:v>
      </x:c>
      <x:c r="G77" s="20" t="e">
        <x:f>HYPERLINK("https://www.disneyplus.com/video/794938c4-0700-4b1f-a6c3-20aff7ca1b39?cid=DTCI-Synergy-DDN-Site-Acquisition-StarWars-US-StarWars-StarWarsTheCloneWars-EN-BlogArticleEmbed-TCWChronological_StreamOnDisneyPlusCTA-NA","Watch")</x:f>
        <x:v>HYPERLINK is not implemented. linkLocation=https://www.disneyplus.com/video/794938c4-0700-4b1f-a6c3-20aff7ca1b39?cid=DTCI-Synergy-DDN-Site-Acquisition-StarWars-US-StarWars-StarWarsTheCloneWars-EN-BlogArticleEmbed-TCWChronological_StreamOnDisneyPlusCTA-NA, friendlyName=Watch</x:v>
      </x:c>
    </x:row>
    <x:row r="78" s="23" customFormat="1" ht="30" customHeight="1">
      <x:c r="A78" s="21" t="b">
        <x:v>0</x:v>
      </x:c>
      <x:c r="B78" s="21" t="n">
        <x:v>72</x:v>
      </x:c>
      <x:c r="C78" s="21" t="inlineStr">
        <x:is>
          <x:t xml:space="preserve">405</x:t>
        </x:is>
      </x:c>
      <x:c r="D78" s="14" t="inlineStr">
        <x:is>
          <x:t xml:space="preserve">Mercy Mission</x:t>
        </x:is>
      </x:c>
      <x:c r="E78" s="14" t="inlineStr">
        <x:is>
          <x:t xml:space="preserve">Season 4, Episode 5</x:t>
        </x:is>
      </x:c>
      <x:c r="F78" s="20" t="e">
        <x:f>HYPERLINK("https://www.starwars.com/tv-shows/clone-wars/mercy-mission-episode-guide","Episode guide")</x:f>
        <x:v>HYPERLINK is not implemented. linkLocation=https://www.starwars.com/tv-shows/clone-wars/mercy-mission-episode-guide, friendlyName=Episode guide</x:v>
      </x:c>
      <x:c r="G78" s="20" t="e">
        <x:f>HYPERLINK("https://www.disneyplus.com/video/1d717a67-fdce-4404-aed6-3cca361e0946?cid=DTCI-Synergy-DDN-Site-Acquisition-StarWars-US-StarWars-StarWarsTheCloneWars-EN-BlogArticleEmbed-TCWChronological_StreamOnDisneyPlusCTA-NA","Watch")</x:f>
        <x:v>HYPERLINK is not implemented. linkLocation=https://www.disneyplus.com/video/1d717a67-fdce-4404-aed6-3cca361e0946?cid=DTCI-Synergy-DDN-Site-Acquisition-StarWars-US-StarWars-StarWarsTheCloneWars-EN-BlogArticleEmbed-TCWChronological_StreamOnDisneyPlusCTA-NA, friendlyName=Watch</x:v>
      </x:c>
    </x:row>
    <x:row r="79" s="23" customFormat="1" ht="30" customHeight="1">
      <x:c r="A79" s="21" t="b">
        <x:v>0</x:v>
      </x:c>
      <x:c r="B79" s="21" t="n">
        <x:v>73</x:v>
      </x:c>
      <x:c r="C79" s="21" t="inlineStr">
        <x:is>
          <x:t xml:space="preserve">406</x:t>
        </x:is>
      </x:c>
      <x:c r="D79" s="14" t="inlineStr">
        <x:is>
          <x:t xml:space="preserve">Nomad Droids</x:t>
        </x:is>
      </x:c>
      <x:c r="E79" s="14" t="inlineStr">
        <x:is>
          <x:t xml:space="preserve">Season 4, Episode 6</x:t>
        </x:is>
      </x:c>
      <x:c r="F79" s="20" t="e">
        <x:f>HYPERLINK("https://www.starwars.com/tv-shows/clone-wars/nomad-droids-episode-guide","Episode guide")</x:f>
        <x:v>HYPERLINK is not implemented. linkLocation=https://www.starwars.com/tv-shows/clone-wars/nomad-droids-episode-guide, friendlyName=Episode guide</x:v>
      </x:c>
      <x:c r="G79" s="20" t="e">
        <x:f>HYPERLINK("https://www.disneyplus.com/video/70b7d424-fd27-4388-b934-b4bfad3f898d?cid=DTCI-Synergy-DDN-Site-Acquisition-StarWars-US-StarWars-StarWarsTheCloneWars-EN-BlogArticleEmbed-TCWChronological_StreamOnDisneyPlusCTA-NA","Watch")</x:f>
        <x:v>HYPERLINK is not implemented. linkLocation=https://www.disneyplus.com/video/70b7d424-fd27-4388-b934-b4bfad3f898d?cid=DTCI-Synergy-DDN-Site-Acquisition-StarWars-US-StarWars-StarWarsTheCloneWars-EN-BlogArticleEmbed-TCWChronological_StreamOnDisneyPlusCTA-NA, friendlyName=Watch</x:v>
      </x:c>
    </x:row>
    <x:row r="80" s="23" customFormat="1" ht="30" customHeight="1">
      <x:c r="A80" s="21" t="b">
        <x:v>0</x:v>
      </x:c>
      <x:c r="B80" s="21" t="n">
        <x:v>74</x:v>
      </x:c>
      <x:c r="C80" s="21" t="inlineStr">
        <x:is>
          <x:t xml:space="preserve">407</x:t>
        </x:is>
      </x:c>
      <x:c r="D80" s="14" t="inlineStr">
        <x:is>
          <x:t xml:space="preserve">Darkness on Umbara</x:t>
        </x:is>
      </x:c>
      <x:c r="E80" s="14" t="inlineStr">
        <x:is>
          <x:t xml:space="preserve">Season 4, Episode 7</x:t>
        </x:is>
      </x:c>
      <x:c r="F80" s="20" t="e">
        <x:f>HYPERLINK("https://www.starwars.com/tv-shows/clone-wars/darkness-on-umbara-episode-guide","Episode guide")</x:f>
        <x:v>HYPERLINK is not implemented. linkLocation=https://www.starwars.com/tv-shows/clone-wars/darkness-on-umbara-episode-guide, friendlyName=Episode guide</x:v>
      </x:c>
      <x:c r="G80" s="20" t="e">
        <x:f>HYPERLINK("https://www.disneyplus.com/video/f9bfac62-4bb9-443b-905c-db5d978df3f2?cid=DTCI-Synergy-DDN-Site-Acquisition-StarWars-US-StarWars-StarWarsTheCloneWars-EN-BlogArticleEmbed-TCWChronological_StreamOnDisneyPlusCTA-NA","Watch")</x:f>
        <x:v>HYPERLINK is not implemented. linkLocation=https://www.disneyplus.com/video/f9bfac62-4bb9-443b-905c-db5d978df3f2?cid=DTCI-Synergy-DDN-Site-Acquisition-StarWars-US-StarWars-StarWarsTheCloneWars-EN-BlogArticleEmbed-TCWChronological_StreamOnDisneyPlusCTA-NA, friendlyName=Watch</x:v>
      </x:c>
    </x:row>
    <x:row r="81" s="23" customFormat="1" ht="30" customHeight="1">
      <x:c r="A81" s="21" t="b">
        <x:v>0</x:v>
      </x:c>
      <x:c r="B81" s="21" t="n">
        <x:v>75</x:v>
      </x:c>
      <x:c r="C81" s="21" t="inlineStr">
        <x:is>
          <x:t xml:space="preserve">408</x:t>
        </x:is>
      </x:c>
      <x:c r="D81" s="14" t="inlineStr">
        <x:is>
          <x:t xml:space="preserve">The General</x:t>
        </x:is>
      </x:c>
      <x:c r="E81" s="14" t="inlineStr">
        <x:is>
          <x:t xml:space="preserve">Season 4, Episode 8</x:t>
        </x:is>
      </x:c>
      <x:c r="F81" s="20" t="e">
        <x:f>HYPERLINK("https://www.starwars.com/tv-shows/clone-wars/the-general-episode-guide","Episode guide")</x:f>
        <x:v>HYPERLINK is not implemented. linkLocation=https://www.starwars.com/tv-shows/clone-wars/the-general-episode-guide, friendlyName=Episode guide</x:v>
      </x:c>
      <x:c r="G81" s="20" t="e">
        <x:f>HYPERLINK("https://www.disneyplus.com/video/61e6b80b-ae44-431d-ae37-3ff46db6fdf6?cid=DTCI-Synergy-DDN-Site-Acquisition-StarWars-US-StarWars-StarWarsTheCloneWars-EN-BlogArticleEmbed-TCWChronological_StreamOnDisneyPlusCTA-NA","Watch")</x:f>
        <x:v>HYPERLINK is not implemented. linkLocation=https://www.disneyplus.com/video/61e6b80b-ae44-431d-ae37-3ff46db6fdf6?cid=DTCI-Synergy-DDN-Site-Acquisition-StarWars-US-StarWars-StarWarsTheCloneWars-EN-BlogArticleEmbed-TCWChronological_StreamOnDisneyPlusCTA-NA, friendlyName=Watch</x:v>
      </x:c>
    </x:row>
    <x:row r="82" s="23" customFormat="1" ht="30" customHeight="1">
      <x:c r="A82" s="21" t="b">
        <x:v>0</x:v>
      </x:c>
      <x:c r="B82" s="21" t="n">
        <x:v>76</x:v>
      </x:c>
      <x:c r="C82" s="21" t="inlineStr">
        <x:is>
          <x:t xml:space="preserve">409</x:t>
        </x:is>
      </x:c>
      <x:c r="D82" s="14" t="inlineStr">
        <x:is>
          <x:t xml:space="preserve">Plan of Dissent</x:t>
        </x:is>
      </x:c>
      <x:c r="E82" s="14" t="inlineStr">
        <x:is>
          <x:t xml:space="preserve">Season 4, Episode 9</x:t>
        </x:is>
      </x:c>
      <x:c r="F82" s="20" t="e">
        <x:f>HYPERLINK("https://www.starwars.com/tv-shows/clone-wars/plan-of-dissent-episode-guide","Episode guide")</x:f>
        <x:v>HYPERLINK is not implemented. linkLocation=https://www.starwars.com/tv-shows/clone-wars/plan-of-dissent-episode-guide, friendlyName=Episode guide</x:v>
      </x:c>
      <x:c r="G82" s="20" t="e">
        <x:f>HYPERLINK("https://www.disneyplus.com/video/5dfa03d3-ec0c-462e-96b9-9995bb5b7e1d?cid=DTCI-Synergy-DDN-Site-Acquisition-StarWars-US-StarWars-StarWarsTheCloneWars-EN-BlogArticleEmbed-TCWChronological_StreamOnDisneyPlusCTA-NA","Watch")</x:f>
        <x:v>HYPERLINK is not implemented. linkLocation=https://www.disneyplus.com/video/5dfa03d3-ec0c-462e-96b9-9995bb5b7e1d?cid=DTCI-Synergy-DDN-Site-Acquisition-StarWars-US-StarWars-StarWarsTheCloneWars-EN-BlogArticleEmbed-TCWChronological_StreamOnDisneyPlusCTA-NA, friendlyName=Watch</x:v>
      </x:c>
    </x:row>
    <x:row r="83" s="23" customFormat="1" ht="30" customHeight="1">
      <x:c r="A83" s="21" t="b">
        <x:v>0</x:v>
      </x:c>
      <x:c r="B83" s="21" t="n">
        <x:v>77</x:v>
      </x:c>
      <x:c r="C83" s="21" t="inlineStr">
        <x:is>
          <x:t xml:space="preserve">410</x:t>
        </x:is>
      </x:c>
      <x:c r="D83" s="14" t="inlineStr">
        <x:is>
          <x:t xml:space="preserve">Carnage of Krell</x:t>
        </x:is>
      </x:c>
      <x:c r="E83" s="14" t="inlineStr">
        <x:is>
          <x:t xml:space="preserve">Season 4, Episode 10</x:t>
        </x:is>
      </x:c>
      <x:c r="F83" s="20" t="e">
        <x:f>HYPERLINK("https://www.starwars.com/tv-shows/clone-wars/carnage-of-krell-episode-guide","Episode guide")</x:f>
        <x:v>HYPERLINK is not implemented. linkLocation=https://www.starwars.com/tv-shows/clone-wars/carnage-of-krell-episode-guide, friendlyName=Episode guide</x:v>
      </x:c>
      <x:c r="G83" s="20" t="e">
        <x:f>HYPERLINK("https://www.disneyplus.com/video/3ea87b6f-c298-4847-a69d-05d6ec748f59?cid=DTCI-Synergy-DDN-Site-Acquisition-StarWars-US-StarWars-StarWarsTheCloneWars-EN-BlogArticleEmbed-TCWChronological_StreamOnDisneyPlusCTA-NA","Watch")</x:f>
        <x:v>HYPERLINK is not implemented. linkLocation=https://www.disneyplus.com/video/3ea87b6f-c298-4847-a69d-05d6ec748f59?cid=DTCI-Synergy-DDN-Site-Acquisition-StarWars-US-StarWars-StarWarsTheCloneWars-EN-BlogArticleEmbed-TCWChronological_StreamOnDisneyPlusCTA-NA, friendlyName=Watch</x:v>
      </x:c>
    </x:row>
    <x:row r="84" s="23" customFormat="1" ht="30" customHeight="1">
      <x:c r="A84" s="21" t="b">
        <x:v>0</x:v>
      </x:c>
      <x:c r="B84" s="21" t="n">
        <x:v>78</x:v>
      </x:c>
      <x:c r="C84" s="21" t="inlineStr">
        <x:is>
          <x:t xml:space="preserve">411</x:t>
        </x:is>
      </x:c>
      <x:c r="D84" s="14" t="inlineStr">
        <x:is>
          <x:t xml:space="preserve">Kidnapped</x:t>
        </x:is>
      </x:c>
      <x:c r="E84" s="14" t="inlineStr">
        <x:is>
          <x:t xml:space="preserve">Season 4, Episode 11</x:t>
        </x:is>
      </x:c>
      <x:c r="F84" s="20" t="e">
        <x:f>HYPERLINK("https://www.starwars.com/tv-shows/clone-wars/kidnapped-episode-guide","Episode guide")</x:f>
        <x:v>HYPERLINK is not implemented. linkLocation=https://www.starwars.com/tv-shows/clone-wars/kidnapped-episode-guide, friendlyName=Episode guide</x:v>
      </x:c>
      <x:c r="G84" s="20" t="e">
        <x:f>HYPERLINK("https://www.disneyplus.com/video/02bd06fc-230f-4667-b9da-23fb11d66b70?cid=DTCI-Synergy-DDN-Site-Acquisition-StarWars-US-StarWars-StarWarsTheCloneWars-EN-BlogArticleEmbed-TCWChronological_StreamOnDisneyPlusCTA-NA","Watch")</x:f>
        <x:v>HYPERLINK is not implemented. linkLocation=https://www.disneyplus.com/video/02bd06fc-230f-4667-b9da-23fb11d66b70?cid=DTCI-Synergy-DDN-Site-Acquisition-StarWars-US-StarWars-StarWarsTheCloneWars-EN-BlogArticleEmbed-TCWChronological_StreamOnDisneyPlusCTA-NA, friendlyName=Watch</x:v>
      </x:c>
    </x:row>
    <x:row r="85" s="23" customFormat="1" ht="30" customHeight="1">
      <x:c r="A85" s="21" t="b">
        <x:v>0</x:v>
      </x:c>
      <x:c r="B85" s="21" t="n">
        <x:v>79</x:v>
      </x:c>
      <x:c r="C85" s="21" t="inlineStr">
        <x:is>
          <x:t xml:space="preserve">412</x:t>
        </x:is>
      </x:c>
      <x:c r="D85" s="14" t="inlineStr">
        <x:is>
          <x:t xml:space="preserve">Slaves of the Republic</x:t>
        </x:is>
      </x:c>
      <x:c r="E85" s="14" t="inlineStr">
        <x:is>
          <x:t xml:space="preserve">Season 4, Episode 12</x:t>
        </x:is>
      </x:c>
      <x:c r="F85" s="20" t="e">
        <x:f>HYPERLINK("https://www.starwars.com/tv-shows/clone-wars/slaves-of-the-republic-episode-guide","Episode guide")</x:f>
        <x:v>HYPERLINK is not implemented. linkLocation=https://www.starwars.com/tv-shows/clone-wars/slaves-of-the-republic-episode-guide, friendlyName=Episode guide</x:v>
      </x:c>
      <x:c r="G85" s="20" t="e">
        <x:f>HYPERLINK("https://www.disneyplus.com/video/22ffd322-9702-403f-93d3-47dc7780e062?cid=DTCI-Synergy-DDN-Site-Acquisition-StarWars-US-StarWars-StarWarsTheCloneWars-EN-BlogArticleEmbed-TCWChronological_StreamOnDisneyPlusCTA-NA","Watch")</x:f>
        <x:v>HYPERLINK is not implemented. linkLocation=https://www.disneyplus.com/video/22ffd322-9702-403f-93d3-47dc7780e062?cid=DTCI-Synergy-DDN-Site-Acquisition-StarWars-US-StarWars-StarWarsTheCloneWars-EN-BlogArticleEmbed-TCWChronological_StreamOnDisneyPlusCTA-NA, friendlyName=Watch</x:v>
      </x:c>
    </x:row>
    <x:row r="86" s="23" customFormat="1" ht="30" customHeight="1">
      <x:c r="A86" s="21" t="b">
        <x:v>0</x:v>
      </x:c>
      <x:c r="B86" s="21" t="n">
        <x:v>80</x:v>
      </x:c>
      <x:c r="C86" s="21" t="inlineStr">
        <x:is>
          <x:t xml:space="preserve">413</x:t>
        </x:is>
      </x:c>
      <x:c r="D86" s="14" t="inlineStr">
        <x:is>
          <x:t xml:space="preserve">Escape from Kadavo</x:t>
        </x:is>
      </x:c>
      <x:c r="E86" s="14" t="inlineStr">
        <x:is>
          <x:t xml:space="preserve">Season 4, Episode 13</x:t>
        </x:is>
      </x:c>
      <x:c r="F86" s="20" t="e">
        <x:f>HYPERLINK("https://www.starwars.com/tv-shows/clone-wars/escape-from-kadavo-episode-guide","Episode guide")</x:f>
        <x:v>HYPERLINK is not implemented. linkLocation=https://www.starwars.com/tv-shows/clone-wars/escape-from-kadavo-episode-guide, friendlyName=Episode guide</x:v>
      </x:c>
      <x:c r="G86" s="20" t="e">
        <x:f>HYPERLINK("https://www.disneyplus.com/video/b2e1fd41-8496-4860-9ef8-80bed1b92754?cid=DTCI-Synergy-DDN-Site-Acquisition-StarWars-US-StarWars-StarWarsTheCloneWars-EN-BlogArticleEmbed-TCWChronological_StreamOnDisneyPlusCTA-NA","Watch")</x:f>
        <x:v>HYPERLINK is not implemented. linkLocation=https://www.disneyplus.com/video/b2e1fd41-8496-4860-9ef8-80bed1b92754?cid=DTCI-Synergy-DDN-Site-Acquisition-StarWars-US-StarWars-StarWarsTheCloneWars-EN-BlogArticleEmbed-TCWChronological_StreamOnDisneyPlusCTA-NA, friendlyName=Watch</x:v>
      </x:c>
    </x:row>
    <x:row r="87" s="23" customFormat="1" ht="30" customHeight="1">
      <x:c r="A87" s="21" t="b">
        <x:v>0</x:v>
      </x:c>
      <x:c r="B87" s="21" t="n">
        <x:v>81</x:v>
      </x:c>
      <x:c r="C87" s="21" t="inlineStr">
        <x:is>
          <x:t xml:space="preserve">414</x:t>
        </x:is>
      </x:c>
      <x:c r="D87" s="14" t="inlineStr">
        <x:is>
          <x:t xml:space="preserve">A Friend in Need</x:t>
        </x:is>
      </x:c>
      <x:c r="E87" s="14" t="inlineStr">
        <x:is>
          <x:t xml:space="preserve">Season 4, Episode 14</x:t>
        </x:is>
      </x:c>
      <x:c r="F87" s="20" t="e">
        <x:f>HYPERLINK("https://www.starwars.com/series/clone-wars/-episode-guidea-friend-in-need","Episode guide")</x:f>
        <x:v>HYPERLINK is not implemented. linkLocation=https://www.starwars.com/series/clone-wars/-episode-guidea-friend-in-need, friendlyName=Episode guide</x:v>
      </x:c>
      <x:c r="G87" s="20" t="e">
        <x:f>HYPERLINK("https://www.disneyplus.com/video/916bff39-2aae-47db-b43a-e22f4179d093?cid=DTCI-Synergy-DDN-Site-Acquisition-StarWars-US-StarWars-StarWarsTheCloneWars-EN-BlogArticleEmbed-TCWChronological_StreamOnDisneyPlusCTA-NA","Watch")</x:f>
        <x:v>HYPERLINK is not implemented. linkLocation=https://www.disneyplus.com/video/916bff39-2aae-47db-b43a-e22f4179d093?cid=DTCI-Synergy-DDN-Site-Acquisition-StarWars-US-StarWars-StarWarsTheCloneWars-EN-BlogArticleEmbed-TCWChronological_StreamOnDisneyPlusCTA-NA, friendlyName=Watch</x:v>
      </x:c>
    </x:row>
    <x:row r="88" s="23" customFormat="1" ht="30" customHeight="1">
      <x:c r="A88" s="21" t="b">
        <x:v>0</x:v>
      </x:c>
      <x:c r="B88" s="21" t="n">
        <x:v>82</x:v>
      </x:c>
      <x:c r="C88" s="21" t="inlineStr">
        <x:is>
          <x:t xml:space="preserve">415</x:t>
        </x:is>
      </x:c>
      <x:c r="D88" s="14" t="inlineStr">
        <x:is>
          <x:t xml:space="preserve">Deception</x:t>
        </x:is>
      </x:c>
      <x:c r="E88" s="14" t="inlineStr">
        <x:is>
          <x:t xml:space="preserve">Season 4, Episode 15</x:t>
        </x:is>
      </x:c>
      <x:c r="F88" s="20" t="e">
        <x:f>HYPERLINK("https://www.starwars.com/series/clone-wars/deception-episode-guide","Episode guide")</x:f>
        <x:v>HYPERLINK is not implemented. linkLocation=https://www.starwars.com/series/clone-wars/deception-episode-guide, friendlyName=Episode guide</x:v>
      </x:c>
      <x:c r="G88" s="20" t="e">
        <x:f>HYPERLINK("https://www.disneyplus.com/video/c639cb21-5137-4090-a440-8f84a171d235?cid=DTCI-Synergy-DDN-Site-Acquisition-StarWars-US-StarWars-StarWarsTheCloneWars-EN-BlogArticleEmbed-TCWChronological_StreamOnDisneyPlusCTA-NA","Watch")</x:f>
        <x:v>HYPERLINK is not implemented. linkLocation=https://www.disneyplus.com/video/c639cb21-5137-4090-a440-8f84a171d235?cid=DTCI-Synergy-DDN-Site-Acquisition-StarWars-US-StarWars-StarWarsTheCloneWars-EN-BlogArticleEmbed-TCWChronological_StreamOnDisneyPlusCTA-NA, friendlyName=Watch</x:v>
      </x:c>
    </x:row>
    <x:row r="89" s="23" customFormat="1" ht="30" customHeight="1">
      <x:c r="A89" s="21" t="b">
        <x:v>0</x:v>
      </x:c>
      <x:c r="B89" s="21" t="n">
        <x:v>83</x:v>
      </x:c>
      <x:c r="C89" s="21" t="inlineStr">
        <x:is>
          <x:t xml:space="preserve">416</x:t>
        </x:is>
      </x:c>
      <x:c r="D89" s="14" t="inlineStr">
        <x:is>
          <x:t xml:space="preserve">Friends and Enemies</x:t>
        </x:is>
      </x:c>
      <x:c r="E89" s="14" t="inlineStr">
        <x:is>
          <x:t xml:space="preserve">Season 4, Episode 16</x:t>
        </x:is>
      </x:c>
      <x:c r="F89" s="20" t="e">
        <x:f>HYPERLINK("https://www.starwars.com/tv-shows/clone-wars/friends-and-enemies-episode-guide","Episode guide")</x:f>
        <x:v>HYPERLINK is not implemented. linkLocation=https://www.starwars.com/tv-shows/clone-wars/friends-and-enemies-episode-guide, friendlyName=Episode guide</x:v>
      </x:c>
      <x:c r="G89" s="20" t="e">
        <x:f>HYPERLINK("https://www.disneyplus.com/video/8fa14ce6-7c73-48b9-b271-16dffeb62fec?cid=DTCI-Synergy-DDN-Site-Acquisition-StarWars-US-StarWars-StarWarsTheCloneWars-EN-BlogArticleEmbed-TCWChronological_StreamOnDisneyPlusCTA-NA","Watch")</x:f>
        <x:v>HYPERLINK is not implemented. linkLocation=https://www.disneyplus.com/video/8fa14ce6-7c73-48b9-b271-16dffeb62fec?cid=DTCI-Synergy-DDN-Site-Acquisition-StarWars-US-StarWars-StarWarsTheCloneWars-EN-BlogArticleEmbed-TCWChronological_StreamOnDisneyPlusCTA-NA, friendlyName=Watch</x:v>
      </x:c>
    </x:row>
    <x:row r="90" s="23" customFormat="1" ht="30" customHeight="1">
      <x:c r="A90" s="21" t="b">
        <x:v>0</x:v>
      </x:c>
      <x:c r="B90" s="21" t="n">
        <x:v>84</x:v>
      </x:c>
      <x:c r="C90" s="21" t="inlineStr">
        <x:is>
          <x:t xml:space="preserve">417</x:t>
        </x:is>
      </x:c>
      <x:c r="D90" s="14" t="inlineStr">
        <x:is>
          <x:t xml:space="preserve">The Box</x:t>
        </x:is>
      </x:c>
      <x:c r="E90" s="14" t="inlineStr">
        <x:is>
          <x:t xml:space="preserve">Season 4, Episode 17</x:t>
        </x:is>
      </x:c>
      <x:c r="F90" s="20" t="e">
        <x:f>HYPERLINK("https://www.starwars.com/tv-shows/clone-wars/the-box-episode-guide","Episode guide")</x:f>
        <x:v>HYPERLINK is not implemented. linkLocation=https://www.starwars.com/tv-shows/clone-wars/the-box-episode-guide, friendlyName=Episode guide</x:v>
      </x:c>
      <x:c r="G90" s="20" t="e">
        <x:f>HYPERLINK("https://www.disneyplus.com/video/f95cb9de-abf7-4d7f-8a65-d9a731a60f47?cid=DTCI-Synergy-DDN-Site-Acquisition-StarWars-US-StarWars-StarWarsTheCloneWars-EN-BlogArticleEmbed-TCWChronological_StreamOnDisneyPlusCTA-NA","Watch")</x:f>
        <x:v>HYPERLINK is not implemented. linkLocation=https://www.disneyplus.com/video/f95cb9de-abf7-4d7f-8a65-d9a731a60f47?cid=DTCI-Synergy-DDN-Site-Acquisition-StarWars-US-StarWars-StarWarsTheCloneWars-EN-BlogArticleEmbed-TCWChronological_StreamOnDisneyPlusCTA-NA, friendlyName=Watch</x:v>
      </x:c>
    </x:row>
    <x:row r="91" s="23" customFormat="1" ht="30" customHeight="1">
      <x:c r="A91" s="21" t="b">
        <x:v>0</x:v>
      </x:c>
      <x:c r="B91" s="21" t="n">
        <x:v>85</x:v>
      </x:c>
      <x:c r="C91" s="21" t="inlineStr">
        <x:is>
          <x:t xml:space="preserve">418</x:t>
        </x:is>
      </x:c>
      <x:c r="D91" s="14" t="inlineStr">
        <x:is>
          <x:t xml:space="preserve">Crisis on Naboo</x:t>
        </x:is>
      </x:c>
      <x:c r="E91" s="14" t="inlineStr">
        <x:is>
          <x:t xml:space="preserve">Season 4, Episode 18</x:t>
        </x:is>
      </x:c>
      <x:c r="F91" s="20" t="e">
        <x:f>HYPERLINK("https://www.starwars.com/tv-shows/clone-wars/crisis-on-naboo-episode-guide","Episode guide")</x:f>
        <x:v>HYPERLINK is not implemented. linkLocation=https://www.starwars.com/tv-shows/clone-wars/crisis-on-naboo-episode-guide, friendlyName=Episode guide</x:v>
      </x:c>
      <x:c r="G91" s="20" t="e">
        <x:f>HYPERLINK("https://www.disneyplus.com/video/ca31a17c-8cb2-4b69-acf5-4f1e399abf5d?cid=DTCI-Synergy-DDN-Site-Acquisition-StarWars-US-StarWars-StarWarsTheCloneWars-EN-BlogArticleEmbed-TCWChronological_StreamOnDisneyPlusCTA-NA","Watch")</x:f>
        <x:v>HYPERLINK is not implemented. linkLocation=https://www.disneyplus.com/video/ca31a17c-8cb2-4b69-acf5-4f1e399abf5d?cid=DTCI-Synergy-DDN-Site-Acquisition-StarWars-US-StarWars-StarWarsTheCloneWars-EN-BlogArticleEmbed-TCWChronological_StreamOnDisneyPlusCTA-NA, friendlyName=Watch</x:v>
      </x:c>
    </x:row>
    <x:row r="92" s="23" customFormat="1" ht="30" customHeight="1">
      <x:c r="A92" s="21" t="b">
        <x:v>0</x:v>
      </x:c>
      <x:c r="B92" s="21" t="n">
        <x:v>86</x:v>
      </x:c>
      <x:c r="C92" s="21" t="inlineStr">
        <x:is>
          <x:t xml:space="preserve">419</x:t>
        </x:is>
      </x:c>
      <x:c r="D92" s="14" t="inlineStr">
        <x:is>
          <x:t xml:space="preserve">Massacre</x:t>
        </x:is>
      </x:c>
      <x:c r="E92" s="14" t="inlineStr">
        <x:is>
          <x:t xml:space="preserve">Season 4, Episode 19</x:t>
        </x:is>
      </x:c>
      <x:c r="F92" s="20" t="e">
        <x:f>HYPERLINK("https://www.starwars.com/tv-shows/clone-wars/massacre-episode-guide","Episode guide")</x:f>
        <x:v>HYPERLINK is not implemented. linkLocation=https://www.starwars.com/tv-shows/clone-wars/massacre-episode-guide, friendlyName=Episode guide</x:v>
      </x:c>
      <x:c r="G92" s="20" t="e">
        <x:f>HYPERLINK("https://www.disneyplus.com/video/2467b031-3144-40b8-a3c2-55160986820d?cid=DTCI-Synergy-DDN-Site-Acquisition-StarWars-US-StarWars-StarWarsTheCloneWars-EN-BlogArticleEmbed-TCWChronological_StreamOnDisneyPlusCTA-NA","Watch")</x:f>
        <x:v>HYPERLINK is not implemented. linkLocation=https://www.disneyplus.com/video/2467b031-3144-40b8-a3c2-55160986820d?cid=DTCI-Synergy-DDN-Site-Acquisition-StarWars-US-StarWars-StarWarsTheCloneWars-EN-BlogArticleEmbed-TCWChronological_StreamOnDisneyPlusCTA-NA, friendlyName=Watch</x:v>
      </x:c>
    </x:row>
    <x:row r="93" s="23" customFormat="1" ht="30" customHeight="1">
      <x:c r="A93" s="21" t="b">
        <x:v>0</x:v>
      </x:c>
      <x:c r="B93" s="21" t="n">
        <x:v>87</x:v>
      </x:c>
      <x:c r="C93" s="21" t="inlineStr">
        <x:is>
          <x:t xml:space="preserve">420</x:t>
        </x:is>
      </x:c>
      <x:c r="D93" s="14" t="inlineStr">
        <x:is>
          <x:t xml:space="preserve">Bounty</x:t>
        </x:is>
      </x:c>
      <x:c r="E93" s="14" t="inlineStr">
        <x:is>
          <x:t xml:space="preserve">Season 4, Episode 20</x:t>
        </x:is>
      </x:c>
      <x:c r="F93" s="20" t="e">
        <x:f>HYPERLINK("https://www.starwars.com/tv-shows/clone-wars/bounty-episode-guide","Episode guide")</x:f>
        <x:v>HYPERLINK is not implemented. linkLocation=https://www.starwars.com/tv-shows/clone-wars/bounty-episode-guide, friendlyName=Episode guide</x:v>
      </x:c>
      <x:c r="G93" s="20" t="e">
        <x:f>HYPERLINK("https://www.disneyplus.com/video/f7e92583-e67e-4ade-8da8-f64a2b38534a?cid=DTCI-Synergy-DDN-Site-Acquisition-StarWars-US-StarWars-StarWarsTheCloneWars-EN-BlogArticleEmbed-TCWChronological_StreamOnDisneyPlusCTA-NA","Watch")</x:f>
        <x:v>HYPERLINK is not implemented. linkLocation=https://www.disneyplus.com/video/f7e92583-e67e-4ade-8da8-f64a2b38534a?cid=DTCI-Synergy-DDN-Site-Acquisition-StarWars-US-StarWars-StarWarsTheCloneWars-EN-BlogArticleEmbed-TCWChronological_StreamOnDisneyPlusCTA-NA, friendlyName=Watch</x:v>
      </x:c>
    </x:row>
    <x:row r="94" s="23" customFormat="1" ht="30" customHeight="1">
      <x:c r="A94" s="21" t="b">
        <x:v>0</x:v>
      </x:c>
      <x:c r="B94" s="21" t="n">
        <x:v>88</x:v>
      </x:c>
      <x:c r="C94" s="21" t="inlineStr">
        <x:is>
          <x:t xml:space="preserve">421</x:t>
        </x:is>
      </x:c>
      <x:c r="D94" s="14" t="inlineStr">
        <x:is>
          <x:t xml:space="preserve">Brothers</x:t>
        </x:is>
      </x:c>
      <x:c r="E94" s="14" t="inlineStr">
        <x:is>
          <x:t xml:space="preserve">Season 4, Episode 21</x:t>
        </x:is>
      </x:c>
      <x:c r="F94" s="20" t="e">
        <x:f>HYPERLINK("https://www.starwars.com/tv-shows/clone-wars/brothers-episode-guide","Episode guide")</x:f>
        <x:v>HYPERLINK is not implemented. linkLocation=https://www.starwars.com/tv-shows/clone-wars/brothers-episode-guide, friendlyName=Episode guide</x:v>
      </x:c>
      <x:c r="G94" s="20" t="e">
        <x:f>HYPERLINK("https://www.disneyplus.com/video/ea059b38-a21c-4ff2-8e64-6c3bda2d6afc?cid=DTCI-Synergy-DDN-Site-Acquisition-StarWars-US-StarWars-StarWarsTheCloneWars-EN-BlogArticleEmbed-TCWChronological_StreamOnDisneyPlusCTA-NA","Watch")</x:f>
        <x:v>HYPERLINK is not implemented. linkLocation=https://www.disneyplus.com/video/ea059b38-a21c-4ff2-8e64-6c3bda2d6afc?cid=DTCI-Synergy-DDN-Site-Acquisition-StarWars-US-StarWars-StarWarsTheCloneWars-EN-BlogArticleEmbed-TCWChronological_StreamOnDisneyPlusCTA-NA, friendlyName=Watch</x:v>
      </x:c>
    </x:row>
    <x:row r="95" s="23" customFormat="1" ht="30" customHeight="1">
      <x:c r="A95" s="21" t="b">
        <x:v>0</x:v>
      </x:c>
      <x:c r="B95" s="21" t="n">
        <x:v>89</x:v>
      </x:c>
      <x:c r="C95" s="21" t="inlineStr">
        <x:is>
          <x:t xml:space="preserve">422</x:t>
        </x:is>
      </x:c>
      <x:c r="D95" s="14" t="inlineStr">
        <x:is>
          <x:t xml:space="preserve">Revenge</x:t>
        </x:is>
      </x:c>
      <x:c r="E95" s="14" t="inlineStr">
        <x:is>
          <x:t xml:space="preserve">Season 4, Episode 22</x:t>
        </x:is>
      </x:c>
      <x:c r="F95" s="20" t="e">
        <x:f>HYPERLINK("https://www.starwars.com/tv-shows/clone-wars/revenge-episode-guide","Episode guide")</x:f>
        <x:v>HYPERLINK is not implemented. linkLocation=https://www.starwars.com/tv-shows/clone-wars/revenge-episode-guide, friendlyName=Episode guide</x:v>
      </x:c>
      <x:c r="G95" s="20" t="e">
        <x:f>HYPERLINK("https://www.disneyplus.com/video/6a302c32-b9bb-4d73-b69d-7698df40ae54?cid=DTCI-Synergy-DDN-Site-Acquisition-StarWars-US-StarWars-StarWarsTheCloneWars-EN-BlogArticleEmbed-TCWChronological_StreamOnDisneyPlusCTA-NA","Watch")</x:f>
        <x:v>HYPERLINK is not implemented. linkLocation=https://www.disneyplus.com/video/6a302c32-b9bb-4d73-b69d-7698df40ae54?cid=DTCI-Synergy-DDN-Site-Acquisition-StarWars-US-StarWars-StarWarsTheCloneWars-EN-BlogArticleEmbed-TCWChronological_StreamOnDisneyPlusCTA-NA, friendlyName=Watch</x:v>
      </x:c>
    </x:row>
    <x:row r="96" s="23" customFormat="1" ht="30" customHeight="1">
      <x:c r="A96" s="21" t="b">
        <x:v>0</x:v>
      </x:c>
      <x:c r="B96" s="21" t="n">
        <x:v>90</x:v>
      </x:c>
      <x:c r="C96" s="21" t="inlineStr">
        <x:is>
          <x:t xml:space="preserve">502</x:t>
        </x:is>
      </x:c>
      <x:c r="D96" s="14" t="inlineStr">
        <x:is>
          <x:t xml:space="preserve">A War on Two Fronts</x:t>
        </x:is>
      </x:c>
      <x:c r="E96" s="14" t="inlineStr">
        <x:is>
          <x:t xml:space="preserve">Season 5, Episode 2</x:t>
        </x:is>
      </x:c>
      <x:c r="F96" s="20" t="e">
        <x:f>HYPERLINK("https://www.starwars.com/tv-shows/clone-wars/a-war-on-two-fronts-episode-guide","Episode guide")</x:f>
        <x:v>HYPERLINK is not implemented. linkLocation=https://www.starwars.com/tv-shows/clone-wars/a-war-on-two-fronts-episode-guide, friendlyName=Episode guide</x:v>
      </x:c>
      <x:c r="G96" s="20" t="e">
        <x:f>HYPERLINK("https://www.disneyplus.com/video/ede2e807-00f4-4c49-b634-16d7826ef47a?cid=DTCI-Synergy-DDN-Site-Acquisition-StarWars-US-StarWars-StarWarsTheCloneWars-EN-BlogArticleEmbed-TCWChronological_StreamOnDisneyPlusCTA-NA","Watch")</x:f>
        <x:v>HYPERLINK is not implemented. linkLocation=https://www.disneyplus.com/video/ede2e807-00f4-4c49-b634-16d7826ef47a?cid=DTCI-Synergy-DDN-Site-Acquisition-StarWars-US-StarWars-StarWarsTheCloneWars-EN-BlogArticleEmbed-TCWChronological_StreamOnDisneyPlusCTA-NA, friendlyName=Watch</x:v>
      </x:c>
    </x:row>
    <x:row r="97" s="23" customFormat="1" ht="30" customHeight="1">
      <x:c r="A97" s="21" t="b">
        <x:v>0</x:v>
      </x:c>
      <x:c r="B97" s="21" t="n">
        <x:v>91</x:v>
      </x:c>
      <x:c r="C97" s="21" t="inlineStr">
        <x:is>
          <x:t xml:space="preserve">503</x:t>
        </x:is>
      </x:c>
      <x:c r="D97" s="14" t="inlineStr">
        <x:is>
          <x:t xml:space="preserve">Front Runners</x:t>
        </x:is>
      </x:c>
      <x:c r="E97" s="14" t="inlineStr">
        <x:is>
          <x:t xml:space="preserve">Season 5, Episode 3</x:t>
        </x:is>
      </x:c>
      <x:c r="F97" s="20" t="e">
        <x:f>HYPERLINK("https://www.starwars.com/tv-shows/clone-wars/front-runners-episode-guide","Episode guide")</x:f>
        <x:v>HYPERLINK is not implemented. linkLocation=https://www.starwars.com/tv-shows/clone-wars/front-runners-episode-guide, friendlyName=Episode guide</x:v>
      </x:c>
      <x:c r="G97" s="20" t="e">
        <x:f>HYPERLINK("https://www.disneyplus.com/video/e834cd28-5335-43c7-a5f1-9814431f414c?cid=DTCI-Synergy-DDN-Site-Acquisition-StarWars-US-StarWars-StarWarsTheCloneWars-EN-BlogArticleEmbed-TCWChronological_StreamOnDisneyPlusCTA-NA","Watch")</x:f>
        <x:v>HYPERLINK is not implemented. linkLocation=https://www.disneyplus.com/video/e834cd28-5335-43c7-a5f1-9814431f414c?cid=DTCI-Synergy-DDN-Site-Acquisition-StarWars-US-StarWars-StarWarsTheCloneWars-EN-BlogArticleEmbed-TCWChronological_StreamOnDisneyPlusCTA-NA, friendlyName=Watch</x:v>
      </x:c>
    </x:row>
    <x:row r="98" s="23" customFormat="1" ht="30" customHeight="1">
      <x:c r="A98" s="21" t="b">
        <x:v>0</x:v>
      </x:c>
      <x:c r="B98" s="21" t="n">
        <x:v>92</x:v>
      </x:c>
      <x:c r="C98" s="21" t="inlineStr">
        <x:is>
          <x:t xml:space="preserve">504</x:t>
        </x:is>
      </x:c>
      <x:c r="D98" s="14" t="inlineStr">
        <x:is>
          <x:t xml:space="preserve">The Soft War</x:t>
        </x:is>
      </x:c>
      <x:c r="E98" s="14" t="inlineStr">
        <x:is>
          <x:t xml:space="preserve">Season 5, Episode 4</x:t>
        </x:is>
      </x:c>
      <x:c r="F98" s="20" t="e">
        <x:f>HYPERLINK("https://www.starwars.com/tv-shows/clone-wars/the-soft-war-episode-guide","Episode guide")</x:f>
        <x:v>HYPERLINK is not implemented. linkLocation=https://www.starwars.com/tv-shows/clone-wars/the-soft-war-episode-guide, friendlyName=Episode guide</x:v>
      </x:c>
      <x:c r="G98" s="20" t="e">
        <x:f>HYPERLINK("https://www.disneyplus.com/video/bda5b155-0414-458c-9c65-457697ae8fb5?cid=DTCI-Synergy-DDN-Site-Acquisition-StarWars-US-StarWars-StarWarsTheCloneWars-EN-BlogArticleEmbed-TCWChronological_StreamOnDisneyPlusCTA-NA","Watch")</x:f>
        <x:v>HYPERLINK is not implemented. linkLocation=https://www.disneyplus.com/video/bda5b155-0414-458c-9c65-457697ae8fb5?cid=DTCI-Synergy-DDN-Site-Acquisition-StarWars-US-StarWars-StarWarsTheCloneWars-EN-BlogArticleEmbed-TCWChronological_StreamOnDisneyPlusCTA-NA, friendlyName=Watch</x:v>
      </x:c>
    </x:row>
    <x:row r="99" s="23" customFormat="1" ht="30" customHeight="1">
      <x:c r="A99" s="21" t="b">
        <x:v>0</x:v>
      </x:c>
      <x:c r="B99" s="21" t="n">
        <x:v>93</x:v>
      </x:c>
      <x:c r="C99" s="21" t="inlineStr">
        <x:is>
          <x:t xml:space="preserve">505</x:t>
        </x:is>
      </x:c>
      <x:c r="D99" s="14" t="inlineStr">
        <x:is>
          <x:t xml:space="preserve">Tipping Points</x:t>
        </x:is>
      </x:c>
      <x:c r="E99" s="14" t="inlineStr">
        <x:is>
          <x:t xml:space="preserve">Season 5, Episode 5</x:t>
        </x:is>
      </x:c>
      <x:c r="F99" s="20" t="e">
        <x:f>HYPERLINK("https://www.starwars.com/tv-shows/clone-wars/tipping-points-episode-guide","Episode guide")</x:f>
        <x:v>HYPERLINK is not implemented. linkLocation=https://www.starwars.com/tv-shows/clone-wars/tipping-points-episode-guide, friendlyName=Episode guide</x:v>
      </x:c>
      <x:c r="G99" s="20" t="e">
        <x:f>HYPERLINK("https://www.disneyplus.com/video/682b3543-c8ae-4f19-99f9-411bb43a0467?cid=DTCI-Synergy-DDN-Site-Acquisition-StarWars-US-StarWars-StarWarsTheCloneWars-EN-BlogArticleEmbed-TCWChronological_StreamOnDisneyPlusCTA-NA","Watch")</x:f>
        <x:v>HYPERLINK is not implemented. linkLocation=https://www.disneyplus.com/video/682b3543-c8ae-4f19-99f9-411bb43a0467?cid=DTCI-Synergy-DDN-Site-Acquisition-StarWars-US-StarWars-StarWarsTheCloneWars-EN-BlogArticleEmbed-TCWChronological_StreamOnDisneyPlusCTA-NA, friendlyName=Watch</x:v>
      </x:c>
    </x:row>
    <x:row r="100" s="23" customFormat="1" ht="30" customHeight="1">
      <x:c r="A100" s="21" t="b">
        <x:v>0</x:v>
      </x:c>
      <x:c r="B100" s="21" t="n">
        <x:v>94</x:v>
      </x:c>
      <x:c r="C100" s="21" t="inlineStr">
        <x:is>
          <x:t xml:space="preserve">506</x:t>
        </x:is>
      </x:c>
      <x:c r="D100" s="14" t="inlineStr">
        <x:is>
          <x:t xml:space="preserve">The Gathering</x:t>
        </x:is>
      </x:c>
      <x:c r="E100" s="14" t="inlineStr">
        <x:is>
          <x:t xml:space="preserve">Season 5, Episode 6</x:t>
        </x:is>
      </x:c>
      <x:c r="F100" s="20" t="e">
        <x:f>HYPERLINK("https://www.starwars.com/tv-shows/clone-wars/the-gathering-episode-guide","Episode guide")</x:f>
        <x:v>HYPERLINK is not implemented. linkLocation=https://www.starwars.com/tv-shows/clone-wars/the-gathering-episode-guide, friendlyName=Episode guide</x:v>
      </x:c>
      <x:c r="G100" s="20" t="e">
        <x:f>HYPERLINK("https://www.disneyplus.com/video/dce32899-0e62-479d-b33a-37ca69ad9565?cid=DTCI-Synergy-DDN-Site-Acquisition-StarWars-US-StarWars-StarWarsTheCloneWars-EN-BlogArticleEmbed-TCWChronological_StreamOnDisneyPlusCTA-NA","Watch")</x:f>
        <x:v>HYPERLINK is not implemented. linkLocation=https://www.disneyplus.com/video/dce32899-0e62-479d-b33a-37ca69ad9565?cid=DTCI-Synergy-DDN-Site-Acquisition-StarWars-US-StarWars-StarWarsTheCloneWars-EN-BlogArticleEmbed-TCWChronological_StreamOnDisneyPlusCTA-NA, friendlyName=Watch</x:v>
      </x:c>
    </x:row>
    <x:row r="101" s="23" customFormat="1" ht="30" customHeight="1">
      <x:c r="A101" s="21" t="b">
        <x:v>0</x:v>
      </x:c>
      <x:c r="B101" s="21" t="n">
        <x:v>95</x:v>
      </x:c>
      <x:c r="C101" s="21" t="inlineStr">
        <x:is>
          <x:t xml:space="preserve">507</x:t>
        </x:is>
      </x:c>
      <x:c r="D101" s="14" t="inlineStr">
        <x:is>
          <x:t xml:space="preserve">A Test of Strength</x:t>
        </x:is>
      </x:c>
      <x:c r="E101" s="14" t="inlineStr">
        <x:is>
          <x:t xml:space="preserve">Season 5, Episode 7</x:t>
        </x:is>
      </x:c>
      <x:c r="F101" s="20" t="e">
        <x:f>HYPERLINK("https://www.starwars.com/tv-shows/clone-wars/a-test-of-strength-episode-guide","Episode guide")</x:f>
        <x:v>HYPERLINK is not implemented. linkLocation=https://www.starwars.com/tv-shows/clone-wars/a-test-of-strength-episode-guide, friendlyName=Episode guide</x:v>
      </x:c>
      <x:c r="G101" s="20" t="e">
        <x:f>HYPERLINK("https://www.disneyplus.com/video/da339c6c-de91-40f2-a091-09cb11a80f17?cid=DTCI-Synergy-DDN-Site-Acquisition-StarWars-US-StarWars-StarWarsTheCloneWars-EN-BlogArticleEmbed-TCWChronological_StreamOnDisneyPlusCTA-NA","Watch")</x:f>
        <x:v>HYPERLINK is not implemented. linkLocation=https://www.disneyplus.com/video/da339c6c-de91-40f2-a091-09cb11a80f17?cid=DTCI-Synergy-DDN-Site-Acquisition-StarWars-US-StarWars-StarWarsTheCloneWars-EN-BlogArticleEmbed-TCWChronological_StreamOnDisneyPlusCTA-NA, friendlyName=Watch</x:v>
      </x:c>
    </x:row>
    <x:row r="102" s="23" customFormat="1" ht="30" customHeight="1">
      <x:c r="A102" s="21" t="b">
        <x:v>0</x:v>
      </x:c>
      <x:c r="B102" s="21" t="n">
        <x:v>96</x:v>
      </x:c>
      <x:c r="C102" s="21" t="inlineStr">
        <x:is>
          <x:t xml:space="preserve">508</x:t>
        </x:is>
      </x:c>
      <x:c r="D102" s="14" t="inlineStr">
        <x:is>
          <x:t xml:space="preserve">Bound for Rescue</x:t>
        </x:is>
      </x:c>
      <x:c r="E102" s="14" t="inlineStr">
        <x:is>
          <x:t xml:space="preserve">Season 5, Episode 8</x:t>
        </x:is>
      </x:c>
      <x:c r="F102" s="20" t="e">
        <x:f>HYPERLINK("https://www.starwars.com/series/clone-wars/bound-for-rescue-episode-guide","Episode guide")</x:f>
        <x:v>HYPERLINK is not implemented. linkLocation=https://www.starwars.com/series/clone-wars/bound-for-rescue-episode-guide, friendlyName=Episode guide</x:v>
      </x:c>
      <x:c r="G102" s="20" t="e">
        <x:f>HYPERLINK("https://www.disneyplus.com/video/8cc2c6fb-ec6b-406e-a334-bb44f2fed008?cid=DTCI-Synergy-DDN-Site-Acquisition-StarWars-US-StarWars-StarWarsTheCloneWars-EN-BlogArticleEmbed-TCWChronological_StreamOnDisneyPlusCTA-NA","Watch")</x:f>
        <x:v>HYPERLINK is not implemented. linkLocation=https://www.disneyplus.com/video/8cc2c6fb-ec6b-406e-a334-bb44f2fed008?cid=DTCI-Synergy-DDN-Site-Acquisition-StarWars-US-StarWars-StarWarsTheCloneWars-EN-BlogArticleEmbed-TCWChronological_StreamOnDisneyPlusCTA-NA, friendlyName=Watch</x:v>
      </x:c>
    </x:row>
    <x:row r="103" s="23" customFormat="1" ht="30" customHeight="1">
      <x:c r="A103" s="21" t="b">
        <x:v>0</x:v>
      </x:c>
      <x:c r="B103" s="21" t="n">
        <x:v>97</x:v>
      </x:c>
      <x:c r="C103" s="21" t="inlineStr">
        <x:is>
          <x:t xml:space="preserve">509</x:t>
        </x:is>
      </x:c>
      <x:c r="D103" s="14" t="inlineStr">
        <x:is>
          <x:t xml:space="preserve">A Necessary Bond</x:t>
        </x:is>
      </x:c>
      <x:c r="E103" s="14" t="inlineStr">
        <x:is>
          <x:t xml:space="preserve">Season 5, Episode 9</x:t>
        </x:is>
      </x:c>
      <x:c r="F103" s="20" t="e">
        <x:f>HYPERLINK("https://www.starwars.com/series/clone-wars/a-necessary-bond-episode-guide","Episode guide")</x:f>
        <x:v>HYPERLINK is not implemented. linkLocation=https://www.starwars.com/series/clone-wars/a-necessary-bond-episode-guide, friendlyName=Episode guide</x:v>
      </x:c>
      <x:c r="G103" s="20" t="e">
        <x:f>HYPERLINK("https://www.disneyplus.com/video/06eb2462-5d0c-42a9-a1b4-acc9ccfd109e?cid=DTCI-Synergy-DDN-Site-Acquisition-StarWars-US-StarWars-StarWarsTheCloneWars-EN-BlogArticleEmbed-TCWChronological_StreamOnDisneyPlusCTA-NA","Watch")</x:f>
        <x:v>HYPERLINK is not implemented. linkLocation=https://www.disneyplus.com/video/06eb2462-5d0c-42a9-a1b4-acc9ccfd109e?cid=DTCI-Synergy-DDN-Site-Acquisition-StarWars-US-StarWars-StarWarsTheCloneWars-EN-BlogArticleEmbed-TCWChronological_StreamOnDisneyPlusCTA-NA, friendlyName=Watch</x:v>
      </x:c>
    </x:row>
    <x:row r="104" s="23" customFormat="1" ht="30" customHeight="1">
      <x:c r="A104" s="21" t="b">
        <x:v>0</x:v>
      </x:c>
      <x:c r="B104" s="21" t="n">
        <x:v>98</x:v>
      </x:c>
      <x:c r="C104" s="21" t="inlineStr">
        <x:is>
          <x:t xml:space="preserve">510</x:t>
        </x:is>
      </x:c>
      <x:c r="D104" s="14" t="inlineStr">
        <x:is>
          <x:t xml:space="preserve">Secret Weapons</x:t>
        </x:is>
      </x:c>
      <x:c r="E104" s="14" t="inlineStr">
        <x:is>
          <x:t xml:space="preserve">Season 5, Episode 10</x:t>
        </x:is>
      </x:c>
      <x:c r="F104" s="20" t="e">
        <x:f>HYPERLINK("https://www.starwars.com/tv-shows/clone-wars/secret-weapons-episode-guide","Episode guide")</x:f>
        <x:v>HYPERLINK is not implemented. linkLocation=https://www.starwars.com/tv-shows/clone-wars/secret-weapons-episode-guide, friendlyName=Episode guide</x:v>
      </x:c>
      <x:c r="G104" s="20" t="e">
        <x:f>HYPERLINK("https://www.disneyplus.com/video/29f4f86d-1c16-47b5-9f2c-9df1e58fc01f?cid=DTCI-Synergy-DDN-Site-Acquisition-StarWars-US-StarWars-StarWarsTheCloneWars-EN-BlogArticleEmbed-TCWChronological_StreamOnDisneyPlusCTA-NA","Watch")</x:f>
        <x:v>HYPERLINK is not implemented. linkLocation=https://www.disneyplus.com/video/29f4f86d-1c16-47b5-9f2c-9df1e58fc01f?cid=DTCI-Synergy-DDN-Site-Acquisition-StarWars-US-StarWars-StarWarsTheCloneWars-EN-BlogArticleEmbed-TCWChronological_StreamOnDisneyPlusCTA-NA, friendlyName=Watch</x:v>
      </x:c>
    </x:row>
    <x:row r="105" s="23" customFormat="1" ht="30" customHeight="1">
      <x:c r="A105" s="21" t="b">
        <x:v>0</x:v>
      </x:c>
      <x:c r="B105" s="21" t="n">
        <x:v>99</x:v>
      </x:c>
      <x:c r="C105" s="21" t="inlineStr">
        <x:is>
          <x:t xml:space="preserve">511</x:t>
        </x:is>
      </x:c>
      <x:c r="D105" s="14" t="inlineStr">
        <x:is>
          <x:t xml:space="preserve">A Sunny Day in the Void</x:t>
        </x:is>
      </x:c>
      <x:c r="E105" s="14" t="inlineStr">
        <x:is>
          <x:t xml:space="preserve">Season 5, Episode 11</x:t>
        </x:is>
      </x:c>
      <x:c r="F105" s="20" t="e">
        <x:f>HYPERLINK("https://www.starwars.com/tv-shows/clone-wars/a-sunny-day-in-the-void-episode-guide","Episode guide")</x:f>
        <x:v>HYPERLINK is not implemented. linkLocation=https://www.starwars.com/tv-shows/clone-wars/a-sunny-day-in-the-void-episode-guide, friendlyName=Episode guide</x:v>
      </x:c>
      <x:c r="G105" s="20" t="e">
        <x:f>HYPERLINK("https://www.disneyplus.com/video/9c96ac8c-2f1e-463e-8361-218fb2796aff?cid=DTCI-Synergy-DDN-Site-Acquisition-StarWars-US-StarWars-StarWarsTheCloneWars-EN-BlogArticleEmbed-TCWChronological_StreamOnDisneyPlusCTA-NA","Watch")</x:f>
        <x:v>HYPERLINK is not implemented. linkLocation=https://www.disneyplus.com/video/9c96ac8c-2f1e-463e-8361-218fb2796aff?cid=DTCI-Synergy-DDN-Site-Acquisition-StarWars-US-StarWars-StarWarsTheCloneWars-EN-BlogArticleEmbed-TCWChronological_StreamOnDisneyPlusCTA-NA, friendlyName=Watch</x:v>
      </x:c>
    </x:row>
    <x:row r="106" s="23" customFormat="1" ht="30" customHeight="1">
      <x:c r="A106" s="21" t="b">
        <x:v>0</x:v>
      </x:c>
      <x:c r="B106" s="21" t="n">
        <x:v>100</x:v>
      </x:c>
      <x:c r="C106" s="21" t="inlineStr">
        <x:is>
          <x:t xml:space="preserve">512</x:t>
        </x:is>
      </x:c>
      <x:c r="D106" s="14" t="inlineStr">
        <x:is>
          <x:t xml:space="preserve">Missing in Action</x:t>
        </x:is>
      </x:c>
      <x:c r="E106" s="14" t="inlineStr">
        <x:is>
          <x:t xml:space="preserve">Season 5, Episode 12</x:t>
        </x:is>
      </x:c>
      <x:c r="F106" s="20" t="e">
        <x:f>HYPERLINK("https://www.starwars.com/tv-shows/clone-wars/missing-in-action-episode-guide","Episode guide")</x:f>
        <x:v>HYPERLINK is not implemented. linkLocation=https://www.starwars.com/tv-shows/clone-wars/missing-in-action-episode-guide, friendlyName=Episode guide</x:v>
      </x:c>
      <x:c r="G106" s="20" t="e">
        <x:f>HYPERLINK("https://www.disneyplus.com/video/3f8328ff-925d-4554-808c-5dc2c03c5df7?cid=DTCI-Synergy-DDN-Site-Acquisition-StarWars-US-StarWars-StarWarsTheCloneWars-EN-BlogArticleEmbed-TCWChronological_StreamOnDisneyPlusCTA-NA","Watch")</x:f>
        <x:v>HYPERLINK is not implemented. linkLocation=https://www.disneyplus.com/video/3f8328ff-925d-4554-808c-5dc2c03c5df7?cid=DTCI-Synergy-DDN-Site-Acquisition-StarWars-US-StarWars-StarWarsTheCloneWars-EN-BlogArticleEmbed-TCWChronological_StreamOnDisneyPlusCTA-NA, friendlyName=Watch</x:v>
      </x:c>
    </x:row>
    <x:row r="107" s="23" customFormat="1" ht="30" customHeight="1">
      <x:c r="A107" s="21" t="b">
        <x:v>0</x:v>
      </x:c>
      <x:c r="B107" s="21" t="n">
        <x:v>101</x:v>
      </x:c>
      <x:c r="C107" s="21" t="inlineStr">
        <x:is>
          <x:t xml:space="preserve">513</x:t>
        </x:is>
      </x:c>
      <x:c r="D107" s="14" t="inlineStr">
        <x:is>
          <x:t xml:space="preserve">Point of No Return</x:t>
        </x:is>
      </x:c>
      <x:c r="E107" s="14" t="inlineStr">
        <x:is>
          <x:t xml:space="preserve">Season 5, Episode 13</x:t>
        </x:is>
      </x:c>
      <x:c r="F107" s="20" t="e">
        <x:f>HYPERLINK("https://www.starwars.com/tv-shows/clone-wars/point-of-no-return-episode-guide","Episode guide")</x:f>
        <x:v>HYPERLINK is not implemented. linkLocation=https://www.starwars.com/tv-shows/clone-wars/point-of-no-return-episode-guide, friendlyName=Episode guide</x:v>
      </x:c>
      <x:c r="G107" s="20" t="e">
        <x:f>HYPERLINK("https://www.disneyplus.com/video/7fd11383-337a-43ef-a633-94f357cc511a?cid=DTCI-Synergy-DDN-Site-Acquisition-StarWars-US-StarWars-StarWarsTheCloneWars-EN-BlogArticleEmbed-TCWChronological_StreamOnDisneyPlusCTA-NA","Watch")</x:f>
        <x:v>HYPERLINK is not implemented. linkLocation=https://www.disneyplus.com/video/7fd11383-337a-43ef-a633-94f357cc511a?cid=DTCI-Synergy-DDN-Site-Acquisition-StarWars-US-StarWars-StarWarsTheCloneWars-EN-BlogArticleEmbed-TCWChronological_StreamOnDisneyPlusCTA-NA, friendlyName=Watch</x:v>
      </x:c>
    </x:row>
    <x:row r="108" s="23" customFormat="1" ht="30" customHeight="1">
      <x:c r="A108" s="21" t="b">
        <x:v>0</x:v>
      </x:c>
      <x:c r="B108" s="21" t="n">
        <x:v>102</x:v>
      </x:c>
      <x:c r="C108" s="21" t="inlineStr">
        <x:is>
          <x:t xml:space="preserve">501</x:t>
        </x:is>
      </x:c>
      <x:c r="D108" s="14" t="inlineStr">
        <x:is>
          <x:t xml:space="preserve">Revival</x:t>
        </x:is>
      </x:c>
      <x:c r="E108" s="14" t="inlineStr">
        <x:is>
          <x:t xml:space="preserve">Season 5, Episode 1</x:t>
        </x:is>
      </x:c>
      <x:c r="F108" s="20" t="e">
        <x:f>HYPERLINK("https://www.starwars.com/tv-shows/clone-wars/revival-episode-guide","Episode guide")</x:f>
        <x:v>HYPERLINK is not implemented. linkLocation=https://www.starwars.com/tv-shows/clone-wars/revival-episode-guide, friendlyName=Episode guide</x:v>
      </x:c>
      <x:c r="G108" s="20" t="e">
        <x:f>HYPERLINK("https://www.disneyplus.com/video/46bf27c0-bc74-404a-98de-56bbe187d941?cid=DTCI-Synergy-DDN-Site-Acquisition-StarWars-US-StarWars-StarWarsTheCloneWars-EN-BlogArticleEmbed-TCWChronological_StreamOnDisneyPlusCTA-NA","Watch")</x:f>
        <x:v>HYPERLINK is not implemented. linkLocation=https://www.disneyplus.com/video/46bf27c0-bc74-404a-98de-56bbe187d941?cid=DTCI-Synergy-DDN-Site-Acquisition-StarWars-US-StarWars-StarWarsTheCloneWars-EN-BlogArticleEmbed-TCWChronological_StreamOnDisneyPlusCTA-NA, friendlyName=Watch</x:v>
      </x:c>
    </x:row>
    <x:row r="109" s="23" customFormat="1" ht="30" customHeight="1">
      <x:c r="A109" s="21" t="b">
        <x:v>0</x:v>
      </x:c>
      <x:c r="B109" s="21" t="n">
        <x:v>103</x:v>
      </x:c>
      <x:c r="C109" s="21" t="inlineStr">
        <x:is>
          <x:t xml:space="preserve">514</x:t>
        </x:is>
      </x:c>
      <x:c r="D109" s="14" t="inlineStr">
        <x:is>
          <x:t xml:space="preserve">Eminence</x:t>
        </x:is>
      </x:c>
      <x:c r="E109" s="14" t="inlineStr">
        <x:is>
          <x:t xml:space="preserve">Season 5, Episode 14</x:t>
        </x:is>
      </x:c>
      <x:c r="F109" s="20" t="e">
        <x:f>HYPERLINK("https://www.starwars.com/tv-shows/clone-wars/eminence-episode-guide","Episode guide")</x:f>
        <x:v>HYPERLINK is not implemented. linkLocation=https://www.starwars.com/tv-shows/clone-wars/eminence-episode-guide, friendlyName=Episode guide</x:v>
      </x:c>
      <x:c r="G109" s="20" t="e">
        <x:f>HYPERLINK("https://www.disneyplus.com/video/bce6b831-36ff-4ef7-9c85-7ae8030cdbcb?cid=DTCI-Synergy-DDN-Site-Acquisition-StarWars-US-StarWars-StarWarsTheCloneWars-EN-BlogArticleEmbed-TCWChronological_StreamOnDisneyPlusCTA-NA","Watch")</x:f>
        <x:v>HYPERLINK is not implemented. linkLocation=https://www.disneyplus.com/video/bce6b831-36ff-4ef7-9c85-7ae8030cdbcb?cid=DTCI-Synergy-DDN-Site-Acquisition-StarWars-US-StarWars-StarWarsTheCloneWars-EN-BlogArticleEmbed-TCWChronological_StreamOnDisneyPlusCTA-NA, friendlyName=Watch</x:v>
      </x:c>
    </x:row>
    <x:row r="110" s="23" customFormat="1" ht="30" customHeight="1">
      <x:c r="A110" s="21" t="b">
        <x:v>0</x:v>
      </x:c>
      <x:c r="B110" s="21" t="n">
        <x:v>104</x:v>
      </x:c>
      <x:c r="C110" s="21" t="inlineStr">
        <x:is>
          <x:t xml:space="preserve">515</x:t>
        </x:is>
      </x:c>
      <x:c r="D110" s="14" t="inlineStr">
        <x:is>
          <x:t xml:space="preserve">Shades of Reason</x:t>
        </x:is>
      </x:c>
      <x:c r="E110" s="14" t="inlineStr">
        <x:is>
          <x:t xml:space="preserve">Season 5, Episode 15</x:t>
        </x:is>
      </x:c>
      <x:c r="F110" s="20" t="e">
        <x:f>HYPERLINK("https://www.starwars.com/tv-shows/clone-wars/shades-of-reason-episode-guide","Episode guide")</x:f>
        <x:v>HYPERLINK is not implemented. linkLocation=https://www.starwars.com/tv-shows/clone-wars/shades-of-reason-episode-guide, friendlyName=Episode guide</x:v>
      </x:c>
      <x:c r="G110" s="20" t="e">
        <x:f>HYPERLINK("https://www.disneyplus.com/video/9fce5334-6a7b-4308-9d90-e50e579b5cbb?cid=DTCI-Synergy-DDN-Site-Acquisition-StarWars-US-StarWars-StarWarsTheCloneWars-EN-BlogArticleEmbed-TCWChronological_StreamOnDisneyPlusCTA-NA","Watch")</x:f>
        <x:v>HYPERLINK is not implemented. linkLocation=https://www.disneyplus.com/video/9fce5334-6a7b-4308-9d90-e50e579b5cbb?cid=DTCI-Synergy-DDN-Site-Acquisition-StarWars-US-StarWars-StarWarsTheCloneWars-EN-BlogArticleEmbed-TCWChronological_StreamOnDisneyPlusCTA-NA, friendlyName=Watch</x:v>
      </x:c>
    </x:row>
    <x:row r="111" s="23" customFormat="1" ht="30" customHeight="1">
      <x:c r="A111" s="21" t="b">
        <x:v>0</x:v>
      </x:c>
      <x:c r="B111" s="21" t="n">
        <x:v>105</x:v>
      </x:c>
      <x:c r="C111" s="21" t="inlineStr">
        <x:is>
          <x:t xml:space="preserve">516</x:t>
        </x:is>
      </x:c>
      <x:c r="D111" s="14" t="inlineStr">
        <x:is>
          <x:t xml:space="preserve">The Lawless</x:t>
        </x:is>
      </x:c>
      <x:c r="E111" s="14" t="inlineStr">
        <x:is>
          <x:t xml:space="preserve">Season 5, Episode 16</x:t>
        </x:is>
      </x:c>
      <x:c r="F111" s="20" t="e">
        <x:f>HYPERLINK("https://www.starwars.com/tv-shows/clone-wars/the-lawless-episode-guide","Episode guide")</x:f>
        <x:v>HYPERLINK is not implemented. linkLocation=https://www.starwars.com/tv-shows/clone-wars/the-lawless-episode-guide, friendlyName=Episode guide</x:v>
      </x:c>
      <x:c r="G111" s="20" t="e">
        <x:f>HYPERLINK("https://www.disneyplus.com/video/13bc0d23-46f6-4650-952c-57a19aac17bd?cid=DTCI-Synergy-DDN-Site-Acquisition-StarWars-US-StarWars-StarWarsTheCloneWars-EN-BlogArticleEmbed-TCWChronological_StreamOnDisneyPlusCTA-NA","Watch")</x:f>
        <x:v>HYPERLINK is not implemented. linkLocation=https://www.disneyplus.com/video/13bc0d23-46f6-4650-952c-57a19aac17bd?cid=DTCI-Synergy-DDN-Site-Acquisition-StarWars-US-StarWars-StarWarsTheCloneWars-EN-BlogArticleEmbed-TCWChronological_StreamOnDisneyPlusCTA-NA, friendlyName=Watch</x:v>
      </x:c>
    </x:row>
    <x:row r="112" s="23" customFormat="1" ht="30" customHeight="1">
      <x:c r="A112" s="21" t="b">
        <x:v>0</x:v>
      </x:c>
      <x:c r="B112" s="21" t="n">
        <x:v>106</x:v>
      </x:c>
      <x:c r="C112" s="21" t="inlineStr">
        <x:is>
          <x:t xml:space="preserve">517</x:t>
        </x:is>
      </x:c>
      <x:c r="D112" s="14" t="inlineStr">
        <x:is>
          <x:t xml:space="preserve">Sabotage</x:t>
        </x:is>
      </x:c>
      <x:c r="E112" s="14" t="inlineStr">
        <x:is>
          <x:t xml:space="preserve">Season 5, Episode 17</x:t>
        </x:is>
      </x:c>
      <x:c r="F112" s="20" t="e">
        <x:f>HYPERLINK("https://www.starwars.com/tv-shows/clone-wars/sabotage-episode-guide","Episode guide")</x:f>
        <x:v>HYPERLINK is not implemented. linkLocation=https://www.starwars.com/tv-shows/clone-wars/sabotage-episode-guide, friendlyName=Episode guide</x:v>
      </x:c>
      <x:c r="G112" s="20" t="e">
        <x:f>HYPERLINK("https://www.disneyplus.com/video/17176f47-85e5-4687-ae84-a3d7f6984415?cid=DTCI-Synergy-DDN-Site-Acquisition-StarWars-US-StarWars-StarWarsTheCloneWars-EN-BlogArticleEmbed-TCWChronological_StreamOnDisneyPlusCTA-NA","Watch")</x:f>
        <x:v>HYPERLINK is not implemented. linkLocation=https://www.disneyplus.com/video/17176f47-85e5-4687-ae84-a3d7f6984415?cid=DTCI-Synergy-DDN-Site-Acquisition-StarWars-US-StarWars-StarWarsTheCloneWars-EN-BlogArticleEmbed-TCWChronological_StreamOnDisneyPlusCTA-NA, friendlyName=Watch</x:v>
      </x:c>
    </x:row>
    <x:row r="113" s="23" customFormat="1" ht="30" customHeight="1">
      <x:c r="A113" s="21" t="b">
        <x:v>0</x:v>
      </x:c>
      <x:c r="B113" s="21" t="n">
        <x:v>107</x:v>
      </x:c>
      <x:c r="C113" s="21" t="inlineStr">
        <x:is>
          <x:t xml:space="preserve">518</x:t>
        </x:is>
      </x:c>
      <x:c r="D113" s="14" t="inlineStr">
        <x:is>
          <x:t xml:space="preserve">The Jedi Who Knew Too Much</x:t>
        </x:is>
      </x:c>
      <x:c r="E113" s="14" t="inlineStr">
        <x:is>
          <x:t xml:space="preserve">Season 5, Episode 18</x:t>
        </x:is>
      </x:c>
      <x:c r="F113" s="20" t="e">
        <x:f>HYPERLINK("https://www.starwars.com/tv-shows/clone-wars/the-jedi-who-knew-too-much-episode-guide","Episode guide")</x:f>
        <x:v>HYPERLINK is not implemented. linkLocation=https://www.starwars.com/tv-shows/clone-wars/the-jedi-who-knew-too-much-episode-guide, friendlyName=Episode guide</x:v>
      </x:c>
      <x:c r="G113" s="20" t="e">
        <x:f>HYPERLINK("https://www.disneyplus.com/video/a799d6f3-a50e-4be0-b8f2-8102f11c1bb7?cid=DTCI-Synergy-DDN-Site-Acquisition-StarWars-US-StarWars-StarWarsTheCloneWars-EN-BlogArticleEmbed-TCWChronological_StreamOnDisneyPlusCTA-NA","Watch")</x:f>
        <x:v>HYPERLINK is not implemented. linkLocation=https://www.disneyplus.com/video/a799d6f3-a50e-4be0-b8f2-8102f11c1bb7?cid=DTCI-Synergy-DDN-Site-Acquisition-StarWars-US-StarWars-StarWarsTheCloneWars-EN-BlogArticleEmbed-TCWChronological_StreamOnDisneyPlusCTA-NA, friendlyName=Watch</x:v>
      </x:c>
    </x:row>
    <x:row r="114" s="23" customFormat="1" ht="30" customHeight="1">
      <x:c r="A114" s="21" t="b">
        <x:v>0</x:v>
      </x:c>
      <x:c r="B114" s="21" t="n">
        <x:v>108</x:v>
      </x:c>
      <x:c r="C114" s="21" t="inlineStr">
        <x:is>
          <x:t xml:space="preserve">519</x:t>
        </x:is>
      </x:c>
      <x:c r="D114" s="14" t="inlineStr">
        <x:is>
          <x:t xml:space="preserve">To Catch a Jedi</x:t>
        </x:is>
      </x:c>
      <x:c r="E114" s="14" t="inlineStr">
        <x:is>
          <x:t xml:space="preserve">Season 5, Episode 19</x:t>
        </x:is>
      </x:c>
      <x:c r="F114" s="20" t="e">
        <x:f>HYPERLINK("https://www.starwars.com/tv-shows/clone-wars/to-catch-a-jedi-episode-guide","Episode guide")</x:f>
        <x:v>HYPERLINK is not implemented. linkLocation=https://www.starwars.com/tv-shows/clone-wars/to-catch-a-jedi-episode-guide, friendlyName=Episode guide</x:v>
      </x:c>
      <x:c r="G114" s="20" t="e">
        <x:f>HYPERLINK("https://www.disneyplus.com/video/d504b77e-8c64-44a4-b051-ca5e9300d4a9?cid=DTCI-Synergy-DDN-Site-Acquisition-StarWars-US-StarWars-StarWarsTheCloneWars-EN-BlogArticleEmbed-TCWChronological_StreamOnDisneyPlusCTA-NA","Watch")</x:f>
        <x:v>HYPERLINK is not implemented. linkLocation=https://www.disneyplus.com/video/d504b77e-8c64-44a4-b051-ca5e9300d4a9?cid=DTCI-Synergy-DDN-Site-Acquisition-StarWars-US-StarWars-StarWarsTheCloneWars-EN-BlogArticleEmbed-TCWChronological_StreamOnDisneyPlusCTA-NA, friendlyName=Watch</x:v>
      </x:c>
    </x:row>
    <x:row r="115" s="23" customFormat="1" ht="30" customHeight="1">
      <x:c r="A115" s="21" t="b">
        <x:v>0</x:v>
      </x:c>
      <x:c r="B115" s="21" t="n">
        <x:v>109</x:v>
      </x:c>
      <x:c r="C115" s="21" t="inlineStr">
        <x:is>
          <x:t xml:space="preserve">520</x:t>
        </x:is>
      </x:c>
      <x:c r="D115" s="14" t="inlineStr">
        <x:is>
          <x:t xml:space="preserve">The Wrong Jedi</x:t>
        </x:is>
      </x:c>
      <x:c r="E115" s="14" t="inlineStr">
        <x:is>
          <x:t xml:space="preserve">Season 5, Episode 20</x:t>
        </x:is>
      </x:c>
      <x:c r="F115" s="20" t="e">
        <x:f>HYPERLINK("https://www.starwars.com/tv-shows/clone-wars/the-wrong-jedi-episode-guide","Episode guide")</x:f>
        <x:v>HYPERLINK is not implemented. linkLocation=https://www.starwars.com/tv-shows/clone-wars/the-wrong-jedi-episode-guide, friendlyName=Episode guide</x:v>
      </x:c>
      <x:c r="G115" s="20" t="e">
        <x:f>HYPERLINK("https://www.disneyplus.com/video/c09fcde1-1b4d-40da-af52-5d8fa0611a53?cid=DTCI-Synergy-DDN-Site-Acquisition-StarWars-US-StarWars-StarWarsTheCloneWars-EN-BlogArticleEmbed-TCWChronological_StreamOnDisneyPlusCTA-NA","Watch")</x:f>
        <x:v>HYPERLINK is not implemented. linkLocation=https://www.disneyplus.com/video/c09fcde1-1b4d-40da-af52-5d8fa0611a53?cid=DTCI-Synergy-DDN-Site-Acquisition-StarWars-US-StarWars-StarWarsTheCloneWars-EN-BlogArticleEmbed-TCWChronological_StreamOnDisneyPlusCTA-NA, friendlyName=Watch</x:v>
      </x:c>
    </x:row>
    <x:row r="116" s="23" customFormat="1" ht="30" customHeight="1">
      <x:c r="A116" s="21" t="b">
        <x:v>0</x:v>
      </x:c>
      <x:c r="B116" s="21" t="n">
        <x:v>110</x:v>
      </x:c>
      <x:c r="C116" s="21" t="inlineStr">
        <x:is>
          <x:t xml:space="preserve">601</x:t>
        </x:is>
      </x:c>
      <x:c r="D116" s="14" t="inlineStr">
        <x:is>
          <x:t xml:space="preserve">The Unknown</x:t>
        </x:is>
      </x:c>
      <x:c r="E116" s="14" t="inlineStr">
        <x:is>
          <x:t xml:space="preserve">Season 6, Episode 1</x:t>
        </x:is>
      </x:c>
      <x:c r="F116" s="20" t="e">
        <x:f>HYPERLINK("https://www.starwars.com/tv-shows/clone-wars/the-unknown-episode-guide","Episode guide")</x:f>
        <x:v>HYPERLINK is not implemented. linkLocation=https://www.starwars.com/tv-shows/clone-wars/the-unknown-episode-guide, friendlyName=Episode guide</x:v>
      </x:c>
      <x:c r="G116" s="20" t="e">
        <x:f>HYPERLINK("https://www.disneyplus.com/video/ec135b2d-d990-4564-99d4-2e3a2ee866bd?cid=DTCI-Synergy-DDN-Site-Acquisition-StarWars-US-StarWars-StarWarsTheCloneWars-EN-BlogArticleEmbed-TCWChronological_StreamOnDisneyPlusCTA-NA","Watch")</x:f>
        <x:v>HYPERLINK is not implemented. linkLocation=https://www.disneyplus.com/video/ec135b2d-d990-4564-99d4-2e3a2ee866bd?cid=DTCI-Synergy-DDN-Site-Acquisition-StarWars-US-StarWars-StarWarsTheCloneWars-EN-BlogArticleEmbed-TCWChronological_StreamOnDisneyPlusCTA-NA, friendlyName=Watch</x:v>
      </x:c>
    </x:row>
    <x:row r="117" s="23" customFormat="1" ht="30" customHeight="1">
      <x:c r="A117" s="21" t="b">
        <x:v>0</x:v>
      </x:c>
      <x:c r="B117" s="21" t="n">
        <x:v>111</x:v>
      </x:c>
      <x:c r="C117" s="21" t="inlineStr">
        <x:is>
          <x:t xml:space="preserve">602</x:t>
        </x:is>
      </x:c>
      <x:c r="D117" s="14" t="inlineStr">
        <x:is>
          <x:t xml:space="preserve">Conspiracy</x:t>
        </x:is>
      </x:c>
      <x:c r="E117" s="14" t="inlineStr">
        <x:is>
          <x:t xml:space="preserve">Season 6, Episode 2</x:t>
        </x:is>
      </x:c>
      <x:c r="F117" s="20" t="e">
        <x:f>HYPERLINK("https://www.starwars.com/tv-shows/clone-wars/conspiracy-episode-guide","Episode guide")</x:f>
        <x:v>HYPERLINK is not implemented. linkLocation=https://www.starwars.com/tv-shows/clone-wars/conspiracy-episode-guide, friendlyName=Episode guide</x:v>
      </x:c>
      <x:c r="G117" s="20" t="e">
        <x:f>HYPERLINK("https://www.disneyplus.com/video/d4e8fd92-4d92-494d-8d49-d5b148bdcbb5?cid=DTCI-Synergy-DDN-Site-Acquisition-StarWars-US-StarWars-StarWarsTheCloneWars-EN-BlogArticleEmbed-TCWChronological_StreamOnDisneyPlusCTA-NA","Watch")</x:f>
        <x:v>HYPERLINK is not implemented. linkLocation=https://www.disneyplus.com/video/d4e8fd92-4d92-494d-8d49-d5b148bdcbb5?cid=DTCI-Synergy-DDN-Site-Acquisition-StarWars-US-StarWars-StarWarsTheCloneWars-EN-BlogArticleEmbed-TCWChronological_StreamOnDisneyPlusCTA-NA, friendlyName=Watch</x:v>
      </x:c>
    </x:row>
    <x:row r="118" s="23" customFormat="1" ht="30" customHeight="1">
      <x:c r="A118" s="21" t="b">
        <x:v>0</x:v>
      </x:c>
      <x:c r="B118" s="21" t="n">
        <x:v>112</x:v>
      </x:c>
      <x:c r="C118" s="21" t="inlineStr">
        <x:is>
          <x:t xml:space="preserve">603</x:t>
        </x:is>
      </x:c>
      <x:c r="D118" s="14" t="inlineStr">
        <x:is>
          <x:t xml:space="preserve">Fugitive</x:t>
        </x:is>
      </x:c>
      <x:c r="E118" s="14" t="inlineStr">
        <x:is>
          <x:t xml:space="preserve">Season 6, Episode 3</x:t>
        </x:is>
      </x:c>
      <x:c r="F118" s="20" t="e">
        <x:f>HYPERLINK("https://www.starwars.com/tv-shows/clone-wars/fugitive-episode-guide","Episode guide")</x:f>
        <x:v>HYPERLINK is not implemented. linkLocation=https://www.starwars.com/tv-shows/clone-wars/fugitive-episode-guide, friendlyName=Episode guide</x:v>
      </x:c>
      <x:c r="G118" s="20" t="e">
        <x:f>HYPERLINK("https://www.disneyplus.com/video/e3d63b2f-8e40-4064-9fe8-1f32299f17d3?cid=DTCI-Synergy-DDN-Site-Acquisition-StarWars-US-StarWars-StarWarsTheCloneWars-EN-BlogArticleEmbed-TCWChronological_StreamOnDisneyPlusCTA-NA","Watch")</x:f>
        <x:v>HYPERLINK is not implemented. linkLocation=https://www.disneyplus.com/video/e3d63b2f-8e40-4064-9fe8-1f32299f17d3?cid=DTCI-Synergy-DDN-Site-Acquisition-StarWars-US-StarWars-StarWarsTheCloneWars-EN-BlogArticleEmbed-TCWChronological_StreamOnDisneyPlusCTA-NA, friendlyName=Watch</x:v>
      </x:c>
    </x:row>
    <x:row r="119" s="23" customFormat="1" ht="30" customHeight="1">
      <x:c r="A119" s="21" t="b">
        <x:v>0</x:v>
      </x:c>
      <x:c r="B119" s="21" t="n">
        <x:v>113</x:v>
      </x:c>
      <x:c r="C119" s="21" t="inlineStr">
        <x:is>
          <x:t xml:space="preserve">604</x:t>
        </x:is>
      </x:c>
      <x:c r="D119" s="14" t="inlineStr">
        <x:is>
          <x:t xml:space="preserve">Orders</x:t>
        </x:is>
      </x:c>
      <x:c r="E119" s="14" t="inlineStr">
        <x:is>
          <x:t xml:space="preserve">Season 6, Episode 4</x:t>
        </x:is>
      </x:c>
      <x:c r="F119" s="20" t="e">
        <x:f>HYPERLINK("https://www.starwars.com/tv-shows/clone-wars/orders-episode-guide","Episode guide")</x:f>
        <x:v>HYPERLINK is not implemented. linkLocation=https://www.starwars.com/tv-shows/clone-wars/orders-episode-guide, friendlyName=Episode guide</x:v>
      </x:c>
      <x:c r="G119" s="20" t="e">
        <x:f>HYPERLINK("https://www.disneyplus.com/video/46c3decc-a11c-4d2e-a792-069ebe535003?cid=DTCI-Synergy-DDN-Site-Acquisition-StarWars-US-StarWars-StarWarsTheCloneWars-EN-BlogArticleEmbed-TCWChronological_StreamOnDisneyPlusCTA-NA","Watch")</x:f>
        <x:v>HYPERLINK is not implemented. linkLocation=https://www.disneyplus.com/video/46c3decc-a11c-4d2e-a792-069ebe535003?cid=DTCI-Synergy-DDN-Site-Acquisition-StarWars-US-StarWars-StarWarsTheCloneWars-EN-BlogArticleEmbed-TCWChronological_StreamOnDisneyPlusCTA-NA, friendlyName=Watch</x:v>
      </x:c>
    </x:row>
    <x:row r="120" s="23" customFormat="1" ht="30" customHeight="1">
      <x:c r="A120" s="21" t="b">
        <x:v>0</x:v>
      </x:c>
      <x:c r="B120" s="21" t="n">
        <x:v>114</x:v>
      </x:c>
      <x:c r="C120" s="21" t="inlineStr">
        <x:is>
          <x:t xml:space="preserve">605</x:t>
        </x:is>
      </x:c>
      <x:c r="D120" s="14" t="inlineStr">
        <x:is>
          <x:t xml:space="preserve">An Old Friend</x:t>
        </x:is>
      </x:c>
      <x:c r="E120" s="14" t="inlineStr">
        <x:is>
          <x:t xml:space="preserve">Season 6, Episode 5</x:t>
        </x:is>
      </x:c>
      <x:c r="F120" s="20" t="e">
        <x:f>HYPERLINK("https://www.starwars.com/tv-shows/clone-wars/an-old-friend-episode-guide","Episode guide")</x:f>
        <x:v>HYPERLINK is not implemented. linkLocation=https://www.starwars.com/tv-shows/clone-wars/an-old-friend-episode-guide, friendlyName=Episode guide</x:v>
      </x:c>
      <x:c r="G120" s="20" t="e">
        <x:f>HYPERLINK("https://www.disneyplus.com/video/64438a1c-f629-4085-b461-33fac7ea99ba?cid=DTCI-Synergy-DDN-Site-Acquisition-StarWars-US-StarWars-StarWarsTheCloneWars-EN-BlogArticleEmbed-TCWChronological_StreamOnDisneyPlusCTA-NA","Watch")</x:f>
        <x:v>HYPERLINK is not implemented. linkLocation=https://www.disneyplus.com/video/64438a1c-f629-4085-b461-33fac7ea99ba?cid=DTCI-Synergy-DDN-Site-Acquisition-StarWars-US-StarWars-StarWarsTheCloneWars-EN-BlogArticleEmbed-TCWChronological_StreamOnDisneyPlusCTA-NA, friendlyName=Watch</x:v>
      </x:c>
    </x:row>
    <x:row r="121" s="23" customFormat="1" ht="30" customHeight="1">
      <x:c r="A121" s="21" t="b">
        <x:v>0</x:v>
      </x:c>
      <x:c r="B121" s="21" t="n">
        <x:v>115</x:v>
      </x:c>
      <x:c r="C121" s="21" t="inlineStr">
        <x:is>
          <x:t xml:space="preserve">606</x:t>
        </x:is>
      </x:c>
      <x:c r="D121" s="14" t="inlineStr">
        <x:is>
          <x:t xml:space="preserve">The Rise of Clovis</x:t>
        </x:is>
      </x:c>
      <x:c r="E121" s="14" t="inlineStr">
        <x:is>
          <x:t xml:space="preserve">Season 6, Episode 6</x:t>
        </x:is>
      </x:c>
      <x:c r="F121" s="20" t="e">
        <x:f>HYPERLINK("https://www.starwars.com/tv-shows/clone-wars/the-rise-of-clovis-episode-guide","Episode guide")</x:f>
        <x:v>HYPERLINK is not implemented. linkLocation=https://www.starwars.com/tv-shows/clone-wars/the-rise-of-clovis-episode-guide, friendlyName=Episode guide</x:v>
      </x:c>
      <x:c r="G121" s="20" t="e">
        <x:f>HYPERLINK("https://www.disneyplus.com/video/cad54530-94eb-4b92-b380-b0a807d195c5?cid=DTCI-Synergy-DDN-Site-Acquisition-StarWars-US-StarWars-StarWarsTheCloneWars-EN-BlogArticleEmbed-TCWChronological_StreamOnDisneyPlusCTA-NA","Watch")</x:f>
        <x:v>HYPERLINK is not implemented. linkLocation=https://www.disneyplus.com/video/cad54530-94eb-4b92-b380-b0a807d195c5?cid=DTCI-Synergy-DDN-Site-Acquisition-StarWars-US-StarWars-StarWarsTheCloneWars-EN-BlogArticleEmbed-TCWChronological_StreamOnDisneyPlusCTA-NA, friendlyName=Watch</x:v>
      </x:c>
    </x:row>
    <x:row r="122" s="23" customFormat="1" ht="30" customHeight="1">
      <x:c r="A122" s="21" t="b">
        <x:v>0</x:v>
      </x:c>
      <x:c r="B122" s="21" t="n">
        <x:v>116</x:v>
      </x:c>
      <x:c r="C122" s="21" t="inlineStr">
        <x:is>
          <x:t xml:space="preserve">607</x:t>
        </x:is>
      </x:c>
      <x:c r="D122" s="14" t="inlineStr">
        <x:is>
          <x:t xml:space="preserve">Crisis at the Heart</x:t>
        </x:is>
      </x:c>
      <x:c r="E122" s="14" t="inlineStr">
        <x:is>
          <x:t xml:space="preserve">Season 6, Episode 7</x:t>
        </x:is>
      </x:c>
      <x:c r="F122" s="20" t="e">
        <x:f>HYPERLINK("https://www.starwars.com/tv-shows/clone-wars/crisis-at-the-heart-episode-guide","Episode guide")</x:f>
        <x:v>HYPERLINK is not implemented. linkLocation=https://www.starwars.com/tv-shows/clone-wars/crisis-at-the-heart-episode-guide, friendlyName=Episode guide</x:v>
      </x:c>
      <x:c r="G122" s="20" t="e">
        <x:f>HYPERLINK("https://www.disneyplus.com/video/2a2fc61d-3813-4cf8-88a7-cab1975cee35?cid=DTCI-Synergy-DDN-Site-Acquisition-StarWars-US-StarWars-StarWarsTheCloneWars-EN-BlogArticleEmbed-TCWChronological_StreamOnDisneyPlusCTA-NA","Watch")</x:f>
        <x:v>HYPERLINK is not implemented. linkLocation=https://www.disneyplus.com/video/2a2fc61d-3813-4cf8-88a7-cab1975cee35?cid=DTCI-Synergy-DDN-Site-Acquisition-StarWars-US-StarWars-StarWarsTheCloneWars-EN-BlogArticleEmbed-TCWChronological_StreamOnDisneyPlusCTA-NA, friendlyName=Watch</x:v>
      </x:c>
    </x:row>
    <x:row r="123" s="23" customFormat="1" ht="30" customHeight="1">
      <x:c r="A123" s="21" t="b">
        <x:v>0</x:v>
      </x:c>
      <x:c r="B123" s="21" t="n">
        <x:v>117</x:v>
      </x:c>
      <x:c r="C123" s="21" t="inlineStr">
        <x:is>
          <x:t xml:space="preserve">608</x:t>
        </x:is>
      </x:c>
      <x:c r="D123" s="14" t="inlineStr">
        <x:is>
          <x:t xml:space="preserve">The Disappeared</x:t>
        </x:is>
      </x:c>
      <x:c r="E123" s="14" t="inlineStr">
        <x:is>
          <x:t xml:space="preserve">Season 6, Episode 8</x:t>
        </x:is>
      </x:c>
      <x:c r="F123" s="20" t="e">
        <x:f>HYPERLINK("https://www.starwars.com/tv-shows/clone-wars/the-disappeared-part-i-episode-guide","Episode guide")</x:f>
        <x:v>HYPERLINK is not implemented. linkLocation=https://www.starwars.com/tv-shows/clone-wars/the-disappeared-part-i-episode-guide, friendlyName=Episode guide</x:v>
      </x:c>
      <x:c r="G123" s="20" t="e">
        <x:f>HYPERLINK("https://www.disneyplus.com/video/6173c7f8-b2d8-448c-8143-77eb71c73589?cid=DTCI-Synergy-DDN-Site-Acquisition-StarWars-US-StarWars-StarWarsTheCloneWars-EN-BlogArticleEmbed-TCWChronological_StreamOnDisneyPlusCTA-NA","Watch")</x:f>
        <x:v>HYPERLINK is not implemented. linkLocation=https://www.disneyplus.com/video/6173c7f8-b2d8-448c-8143-77eb71c73589?cid=DTCI-Synergy-DDN-Site-Acquisition-StarWars-US-StarWars-StarWarsTheCloneWars-EN-BlogArticleEmbed-TCWChronological_StreamOnDisneyPlusCTA-NA, friendlyName=Watch</x:v>
      </x:c>
    </x:row>
    <x:row r="124" s="23" customFormat="1" ht="30" customHeight="1">
      <x:c r="A124" s="21" t="b">
        <x:v>0</x:v>
      </x:c>
      <x:c r="B124" s="21" t="n">
        <x:v>118</x:v>
      </x:c>
      <x:c r="C124" s="21" t="inlineStr">
        <x:is>
          <x:t xml:space="preserve">609</x:t>
        </x:is>
      </x:c>
      <x:c r="D124" s="14" t="inlineStr">
        <x:is>
          <x:t xml:space="preserve">The Disappeared: Part II</x:t>
        </x:is>
      </x:c>
      <x:c r="E124" s="14" t="inlineStr">
        <x:is>
          <x:t xml:space="preserve">Season 6, Episode 9</x:t>
        </x:is>
      </x:c>
      <x:c r="F124" s="20" t="e">
        <x:f>HYPERLINK("https://www.starwars.com/tv-shows/clone-wars/the-disappeared-part-ii-episode-guide","Episode guide")</x:f>
        <x:v>HYPERLINK is not implemented. linkLocation=https://www.starwars.com/tv-shows/clone-wars/the-disappeared-part-ii-episode-guide, friendlyName=Episode guide</x:v>
      </x:c>
      <x:c r="G124" s="20" t="e">
        <x:f>HYPERLINK("https://www.disneyplus.com/video/2e4fe8fe-c7e3-40dc-87d7-bdb7e02eb896?cid=DTCI-Synergy-DDN-Site-Acquisition-StarWars-US-StarWars-StarWarsTheCloneWars-EN-BlogArticleEmbed-TCWChronological_StreamOnDisneyPlusCTA-NA","Watch")</x:f>
        <x:v>HYPERLINK is not implemented. linkLocation=https://www.disneyplus.com/video/2e4fe8fe-c7e3-40dc-87d7-bdb7e02eb896?cid=DTCI-Synergy-DDN-Site-Acquisition-StarWars-US-StarWars-StarWarsTheCloneWars-EN-BlogArticleEmbed-TCWChronological_StreamOnDisneyPlusCTA-NA, friendlyName=Watch</x:v>
      </x:c>
    </x:row>
    <x:row r="125" s="23" customFormat="1" ht="30" customHeight="1">
      <x:c r="A125" s="21" t="b">
        <x:v>0</x:v>
      </x:c>
      <x:c r="B125" s="21" t="n">
        <x:v>119</x:v>
      </x:c>
      <x:c r="C125" s="21" t="inlineStr">
        <x:is>
          <x:t xml:space="preserve">610</x:t>
        </x:is>
      </x:c>
      <x:c r="D125" s="14" t="inlineStr">
        <x:is>
          <x:t xml:space="preserve">The Lost One</x:t>
        </x:is>
      </x:c>
      <x:c r="E125" s="14" t="inlineStr">
        <x:is>
          <x:t xml:space="preserve">Season 6, Episode 10</x:t>
        </x:is>
      </x:c>
      <x:c r="F125" s="20" t="e">
        <x:f>HYPERLINK("https://www.starwars.com/tv-shows/clone-wars/the-lost-one-episode-guide","Episode guide")</x:f>
        <x:v>HYPERLINK is not implemented. linkLocation=https://www.starwars.com/tv-shows/clone-wars/the-lost-one-episode-guide, friendlyName=Episode guide</x:v>
      </x:c>
      <x:c r="G125" s="20" t="e">
        <x:f>HYPERLINK("https://www.disneyplus.com/video/f8d1131b-c197-4e8e-b1a5-9f9ad5e7cb9b?cid=DTCI-Synergy-DDN-Site-Acquisition-StarWars-US-StarWars-StarWarsTheCloneWars-EN-BlogArticleEmbed-TCWChronological_StreamOnDisneyPlusCTA-NA","Watch")</x:f>
        <x:v>HYPERLINK is not implemented. linkLocation=https://www.disneyplus.com/video/f8d1131b-c197-4e8e-b1a5-9f9ad5e7cb9b?cid=DTCI-Synergy-DDN-Site-Acquisition-StarWars-US-StarWars-StarWarsTheCloneWars-EN-BlogArticleEmbed-TCWChronological_StreamOnDisneyPlusCTA-NA, friendlyName=Watch</x:v>
      </x:c>
    </x:row>
    <x:row r="126" s="23" customFormat="1" ht="30" customHeight="1">
      <x:c r="A126" s="21" t="b">
        <x:v>0</x:v>
      </x:c>
      <x:c r="B126" s="21" t="n">
        <x:v>120</x:v>
      </x:c>
      <x:c r="C126" s="21" t="inlineStr">
        <x:is>
          <x:t xml:space="preserve">611</x:t>
        </x:is>
      </x:c>
      <x:c r="D126" s="14" t="inlineStr">
        <x:is>
          <x:t xml:space="preserve">Voices</x:t>
        </x:is>
      </x:c>
      <x:c r="E126" s="14" t="inlineStr">
        <x:is>
          <x:t xml:space="preserve">Season 6, Episode 11</x:t>
        </x:is>
      </x:c>
      <x:c r="F126" s="20" t="e">
        <x:f>HYPERLINK("https://www.starwars.com/tv-shows/clone-wars/voices-episode-guide","Episode guide")</x:f>
        <x:v>HYPERLINK is not implemented. linkLocation=https://www.starwars.com/tv-shows/clone-wars/voices-episode-guide, friendlyName=Episode guide</x:v>
      </x:c>
      <x:c r="G126" s="20" t="e">
        <x:f>HYPERLINK("https://www.disneyplus.com/video/ced4924c-6c39-4346-b07e-d22fb33de653?cid=DTCI-Synergy-DDN-Site-Acquisition-StarWars-US-StarWars-StarWarsTheCloneWars-EN-BlogArticleEmbed-TCWChronological_StreamOnDisneyPlusCTA-NA","Watch")</x:f>
        <x:v>HYPERLINK is not implemented. linkLocation=https://www.disneyplus.com/video/ced4924c-6c39-4346-b07e-d22fb33de653?cid=DTCI-Synergy-DDN-Site-Acquisition-StarWars-US-StarWars-StarWarsTheCloneWars-EN-BlogArticleEmbed-TCWChronological_StreamOnDisneyPlusCTA-NA, friendlyName=Watch</x:v>
      </x:c>
    </x:row>
    <x:row r="127" s="23" customFormat="1" ht="30" customHeight="1">
      <x:c r="A127" s="21" t="b">
        <x:v>0</x:v>
      </x:c>
      <x:c r="B127" s="21" t="n">
        <x:v>121</x:v>
      </x:c>
      <x:c r="C127" s="21" t="inlineStr">
        <x:is>
          <x:t xml:space="preserve">612</x:t>
        </x:is>
      </x:c>
      <x:c r="D127" s="14" t="inlineStr">
        <x:is>
          <x:t xml:space="preserve">Destiny</x:t>
        </x:is>
      </x:c>
      <x:c r="E127" s="14" t="inlineStr">
        <x:is>
          <x:t xml:space="preserve">Season 6, Episode 12</x:t>
        </x:is>
      </x:c>
      <x:c r="F127" s="20" t="e">
        <x:f>HYPERLINK("https://www.starwars.com/tv-shows/clone-wars/destiny-episode-guide","Episode guide")</x:f>
        <x:v>HYPERLINK is not implemented. linkLocation=https://www.starwars.com/tv-shows/clone-wars/destiny-episode-guide, friendlyName=Episode guide</x:v>
      </x:c>
      <x:c r="G127" s="20" t="e">
        <x:f>HYPERLINK("https://www.disneyplus.com/video/99e77e6b-d43a-4f6f-b07c-51d48ee4c3bd?cid=DTCI-Synergy-DDN-Site-Acquisition-StarWars-US-StarWars-StarWarsTheCloneWars-EN-BlogArticleEmbed-TCWChronological_StreamOnDisneyPlusCTA-NA","Watch")</x:f>
        <x:v>HYPERLINK is not implemented. linkLocation=https://www.disneyplus.com/video/99e77e6b-d43a-4f6f-b07c-51d48ee4c3bd?cid=DTCI-Synergy-DDN-Site-Acquisition-StarWars-US-StarWars-StarWarsTheCloneWars-EN-BlogArticleEmbed-TCWChronological_StreamOnDisneyPlusCTA-NA, friendlyName=Watch</x:v>
      </x:c>
    </x:row>
    <x:row r="128" s="23" customFormat="1" ht="30" customHeight="1">
      <x:c r="A128" s="21" t="b">
        <x:v>0</x:v>
      </x:c>
      <x:c r="B128" s="21" t="n">
        <x:v>122</x:v>
      </x:c>
      <x:c r="C128" s="21" t="inlineStr">
        <x:is>
          <x:t xml:space="preserve">613</x:t>
        </x:is>
      </x:c>
      <x:c r="D128" s="14" t="inlineStr">
        <x:is>
          <x:t xml:space="preserve">Sacrifice</x:t>
        </x:is>
      </x:c>
      <x:c r="E128" s="14" t="inlineStr">
        <x:is>
          <x:t xml:space="preserve">Season 6, Episode 13</x:t>
        </x:is>
      </x:c>
      <x:c r="F128" s="20" t="e">
        <x:f>HYPERLINK("https://www.starwars.com/tv-shows/clone-wars/sacrifice-episode-guide","Episode guide")</x:f>
        <x:v>HYPERLINK is not implemented. linkLocation=https://www.starwars.com/tv-shows/clone-wars/sacrifice-episode-guide, friendlyName=Episode guide</x:v>
      </x:c>
      <x:c r="G128" s="20" t="e">
        <x:f>HYPERLINK("https://www.disneyplus.com/video/37357ff9-88a7-4652-b16e-cda4808d1930?cid=DTCI-Synergy-DDN-Site-Acquisition-StarWars-US-StarWars-StarWarsTheCloneWars-EN-BlogArticleEmbed-TCWChronological_StreamOnDisneyPlusCTA-NA","Watch")</x:f>
        <x:v>HYPERLINK is not implemented. linkLocation=https://www.disneyplus.com/video/37357ff9-88a7-4652-b16e-cda4808d1930?cid=DTCI-Synergy-DDN-Site-Acquisition-StarWars-US-StarWars-StarWarsTheCloneWars-EN-BlogArticleEmbed-TCWChronological_StreamOnDisneyPlusCTA-NA, friendlyName=Watch</x:v>
      </x:c>
    </x:row>
    <x:row r="129" s="23" customFormat="1" ht="30" customHeight="1">
      <x:c r="A129" s="21" t="b">
        <x:v>0</x:v>
      </x:c>
      <x:c r="B129" s="21" t="n">
        <x:v>123</x:v>
      </x:c>
      <x:c r="C129" s="21" t="inlineStr">
        <x:is>
          <x:t xml:space="preserve">705</x:t>
        </x:is>
      </x:c>
      <x:c r="D129" s="14" t="inlineStr">
        <x:is>
          <x:t xml:space="preserve">Gone with a Trace</x:t>
        </x:is>
      </x:c>
      <x:c r="E129" s="14" t="inlineStr">
        <x:is>
          <x:t xml:space="preserve">Season 7, Episode 5</x:t>
        </x:is>
      </x:c>
      <x:c r="F129" s="20" t="e">
        <x:f>HYPERLINK("https://www.starwars.com/series/clone-wars/gone-with-a-trace-episode-guide","Episode guide")</x:f>
        <x:v>HYPERLINK is not implemented. linkLocation=https://www.starwars.com/series/clone-wars/gone-with-a-trace-episode-guide, friendlyName=Episode guide</x:v>
      </x:c>
      <x:c r="G129" s="20" t="e">
        <x:f>HYPERLINK("https://www.disneyplus.com/en-gb/video/a1dfba86-2134-41e9-8794-e8040896bef6?cid=DTCI-Synergy-DDN-Site-Acquisition-StarWars-US-StarWars-StarWarsTheCloneWars-EN-BlogArticleEmbed-TCWChronological_StreamOnDisneyPlusCTA-NA","Watch")</x:f>
        <x:v>HYPERLINK is not implemented. linkLocation=https://www.disneyplus.com/en-gb/video/a1dfba86-2134-41e9-8794-e8040896bef6?cid=DTCI-Synergy-DDN-Site-Acquisition-StarWars-US-StarWars-StarWarsTheCloneWars-EN-BlogArticleEmbed-TCWChronological_StreamOnDisneyPlusCTA-NA, friendlyName=Watch</x:v>
      </x:c>
    </x:row>
    <x:row r="130" s="23" customFormat="1" ht="30" customHeight="1">
      <x:c r="A130" s="21" t="b">
        <x:v>0</x:v>
      </x:c>
      <x:c r="B130" s="21" t="n">
        <x:v>124</x:v>
      </x:c>
      <x:c r="C130" s="21" t="inlineStr">
        <x:is>
          <x:t xml:space="preserve">706</x:t>
        </x:is>
      </x:c>
      <x:c r="D130" s="14" t="inlineStr">
        <x:is>
          <x:t xml:space="preserve">Deal No Deal</x:t>
        </x:is>
      </x:c>
      <x:c r="E130" s="14" t="inlineStr">
        <x:is>
          <x:t xml:space="preserve">Season 7, Episode 6</x:t>
        </x:is>
      </x:c>
      <x:c r="F130" s="20" t="e">
        <x:f>HYPERLINK("https://www.starwars.com/series/clone-wars/deal-no-deal-episode-guide","Episode guide")</x:f>
        <x:v>HYPERLINK is not implemented. linkLocation=https://www.starwars.com/series/clone-wars/deal-no-deal-episode-guide, friendlyName=Episode guide</x:v>
      </x:c>
      <x:c r="G130" s="20" t="e">
        <x:f>HYPERLINK("https://www.disneyplus.com/en-gb/video/7ed29bb0-bfff-462c-ae96-f89a4f3f89e2?cid=DTCI-Synergy-DDN-Site-Acquisition-StarWars-US-StarWars-StarWarsTheCloneWars-EN-BlogArticleEmbed-TCWChronological_StreamOnDisneyPlusCTA-NA","Watch")</x:f>
        <x:v>HYPERLINK is not implemented. linkLocation=https://www.disneyplus.com/en-gb/video/7ed29bb0-bfff-462c-ae96-f89a4f3f89e2?cid=DTCI-Synergy-DDN-Site-Acquisition-StarWars-US-StarWars-StarWarsTheCloneWars-EN-BlogArticleEmbed-TCWChronological_StreamOnDisneyPlusCTA-NA, friendlyName=Watch</x:v>
      </x:c>
    </x:row>
    <x:row r="131" s="23" customFormat="1" ht="30" customHeight="1">
      <x:c r="A131" s="21" t="b">
        <x:v>0</x:v>
      </x:c>
      <x:c r="B131" s="21" t="n">
        <x:v>125</x:v>
      </x:c>
      <x:c r="C131" s="21" t="inlineStr">
        <x:is>
          <x:t xml:space="preserve">707</x:t>
        </x:is>
      </x:c>
      <x:c r="D131" s="14" t="inlineStr">
        <x:is>
          <x:t xml:space="preserve">Dangerous Debt</x:t>
        </x:is>
      </x:c>
      <x:c r="E131" s="14" t="inlineStr">
        <x:is>
          <x:t xml:space="preserve">Season 7, Episode 7</x:t>
        </x:is>
      </x:c>
      <x:c r="F131" s="20" t="e">
        <x:f>HYPERLINK("https://www.starwars.com/series/clone-wars/dangerous-debt-episode-guide","Episode guide")</x:f>
        <x:v>HYPERLINK is not implemented. linkLocation=https://www.starwars.com/series/clone-wars/dangerous-debt-episode-guide, friendlyName=Episode guide</x:v>
      </x:c>
      <x:c r="G131" s="20" t="e">
        <x:f>HYPERLINK("https://www.disneyplus.com/video/468b341b-4d54-4adf-823f-8934ff05800b?cid=DTCI-Synergy-DDN-Site-Acquisition-StarWars-US-StarWars-StarWarsTheCloneWars-EN-BlogArticleEmbed-TCWChronological_StreamOnDisneyPlusCTA-NA","Watch")</x:f>
        <x:v>HYPERLINK is not implemented. linkLocation=https://www.disneyplus.com/video/468b341b-4d54-4adf-823f-8934ff05800b?cid=DTCI-Synergy-DDN-Site-Acquisition-StarWars-US-StarWars-StarWarsTheCloneWars-EN-BlogArticleEmbed-TCWChronological_StreamOnDisneyPlusCTA-NA, friendlyName=Watch</x:v>
      </x:c>
    </x:row>
    <x:row r="132" s="23" customFormat="1" ht="30" customHeight="1">
      <x:c r="A132" s="21" t="b">
        <x:v>0</x:v>
      </x:c>
      <x:c r="B132" s="21" t="n">
        <x:v>126</x:v>
      </x:c>
      <x:c r="C132" s="21" t="inlineStr">
        <x:is>
          <x:t xml:space="preserve">708</x:t>
        </x:is>
      </x:c>
      <x:c r="D132" s="14" t="inlineStr">
        <x:is>
          <x:t xml:space="preserve">Together Again</x:t>
        </x:is>
      </x:c>
      <x:c r="E132" s="14" t="inlineStr">
        <x:is>
          <x:t xml:space="preserve">Season 7, Episode 8</x:t>
        </x:is>
      </x:c>
      <x:c r="F132" s="20" t="e">
        <x:f>HYPERLINK("https://www.starwars.com/series/clone-wars/together-again-episode-guide","Episode guide")</x:f>
        <x:v>HYPERLINK is not implemented. linkLocation=https://www.starwars.com/series/clone-wars/together-again-episode-guide, friendlyName=Episode guide</x:v>
      </x:c>
      <x:c r="G132" s="20" t="e">
        <x:f>HYPERLINK("https://www.disneyplus.com/video/c59f5965-71d6-40e5-8650-ddf076125e0d?cid=DTCI-Synergy-DDN-Site-Acquisition-StarWars-US-StarWars-StarWarsTheCloneWars-EN-BlogArticleEmbed-TCWChronological_StreamOnDisneyPlusCTA-NA","Watch")</x:f>
        <x:v>HYPERLINK is not implemented. linkLocation=https://www.disneyplus.com/video/c59f5965-71d6-40e5-8650-ddf076125e0d?cid=DTCI-Synergy-DDN-Site-Acquisition-StarWars-US-StarWars-StarWarsTheCloneWars-EN-BlogArticleEmbed-TCWChronological_StreamOnDisneyPlusCTA-NA, friendlyName=Watch</x:v>
      </x:c>
    </x:row>
    <x:row r="133" s="23" customFormat="1" ht="30" customHeight="1">
      <x:c r="A133" s="21" t="b">
        <x:v>0</x:v>
      </x:c>
      <x:c r="B133" s="21" t="n">
        <x:v>127</x:v>
      </x:c>
      <x:c r="C133" s="21" t="inlineStr">
        <x:is>
          <x:t xml:space="preserve">701</x:t>
        </x:is>
      </x:c>
      <x:c r="D133" s="14" t="inlineStr">
        <x:is>
          <x:t xml:space="preserve">The Bad Batch</x:t>
        </x:is>
      </x:c>
      <x:c r="E133" s="14" t="inlineStr">
        <x:is>
          <x:t xml:space="preserve">Season 7, Episode 1</x:t>
        </x:is>
      </x:c>
      <x:c r="F133" s="20" t="e">
        <x:f>HYPERLINK("https://www.starwars.com/series/clone-wars/the-bad-batch-episode-guide","Episode guide")</x:f>
        <x:v>HYPERLINK is not implemented. linkLocation=https://www.starwars.com/series/clone-wars/the-bad-batch-episode-guide, friendlyName=Episode guide</x:v>
      </x:c>
      <x:c r="G133" s="20" t="e">
        <x:f>HYPERLINK("https://www.disneyplus.com/en-gb/video/9ee46453-c414-4c89-b3ef-b0d4d1c001fc?cid=DTCI-Synergy-DDN-Site-Acquisition-StarWars-US-StarWars-StarWarsTheCloneWars-EN-BlogArticleEmbed-TCWChronological_StreamOnDisneyPlusCTA-NA","Watch")</x:f>
        <x:v>HYPERLINK is not implemented. linkLocation=https://www.disneyplus.com/en-gb/video/9ee46453-c414-4c89-b3ef-b0d4d1c001fc?cid=DTCI-Synergy-DDN-Site-Acquisition-StarWars-US-StarWars-StarWarsTheCloneWars-EN-BlogArticleEmbed-TCWChronological_StreamOnDisneyPlusCTA-NA, friendlyName=Watch</x:v>
      </x:c>
    </x:row>
    <x:row r="134" s="23" customFormat="1" ht="30" customHeight="1">
      <x:c r="A134" s="21" t="b">
        <x:v>0</x:v>
      </x:c>
      <x:c r="B134" s="21" t="n">
        <x:v>128</x:v>
      </x:c>
      <x:c r="C134" s="21" t="inlineStr">
        <x:is>
          <x:t xml:space="preserve">702</x:t>
        </x:is>
      </x:c>
      <x:c r="D134" s="14" t="inlineStr">
        <x:is>
          <x:t xml:space="preserve">A Distant Echo</x:t>
        </x:is>
      </x:c>
      <x:c r="E134" s="14" t="inlineStr">
        <x:is>
          <x:t xml:space="preserve">Season 7, Episode 2</x:t>
        </x:is>
      </x:c>
      <x:c r="F134" s="20" t="e">
        <x:f>HYPERLINK("https://www.starwars.com/series/clone-wars/a-distant-echo-episode-guide","Episode guide")</x:f>
        <x:v>HYPERLINK is not implemented. linkLocation=https://www.starwars.com/series/clone-wars/a-distant-echo-episode-guide, friendlyName=Episode guide</x:v>
      </x:c>
      <x:c r="G134" s="20" t="e">
        <x:f>HYPERLINK("https://www.disneyplus.com/en-gb/video/cbcde944-1622-4f15-a136-47a85e7f75c1?cid=DTCI-Synergy-DDN-Site-Acquisition-StarWars-US-StarWars-StarWarsTheCloneWars-EN-BlogArticleEmbed-TCWChronological_StreamOnDisneyPlusCTA-NA","Watch")</x:f>
        <x:v>HYPERLINK is not implemented. linkLocation=https://www.disneyplus.com/en-gb/video/cbcde944-1622-4f15-a136-47a85e7f75c1?cid=DTCI-Synergy-DDN-Site-Acquisition-StarWars-US-StarWars-StarWarsTheCloneWars-EN-BlogArticleEmbed-TCWChronological_StreamOnDisneyPlusCTA-NA, friendlyName=Watch</x:v>
      </x:c>
    </x:row>
    <x:row r="135" s="23" customFormat="1" ht="30" customHeight="1">
      <x:c r="A135" s="21" t="b">
        <x:v>0</x:v>
      </x:c>
      <x:c r="B135" s="21" t="n">
        <x:v>129</x:v>
      </x:c>
      <x:c r="C135" s="21" t="inlineStr">
        <x:is>
          <x:t xml:space="preserve">703</x:t>
        </x:is>
      </x:c>
      <x:c r="D135" s="14" t="inlineStr">
        <x:is>
          <x:t xml:space="preserve">On the Wings of Keeradaks</x:t>
        </x:is>
      </x:c>
      <x:c r="E135" s="14" t="inlineStr">
        <x:is>
          <x:t xml:space="preserve">Season 7, Episode 3</x:t>
        </x:is>
      </x:c>
      <x:c r="F135" s="20" t="e">
        <x:f>HYPERLINK("https://www.starwars.com/series/clone-wars/on-the-wings-of-keeradaks-episode-guide","Episode guide")</x:f>
        <x:v>HYPERLINK is not implemented. linkLocation=https://www.starwars.com/series/clone-wars/on-the-wings-of-keeradaks-episode-guide, friendlyName=Episode guide</x:v>
      </x:c>
      <x:c r="G135" s="20" t="e">
        <x:f>HYPERLINK("https://www.disneyplus.com/en-gb/video/1df8336f-23c4-437a-a360-043e5cb26a41?cid=DTCI-Synergy-DDN-Site-Acquisition-StarWars-US-StarWars-StarWarsTheCloneWars-EN-BlogArticleEmbed-TCWChronological_StreamOnDisneyPlusCTA-NA","Watch")</x:f>
        <x:v>HYPERLINK is not implemented. linkLocation=https://www.disneyplus.com/en-gb/video/1df8336f-23c4-437a-a360-043e5cb26a41?cid=DTCI-Synergy-DDN-Site-Acquisition-StarWars-US-StarWars-StarWarsTheCloneWars-EN-BlogArticleEmbed-TCWChronological_StreamOnDisneyPlusCTA-NA, friendlyName=Watch</x:v>
      </x:c>
    </x:row>
    <x:row r="136" s="23" customFormat="1" ht="30" customHeight="1">
      <x:c r="A136" s="21" t="b">
        <x:v>0</x:v>
      </x:c>
      <x:c r="B136" s="21" t="n">
        <x:v>130</x:v>
      </x:c>
      <x:c r="C136" s="21" t="inlineStr">
        <x:is>
          <x:t xml:space="preserve">704</x:t>
        </x:is>
      </x:c>
      <x:c r="D136" s="14" t="inlineStr">
        <x:is>
          <x:t xml:space="preserve">Unfinished Business</x:t>
        </x:is>
      </x:c>
      <x:c r="E136" s="14" t="inlineStr">
        <x:is>
          <x:t xml:space="preserve">Season 7, Episode 4</x:t>
        </x:is>
      </x:c>
      <x:c r="F136" s="20" t="e">
        <x:f>HYPERLINK("https://www.starwars.com/series/clone-wars/unfinished-business-episode-guide","Episode guide")</x:f>
        <x:v>HYPERLINK is not implemented. linkLocation=https://www.starwars.com/series/clone-wars/unfinished-business-episode-guide, friendlyName=Episode guide</x:v>
      </x:c>
      <x:c r="G136" s="20" t="e">
        <x:f>HYPERLINK("https://www.disneyplus.com/en-gb/video/2aba28e0-4dbe-49ab-9512-fa856ff1e791?cid=DTCI-Synergy-DDN-Site-Acquisition-StarWars-US-StarWars-StarWarsTheCloneWars-EN-BlogArticleEmbed-TCWChronological_StreamOnDisneyPlusCTA-NA","Watch")</x:f>
        <x:v>HYPERLINK is not implemented. linkLocation=https://www.disneyplus.com/en-gb/video/2aba28e0-4dbe-49ab-9512-fa856ff1e791?cid=DTCI-Synergy-DDN-Site-Acquisition-StarWars-US-StarWars-StarWarsTheCloneWars-EN-BlogArticleEmbed-TCWChronological_StreamOnDisneyPlusCTA-NA, friendlyName=Watch</x:v>
      </x:c>
    </x:row>
    <x:row r="137" s="23" customFormat="1" ht="30" customHeight="1">
      <x:c r="A137" s="21" t="b">
        <x:v>0</x:v>
      </x:c>
      <x:c r="B137" s="21" t="n">
        <x:v>131</x:v>
      </x:c>
      <x:c r="C137" s="21" t="inlineStr">
        <x:is>
          <x:t xml:space="preserve">709</x:t>
        </x:is>
      </x:c>
      <x:c r="D137" s="14" t="inlineStr">
        <x:is>
          <x:t xml:space="preserve">Old Friends Not Forgotten</x:t>
        </x:is>
      </x:c>
      <x:c r="E137" s="14" t="inlineStr">
        <x:is>
          <x:t xml:space="preserve">Season 7, Episode 9</x:t>
        </x:is>
      </x:c>
      <x:c r="F137" s="20" t="e">
        <x:f>HYPERLINK("https://www.starwars.com/series/clone-wars/old-friends-not-forgotten-episode-guide","Episode guide")</x:f>
        <x:v>HYPERLINK is not implemented. linkLocation=https://www.starwars.com/series/clone-wars/old-friends-not-forgotten-episode-guide, friendlyName=Episode guide</x:v>
      </x:c>
      <x:c r="G137" s="20" t="e">
        <x:f>HYPERLINK("https://www.disneyplus.com/video/0626c961-a67c-4203-bee2-a8166e95b895?cid=DTCI-Synergy-DDN-Site-Acquisition-StarWars-US-StarWars-StarWarsTheCloneWars-EN-BlogArticleEmbed-TCWChronological_StreamOnDisneyPlusCTA-NA","Watch")</x:f>
        <x:v>HYPERLINK is not implemented. linkLocation=https://www.disneyplus.com/video/0626c961-a67c-4203-bee2-a8166e95b895?cid=DTCI-Synergy-DDN-Site-Acquisition-StarWars-US-StarWars-StarWarsTheCloneWars-EN-BlogArticleEmbed-TCWChronological_StreamOnDisneyPlusCTA-NA, friendlyName=Watch</x:v>
      </x:c>
    </x:row>
    <x:row r="138" s="23" customFormat="1" ht="30" customHeight="1">
      <x:c r="A138" s="21" t="b">
        <x:v>0</x:v>
      </x:c>
      <x:c r="B138" s="21" t="n">
        <x:v>132</x:v>
      </x:c>
      <x:c r="C138" s="21" t="inlineStr">
        <x:is>
          <x:t xml:space="preserve">710</x:t>
        </x:is>
      </x:c>
      <x:c r="D138" s="14" t="inlineStr">
        <x:is>
          <x:t xml:space="preserve">The Phantom Apprentice</x:t>
        </x:is>
      </x:c>
      <x:c r="E138" s="14" t="inlineStr">
        <x:is>
          <x:t xml:space="preserve">Season 7, Episode 10</x:t>
        </x:is>
      </x:c>
      <x:c r="F138" s="20" t="e">
        <x:f>HYPERLINK("https://www.starwars.com/series/clone-wars/the-phantom-apprentice-episode-guide","Episode guide")</x:f>
        <x:v>HYPERLINK is not implemented. linkLocation=https://www.starwars.com/series/clone-wars/the-phantom-apprentice-episode-guide, friendlyName=Episode guide</x:v>
      </x:c>
      <x:c r="G138" s="20" t="e">
        <x:f>HYPERLINK("https://www.disneyplus.com/video/24dd0033-1f7d-492e-9114-63a684fa4f78?cid=DTCI-Synergy-DDN-Site-Acquisition-StarWars-US-StarWars-StarWarsTheCloneWars-EN-BlogArticleEmbed-TCWChronological_StreamOnDisneyPlusCTA-NA","Watch")</x:f>
        <x:v>HYPERLINK is not implemented. linkLocation=https://www.disneyplus.com/video/24dd0033-1f7d-492e-9114-63a684fa4f78?cid=DTCI-Synergy-DDN-Site-Acquisition-StarWars-US-StarWars-StarWarsTheCloneWars-EN-BlogArticleEmbed-TCWChronological_StreamOnDisneyPlusCTA-NA, friendlyName=Watch</x:v>
      </x:c>
    </x:row>
    <x:row r="139" s="23" customFormat="1" ht="30" customHeight="1">
      <x:c r="A139" s="21" t="b">
        <x:v>0</x:v>
      </x:c>
      <x:c r="B139" s="21" t="n">
        <x:v>133</x:v>
      </x:c>
      <x:c r="C139" s="21" t="inlineStr">
        <x:is>
          <x:t xml:space="preserve">711</x:t>
        </x:is>
      </x:c>
      <x:c r="D139" s="14" t="inlineStr">
        <x:is>
          <x:t xml:space="preserve">Shattered</x:t>
        </x:is>
      </x:c>
      <x:c r="E139" s="14" t="inlineStr">
        <x:is>
          <x:t xml:space="preserve">Season 7, Episode 11</x:t>
        </x:is>
      </x:c>
      <x:c r="F139" s="20" t="e">
        <x:f>HYPERLINK("https://www.starwars.com/series/clone-wars/shattered-episode-guide","Episode guide")</x:f>
        <x:v>HYPERLINK is not implemented. linkLocation=https://www.starwars.com/series/clone-wars/shattered-episode-guide, friendlyName=Episode guide</x:v>
      </x:c>
      <x:c r="G139" s="20" t="e">
        <x:f>HYPERLINK("https://www.disneyplus.com/video/cfcd7267-d3d1-4e98-92d6-3129b4c8d686?cid=DTCI-Synergy-DDN-Site-Acquisition-StarWars-US-StarWars-StarWarsTheCloneWars-EN-BlogArticleEmbed-TCWChronological_StreamOnDisneyPlusCTA-NA","Watch")</x:f>
        <x:v>HYPERLINK is not implemented. linkLocation=https://www.disneyplus.com/video/cfcd7267-d3d1-4e98-92d6-3129b4c8d686?cid=DTCI-Synergy-DDN-Site-Acquisition-StarWars-US-StarWars-StarWarsTheCloneWars-EN-BlogArticleEmbed-TCWChronological_StreamOnDisneyPlusCTA-NA, friendlyName=Watch</x:v>
      </x:c>
    </x:row>
    <x:row r="140" s="23" customFormat="1" ht="30" customHeight="1">
      <x:c r="A140" s="21" t="b">
        <x:v>0</x:v>
      </x:c>
      <x:c r="B140" s="21" t="n">
        <x:v>134</x:v>
      </x:c>
      <x:c r="C140" s="21" t="inlineStr">
        <x:is>
          <x:t xml:space="preserve">712</x:t>
        </x:is>
      </x:c>
      <x:c r="D140" s="14" t="inlineStr">
        <x:is>
          <x:t xml:space="preserve">Victory and Death</x:t>
        </x:is>
      </x:c>
      <x:c r="E140" s="14" t="inlineStr">
        <x:is>
          <x:t xml:space="preserve">Season 7, Episode 12</x:t>
        </x:is>
      </x:c>
      <x:c r="F140" s="20" t="e">
        <x:f>HYPERLINK("https://www.starwars.com/series/clone-wars/victory-and-death-episode-guide","Episode guide")</x:f>
        <x:v>HYPERLINK is not implemented. linkLocation=https://www.starwars.com/series/clone-wars/victory-and-death-episode-guide, friendlyName=Episode guide</x:v>
      </x:c>
      <x:c r="G140" s="20" t="e">
        <x:f>HYPERLINK("https://www.disneyplus.com/video/f21bd5ab-d24d-4a4a-b09c-d09d4361148b?cid=DTCI-Synergy-DDN-Site-Acquisition-StarWars-US-StarWars-StarWarsTheCloneWars-EN-BlogArticleEmbed-TCWChronological_StreamOnDisneyPlusCTA-NA","Watch")</x:f>
        <x:v>HYPERLINK is not implemented. linkLocation=https://www.disneyplus.com/video/f21bd5ab-d24d-4a4a-b09c-d09d4361148b?cid=DTCI-Synergy-DDN-Site-Acquisition-StarWars-US-StarWars-StarWarsTheCloneWars-EN-BlogArticleEmbed-TCWChronological_StreamOnDisneyPlusCTA-NA, friendlyName=Watch</x:v>
      </x:c>
    </x:row>
    <x:row r="141" s="23" customFormat="1" ht="15.75" customHeight="1"/>
    <x:row r="142" s="23" customFormat="1" ht="15.75" customHeight="1"/>
    <x:row r="143" s="23" customFormat="1" ht="15.75" customHeight="1"/>
    <x:row r="144" s="23" customFormat="1" ht="15.75" customHeight="1"/>
    <x:row r="145" s="23" customFormat="1" ht="15.75" customHeight="1"/>
    <x:row r="146" s="23" customFormat="1" ht="15.75" customHeight="1"/>
    <x:row r="147" s="23" customFormat="1" ht="15.75" customHeight="1"/>
    <x:row r="148" s="23" customFormat="1" ht="15.75" customHeight="1"/>
    <x:row r="149" s="23" customFormat="1" ht="15.75" customHeight="1"/>
    <x:row r="150" s="23" customFormat="1" ht="15.75" customHeight="1"/>
    <x:row r="151" s="23" customFormat="1" ht="15.75" customHeight="1"/>
    <x:row r="152" s="23" customFormat="1" ht="15.75" customHeight="1"/>
    <x:row r="153" s="23" customFormat="1" ht="15.75" customHeight="1"/>
    <x:row r="154" s="23" customFormat="1" ht="15.75" customHeight="1"/>
    <x:row r="155" s="23" customFormat="1" ht="15.75" customHeight="1"/>
    <x:row r="156" s="23" customFormat="1" ht="15.75" customHeight="1"/>
    <x:row r="157" s="23" customFormat="1" ht="15.75" customHeight="1"/>
    <x:row r="158" s="23" customFormat="1" ht="15.75" customHeight="1"/>
    <x:row r="159" s="23" customFormat="1" ht="15.75" customHeight="1"/>
    <x:row r="160" s="23" customFormat="1" ht="15.75" customHeight="1"/>
    <x:row r="161" s="23" customFormat="1" ht="15.75" customHeight="1"/>
    <x:row r="162" s="23" customFormat="1" ht="15.75" customHeight="1"/>
    <x:row r="163" s="23" customFormat="1" ht="15.75" customHeight="1"/>
    <x:row r="164" s="23" customFormat="1" ht="15.75" customHeight="1"/>
    <x:row r="165" s="23" customFormat="1" ht="15.75" customHeight="1"/>
    <x:row r="166" s="23" customFormat="1" ht="15.75" customHeight="1"/>
    <x:row r="167" s="23" customFormat="1" ht="15.75" customHeight="1"/>
    <x:row r="168" s="23" customFormat="1" ht="15.75" customHeight="1"/>
    <x:row r="169" s="23" customFormat="1" ht="15.75" customHeight="1"/>
    <x:row r="170" s="23" customFormat="1" ht="15.75" customHeight="1"/>
    <x:row r="171" s="23" customFormat="1" ht="15.75" customHeight="1"/>
    <x:row r="172" s="23" customFormat="1" ht="15.75" customHeight="1"/>
    <x:row r="173" s="23" customFormat="1" ht="15.75" customHeight="1"/>
    <x:row r="174" s="23" customFormat="1" ht="15.75" customHeight="1"/>
    <x:row r="175" s="23" customFormat="1" ht="15.75" customHeight="1"/>
    <x:row r="176" s="23" customFormat="1" ht="15.75" customHeight="1"/>
    <x:row r="177" s="23" customFormat="1" ht="15.75" customHeight="1"/>
    <x:row r="178" s="23" customFormat="1" ht="15.75" customHeight="1"/>
    <x:row r="179" s="23" customFormat="1" ht="15.75" customHeight="1"/>
    <x:row r="180" s="23" customFormat="1" ht="15.75" customHeight="1"/>
    <x:row r="181" s="23" customFormat="1" ht="15.75" customHeight="1"/>
    <x:row r="182" s="23" customFormat="1" ht="15.75" customHeight="1"/>
    <x:row r="183" s="23" customFormat="1" ht="15.75" customHeight="1"/>
    <x:row r="184" s="23" customFormat="1" ht="15.75" customHeight="1"/>
    <x:row r="185" s="23" customFormat="1" ht="15.75" customHeight="1"/>
    <x:row r="186" s="23" customFormat="1" ht="15.75" customHeight="1"/>
    <x:row r="187" s="23" customFormat="1" ht="15.75" customHeight="1"/>
    <x:row r="188" s="23" customFormat="1" ht="15.75" customHeight="1"/>
    <x:row r="189" s="23" customFormat="1" ht="15.75" customHeight="1"/>
    <x:row r="190" s="23" customFormat="1" ht="15.75" customHeight="1"/>
    <x:row r="191" s="23" customFormat="1" ht="15.75" customHeight="1"/>
    <x:row r="192" s="23" customFormat="1" ht="15.75" customHeight="1"/>
    <x:row r="193" s="23" customFormat="1" ht="15.75" customHeight="1"/>
    <x:row r="194" s="23" customFormat="1" ht="15.75" customHeight="1"/>
    <x:row r="195" s="23" customFormat="1" ht="15.75" customHeight="1"/>
    <x:row r="196" s="23" customFormat="1" ht="15.75" customHeight="1"/>
    <x:row r="197" s="23" customFormat="1" ht="15.75" customHeight="1"/>
    <x:row r="198" s="23" customFormat="1" ht="15.75" customHeight="1"/>
    <x:row r="199" s="23" customFormat="1" ht="15.75" customHeight="1"/>
    <x:row r="200" s="23" customFormat="1" ht="15.75" customHeight="1"/>
    <x:row r="201" s="23" customFormat="1" ht="15.75" customHeight="1"/>
    <x:row r="202" s="23" customFormat="1" ht="15.75" customHeight="1"/>
    <x:row r="203" s="23" customFormat="1" ht="15.75" customHeight="1"/>
    <x:row r="204" s="23" customFormat="1" ht="15.75" customHeight="1"/>
    <x:row r="205" s="23" customFormat="1" ht="15.75" customHeight="1"/>
    <x:row r="206" s="23" customFormat="1" ht="15.75" customHeight="1"/>
    <x:row r="207" s="23" customFormat="1" ht="15.75" customHeight="1"/>
    <x:row r="208" s="23" customFormat="1" ht="15.75" customHeight="1"/>
    <x:row r="209" s="23" customFormat="1" ht="15.75" customHeight="1"/>
    <x:row r="210" s="23" customFormat="1" ht="15.75" customHeight="1"/>
    <x:row r="211" s="23" customFormat="1" ht="15.75" customHeight="1"/>
    <x:row r="212" s="23" customFormat="1" ht="15.75" customHeight="1"/>
    <x:row r="213" s="23" customFormat="1" ht="15.75" customHeight="1"/>
    <x:row r="214" s="23" customFormat="1" ht="15.75" customHeight="1"/>
    <x:row r="215" s="23" customFormat="1" ht="15.75" customHeight="1"/>
    <x:row r="216" s="23" customFormat="1" ht="15.75" customHeight="1"/>
    <x:row r="217" s="23" customFormat="1" ht="15.75" customHeight="1"/>
    <x:row r="218" s="23" customFormat="1" ht="15.75" customHeight="1"/>
    <x:row r="219" s="23" customFormat="1" ht="15.75" customHeight="1"/>
    <x:row r="220" s="23" customFormat="1" ht="15.75" customHeight="1"/>
    <x:row r="221" s="23" customFormat="1" ht="15.75" customHeight="1"/>
    <x:row r="222" s="23" customFormat="1" ht="15.75" customHeight="1"/>
    <x:row r="223" s="23" customFormat="1" ht="15.75" customHeight="1"/>
    <x:row r="224" s="23" customFormat="1" ht="15.75" customHeight="1"/>
    <x:row r="225" s="23" customFormat="1" ht="15.75" customHeight="1"/>
    <x:row r="226" s="23" customFormat="1" ht="15.75" customHeight="1"/>
    <x:row r="227" s="23" customFormat="1" ht="15.75" customHeight="1"/>
    <x:row r="228" s="23" customFormat="1" ht="15.75" customHeight="1"/>
    <x:row r="229" s="23" customFormat="1" ht="15.75" customHeight="1"/>
    <x:row r="230" s="23" customFormat="1" ht="15.75" customHeight="1"/>
    <x:row r="231" s="23" customFormat="1" ht="15.75" customHeight="1"/>
    <x:row r="232" s="23" customFormat="1" ht="15.75" customHeight="1"/>
    <x:row r="233" s="23" customFormat="1" ht="15.75" customHeight="1"/>
    <x:row r="234" s="23" customFormat="1" ht="15.75" customHeight="1"/>
    <x:row r="235" s="23" customFormat="1" ht="15.75" customHeight="1"/>
    <x:row r="236" s="23" customFormat="1" ht="15.75" customHeight="1"/>
    <x:row r="237" s="23" customFormat="1" ht="15.75" customHeight="1"/>
    <x:row r="238" s="23" customFormat="1" ht="15.75" customHeight="1"/>
    <x:row r="239" s="23" customFormat="1" ht="15.75" customHeight="1"/>
    <x:row r="240" s="23" customFormat="1" ht="15.75" customHeight="1"/>
    <x:row r="241" s="23" customFormat="1" ht="15.75" customHeight="1"/>
    <x:row r="242" s="23" customFormat="1" ht="15.75" customHeight="1"/>
    <x:row r="243" s="23" customFormat="1" ht="15.75" customHeight="1"/>
    <x:row r="244" s="23" customFormat="1" ht="15.75" customHeight="1"/>
    <x:row r="245" s="23" customFormat="1" ht="15.75" customHeight="1"/>
    <x:row r="246" s="23" customFormat="1" ht="15.75" customHeight="1"/>
    <x:row r="247" s="23" customFormat="1" ht="15.75" customHeight="1"/>
    <x:row r="248" s="23" customFormat="1" ht="15.75" customHeight="1"/>
    <x:row r="249" s="23" customFormat="1" ht="15.75" customHeight="1"/>
    <x:row r="250" s="23" customFormat="1" ht="15.75" customHeight="1"/>
    <x:row r="251" s="23" customFormat="1" ht="15.75" customHeight="1"/>
    <x:row r="252" s="23" customFormat="1" ht="15.75" customHeight="1"/>
    <x:row r="253" s="23" customFormat="1" ht="15.75" customHeight="1"/>
    <x:row r="254" s="23" customFormat="1" ht="15.75" customHeight="1"/>
    <x:row r="255" s="23" customFormat="1" ht="15.75" customHeight="1"/>
    <x:row r="256" s="23" customFormat="1" ht="15.75" customHeight="1"/>
    <x:row r="257" s="23" customFormat="1" ht="15.75" customHeight="1"/>
    <x:row r="258" s="23" customFormat="1" ht="15.75" customHeight="1"/>
    <x:row r="259" s="23" customFormat="1" ht="15.75" customHeight="1"/>
    <x:row r="260" s="23" customFormat="1" ht="15.75" customHeight="1"/>
    <x:row r="261" s="23" customFormat="1" ht="15.75" customHeight="1"/>
    <x:row r="262" s="23" customFormat="1" ht="15.75" customHeight="1"/>
    <x:row r="263" s="23" customFormat="1" ht="15.75" customHeight="1"/>
    <x:row r="264" s="23" customFormat="1" ht="15.75" customHeight="1"/>
    <x:row r="265" s="23" customFormat="1" ht="15.75" customHeight="1"/>
    <x:row r="266" s="23" customFormat="1" ht="15.75" customHeight="1"/>
    <x:row r="267" s="23" customFormat="1" ht="15.75" customHeight="1"/>
    <x:row r="268" s="23" customFormat="1" ht="15.75" customHeight="1"/>
    <x:row r="269" s="23" customFormat="1" ht="15.75" customHeight="1"/>
    <x:row r="270" s="23" customFormat="1" ht="15.75" customHeight="1"/>
    <x:row r="271" s="23" customFormat="1" ht="15.75" customHeight="1"/>
    <x:row r="272" s="23" customFormat="1" ht="15.75" customHeight="1"/>
    <x:row r="273" s="23" customFormat="1" ht="15.75" customHeight="1"/>
    <x:row r="274" s="23" customFormat="1" ht="15.75" customHeight="1"/>
    <x:row r="275" s="23" customFormat="1" ht="15.75" customHeight="1"/>
    <x:row r="276" s="23" customFormat="1" ht="15.75" customHeight="1"/>
    <x:row r="277" s="23" customFormat="1" ht="15.75" customHeight="1"/>
    <x:row r="278" s="23" customFormat="1" ht="15.75" customHeight="1"/>
    <x:row r="279" s="23" customFormat="1" ht="15.75" customHeight="1"/>
    <x:row r="280" s="23" customFormat="1" ht="15.75" customHeight="1"/>
    <x:row r="281" s="23" customFormat="1" ht="15.75" customHeight="1"/>
    <x:row r="282" s="23" customFormat="1" ht="15.75" customHeight="1"/>
    <x:row r="283" s="23" customFormat="1" ht="15.75" customHeight="1"/>
    <x:row r="284" s="23" customFormat="1" ht="15.75" customHeight="1"/>
    <x:row r="285" s="23" customFormat="1" ht="15.75" customHeight="1"/>
    <x:row r="286" s="23" customFormat="1" ht="15.75" customHeight="1"/>
    <x:row r="287" s="23" customFormat="1" ht="15.75" customHeight="1"/>
    <x:row r="288" s="23" customFormat="1" ht="15.75" customHeight="1"/>
    <x:row r="289" s="23" customFormat="1" ht="15.75" customHeight="1"/>
    <x:row r="290" s="23" customFormat="1" ht="15.75" customHeight="1"/>
    <x:row r="291" s="23" customFormat="1" ht="15.75" customHeight="1"/>
    <x:row r="292" s="23" customFormat="1" ht="15.75" customHeight="1"/>
    <x:row r="293" s="23" customFormat="1" ht="15.75" customHeight="1"/>
    <x:row r="294" s="23" customFormat="1" ht="15.75" customHeight="1"/>
    <x:row r="295" s="23" customFormat="1" ht="15.75" customHeight="1"/>
    <x:row r="296" s="23" customFormat="1" ht="15.75" customHeight="1"/>
    <x:row r="297" s="23" customFormat="1" ht="15.75" customHeight="1"/>
    <x:row r="298" s="23" customFormat="1" ht="15.75" customHeight="1"/>
    <x:row r="299" s="23" customFormat="1" ht="15.75" customHeight="1"/>
    <x:row r="300" s="23" customFormat="1" ht="15.75" customHeight="1"/>
    <x:row r="301" s="23" customFormat="1" ht="15.75" customHeight="1"/>
    <x:row r="302" s="23" customFormat="1" ht="15.75" customHeight="1"/>
    <x:row r="303" s="23" customFormat="1" ht="15.75" customHeight="1"/>
    <x:row r="304" s="23" customFormat="1" ht="15.75" customHeight="1"/>
    <x:row r="305" s="23" customFormat="1" ht="15.75" customHeight="1"/>
    <x:row r="306" s="23" customFormat="1" ht="15.75" customHeight="1"/>
    <x:row r="307" s="23" customFormat="1" ht="15.75" customHeight="1"/>
    <x:row r="308" s="23" customFormat="1" ht="15.75" customHeight="1"/>
    <x:row r="309" s="23" customFormat="1" ht="15.75" customHeight="1"/>
    <x:row r="310" s="23" customFormat="1" ht="15.75" customHeight="1"/>
    <x:row r="311" s="23" customFormat="1" ht="15.75" customHeight="1"/>
    <x:row r="312" s="23" customFormat="1" ht="15.75" customHeight="1"/>
    <x:row r="313" s="23" customFormat="1" ht="15.75" customHeight="1"/>
    <x:row r="314" s="23" customFormat="1" ht="15.75" customHeight="1"/>
    <x:row r="315" s="23" customFormat="1" ht="15.75" customHeight="1"/>
    <x:row r="316" s="23" customFormat="1" ht="15.75" customHeight="1"/>
    <x:row r="317" s="23" customFormat="1" ht="15.75" customHeight="1"/>
    <x:row r="318" s="23" customFormat="1" ht="15.75" customHeight="1"/>
    <x:row r="319" s="23" customFormat="1" ht="15.75" customHeight="1"/>
    <x:row r="320" s="23" customFormat="1" ht="15.75" customHeight="1"/>
    <x:row r="321" s="23" customFormat="1" ht="15.75" customHeight="1"/>
    <x:row r="322" s="23" customFormat="1" ht="15.75" customHeight="1"/>
    <x:row r="323" s="23" customFormat="1" ht="15.75" customHeight="1"/>
    <x:row r="324" s="23" customFormat="1" ht="15.75" customHeight="1"/>
    <x:row r="325" s="23" customFormat="1" ht="15.75" customHeight="1"/>
    <x:row r="326" s="23" customFormat="1" ht="15.75" customHeight="1"/>
    <x:row r="327" s="23" customFormat="1" ht="15.75" customHeight="1"/>
    <x:row r="328" s="23" customFormat="1" ht="15.75" customHeight="1"/>
    <x:row r="329" s="23" customFormat="1" ht="15.75" customHeight="1"/>
    <x:row r="330" s="23" customFormat="1" ht="15.75" customHeight="1"/>
    <x:row r="331" s="23" customFormat="1" ht="15.75" customHeight="1"/>
    <x:row r="332" s="23" customFormat="1" ht="15.75" customHeight="1"/>
    <x:row r="333" s="23" customFormat="1" ht="15.75" customHeight="1"/>
    <x:row r="334" s="23" customFormat="1" ht="15.75" customHeight="1"/>
    <x:row r="335" s="23" customFormat="1" ht="15.75" customHeight="1"/>
    <x:row r="336" s="23" customFormat="1" ht="15.75" customHeight="1"/>
    <x:row r="337" s="23" customFormat="1" ht="15.75" customHeight="1"/>
    <x:row r="338" s="23" customFormat="1" ht="15.75" customHeight="1"/>
    <x:row r="339" s="23" customFormat="1" ht="15.75" customHeight="1"/>
    <x:row r="340" s="23" customFormat="1" ht="15.75" customHeight="1"/>
    <x:row r="341" s="23" customFormat="1" ht="15.75" customHeight="1"/>
    <x:row r="342" s="23" customFormat="1" ht="15.75" customHeight="1"/>
    <x:row r="343" s="23" customFormat="1" ht="15.75" customHeight="1"/>
    <x:row r="344" s="23" customFormat="1" ht="15.75" customHeight="1"/>
    <x:row r="345" s="23" customFormat="1" ht="15.75" customHeight="1"/>
    <x:row r="346" s="23" customFormat="1" ht="15.75" customHeight="1"/>
    <x:row r="347" s="23" customFormat="1" ht="15.75" customHeight="1"/>
    <x:row r="348" s="23" customFormat="1" ht="15.75" customHeight="1"/>
    <x:row r="349" s="23" customFormat="1" ht="15.75" customHeight="1"/>
    <x:row r="350" s="23" customFormat="1" ht="15.75" customHeight="1"/>
    <x:row r="351" s="23" customFormat="1" ht="15.75" customHeight="1"/>
    <x:row r="352" s="23" customFormat="1" ht="15.75" customHeight="1"/>
    <x:row r="353" s="23" customFormat="1" ht="15.75" customHeight="1"/>
    <x:row r="354" s="23" customFormat="1" ht="15.75" customHeight="1"/>
    <x:row r="355" s="23" customFormat="1" ht="15.75" customHeight="1"/>
    <x:row r="356" s="23" customFormat="1" ht="15.75" customHeight="1"/>
    <x:row r="357" s="23" customFormat="1" ht="15.75" customHeight="1"/>
    <x:row r="358" s="23" customFormat="1" ht="15.75" customHeight="1"/>
    <x:row r="359" s="23" customFormat="1" ht="15.75" customHeight="1"/>
    <x:row r="360" s="23" customFormat="1" ht="15.75" customHeight="1"/>
    <x:row r="361" s="23" customFormat="1" ht="15.75" customHeight="1"/>
    <x:row r="362" s="23" customFormat="1" ht="15.75" customHeight="1"/>
    <x:row r="363" s="23" customFormat="1" ht="15.75" customHeight="1"/>
    <x:row r="364" s="23" customFormat="1" ht="15.75" customHeight="1"/>
    <x:row r="365" s="23" customFormat="1" ht="15.75" customHeight="1"/>
    <x:row r="366" s="23" customFormat="1" ht="15.75" customHeight="1"/>
    <x:row r="367" s="23" customFormat="1" ht="15.75" customHeight="1"/>
    <x:row r="368" s="23" customFormat="1" ht="15.75" customHeight="1"/>
    <x:row r="369" s="23" customFormat="1" ht="15.75" customHeight="1"/>
    <x:row r="370" s="23" customFormat="1" ht="15.75" customHeight="1"/>
    <x:row r="371" s="23" customFormat="1" ht="15.75" customHeight="1"/>
    <x:row r="372" s="23" customFormat="1" ht="15.75" customHeight="1"/>
    <x:row r="373" s="23" customFormat="1" ht="15.75" customHeight="1"/>
    <x:row r="374" s="23" customFormat="1" ht="15.75" customHeight="1"/>
    <x:row r="375" s="23" customFormat="1" ht="15.75" customHeight="1"/>
    <x:row r="376" s="23" customFormat="1" ht="15.75" customHeight="1"/>
    <x:row r="377" s="23" customFormat="1" ht="15.75" customHeight="1"/>
    <x:row r="378" s="23" customFormat="1" ht="15.75" customHeight="1"/>
    <x:row r="379" s="23" customFormat="1" ht="15.75" customHeight="1"/>
    <x:row r="380" s="23" customFormat="1" ht="15.75" customHeight="1"/>
    <x:row r="381" s="23" customFormat="1" ht="15.75" customHeight="1"/>
    <x:row r="382" s="23" customFormat="1" ht="15.75" customHeight="1"/>
    <x:row r="383" s="23" customFormat="1" ht="15.75" customHeight="1"/>
    <x:row r="384" s="23" customFormat="1" ht="15.75" customHeight="1"/>
    <x:row r="385" s="23" customFormat="1" ht="15.75" customHeight="1"/>
    <x:row r="386" s="23" customFormat="1" ht="15.75" customHeight="1"/>
    <x:row r="387" s="23" customFormat="1" ht="15.75" customHeight="1"/>
    <x:row r="388" s="23" customFormat="1" ht="15.75" customHeight="1"/>
    <x:row r="389" s="23" customFormat="1" ht="15.75" customHeight="1"/>
    <x:row r="390" s="23" customFormat="1" ht="15.75" customHeight="1"/>
    <x:row r="391" s="23" customFormat="1" ht="15.75" customHeight="1"/>
    <x:row r="392" s="23" customFormat="1" ht="15.75" customHeight="1"/>
    <x:row r="393" s="23" customFormat="1" ht="15.75" customHeight="1"/>
    <x:row r="394" s="23" customFormat="1" ht="15.75" customHeight="1"/>
    <x:row r="395" s="23" customFormat="1" ht="15.75" customHeight="1"/>
    <x:row r="396" s="23" customFormat="1" ht="15.75" customHeight="1"/>
    <x:row r="397" s="23" customFormat="1" ht="15.75" customHeight="1"/>
    <x:row r="398" s="23" customFormat="1" ht="15.75" customHeight="1"/>
    <x:row r="399" s="23" customFormat="1" ht="15.75" customHeight="1"/>
    <x:row r="400" s="23" customFormat="1" ht="15.75" customHeight="1"/>
    <x:row r="401" s="23" customFormat="1" ht="15.75" customHeight="1"/>
    <x:row r="402" s="23" customFormat="1" ht="15.75" customHeight="1"/>
    <x:row r="403" s="23" customFormat="1" ht="15.75" customHeight="1"/>
    <x:row r="404" s="23" customFormat="1" ht="15.75" customHeight="1"/>
    <x:row r="405" s="23" customFormat="1" ht="15.75" customHeight="1"/>
    <x:row r="406" s="23" customFormat="1" ht="15.75" customHeight="1"/>
    <x:row r="407" s="23" customFormat="1" ht="15.75" customHeight="1"/>
    <x:row r="408" s="23" customFormat="1" ht="15.75" customHeight="1"/>
    <x:row r="409" s="23" customFormat="1" ht="15.75" customHeight="1"/>
    <x:row r="410" s="23" customFormat="1" ht="15.75" customHeight="1"/>
    <x:row r="411" s="23" customFormat="1" ht="15.75" customHeight="1"/>
    <x:row r="412" s="23" customFormat="1" ht="15.75" customHeight="1"/>
    <x:row r="413" s="23" customFormat="1" ht="15.75" customHeight="1"/>
    <x:row r="414" s="23" customFormat="1" ht="15.75" customHeight="1"/>
    <x:row r="415" s="23" customFormat="1" ht="15.75" customHeight="1"/>
    <x:row r="416" s="23" customFormat="1" ht="15.75" customHeight="1"/>
    <x:row r="417" s="23" customFormat="1" ht="15.75" customHeight="1"/>
    <x:row r="418" s="23" customFormat="1" ht="15.75" customHeight="1"/>
    <x:row r="419" s="23" customFormat="1" ht="15.75" customHeight="1"/>
    <x:row r="420" s="23" customFormat="1" ht="15.75" customHeight="1"/>
    <x:row r="421" s="23" customFormat="1" ht="15.75" customHeight="1"/>
    <x:row r="422" s="23" customFormat="1" ht="15.75" customHeight="1"/>
    <x:row r="423" s="23" customFormat="1" ht="15.75" customHeight="1"/>
    <x:row r="424" s="23" customFormat="1" ht="15.75" customHeight="1"/>
    <x:row r="425" s="23" customFormat="1" ht="15.75" customHeight="1"/>
    <x:row r="426" s="23" customFormat="1" ht="15.75" customHeight="1"/>
    <x:row r="427" s="23" customFormat="1" ht="15.75" customHeight="1"/>
    <x:row r="428" s="23" customFormat="1" ht="15.75" customHeight="1"/>
    <x:row r="429" s="23" customFormat="1" ht="15.75" customHeight="1"/>
    <x:row r="430" s="23" customFormat="1" ht="15.75" customHeight="1"/>
    <x:row r="431" s="23" customFormat="1" ht="15.75" customHeight="1"/>
    <x:row r="432" s="23" customFormat="1" ht="15.75" customHeight="1"/>
    <x:row r="433" s="23" customFormat="1" ht="15.75" customHeight="1"/>
    <x:row r="434" s="23" customFormat="1" ht="15.75" customHeight="1"/>
    <x:row r="435" s="23" customFormat="1" ht="15.75" customHeight="1"/>
    <x:row r="436" s="23" customFormat="1" ht="15.75" customHeight="1"/>
    <x:row r="437" s="23" customFormat="1" ht="15.75" customHeight="1"/>
    <x:row r="438" s="23" customFormat="1" ht="15.75" customHeight="1"/>
    <x:row r="439" s="23" customFormat="1" ht="15.75" customHeight="1"/>
    <x:row r="440" s="23" customFormat="1" ht="15.75" customHeight="1"/>
    <x:row r="441" s="23" customFormat="1" ht="15.75" customHeight="1"/>
    <x:row r="442" s="23" customFormat="1" ht="15.75" customHeight="1"/>
    <x:row r="443" s="23" customFormat="1" ht="15.75" customHeight="1"/>
    <x:row r="444" s="23" customFormat="1" ht="15.75" customHeight="1"/>
    <x:row r="445" s="23" customFormat="1" ht="15.75" customHeight="1"/>
    <x:row r="446" s="23" customFormat="1" ht="15.75" customHeight="1"/>
    <x:row r="447" s="23" customFormat="1" ht="15.75" customHeight="1"/>
    <x:row r="448" s="23" customFormat="1" ht="15.75" customHeight="1"/>
    <x:row r="449" s="23" customFormat="1" ht="15.75" customHeight="1"/>
    <x:row r="450" s="23" customFormat="1" ht="15.75" customHeight="1"/>
    <x:row r="451" s="23" customFormat="1" ht="15.75" customHeight="1"/>
    <x:row r="452" s="23" customFormat="1" ht="15.75" customHeight="1"/>
    <x:row r="453" s="23" customFormat="1" ht="15.75" customHeight="1"/>
    <x:row r="454" s="23" customFormat="1" ht="15.75" customHeight="1"/>
    <x:row r="455" s="23" customFormat="1" ht="15.75" customHeight="1"/>
    <x:row r="456" s="23" customFormat="1" ht="15.75" customHeight="1"/>
    <x:row r="457" s="23" customFormat="1" ht="15.75" customHeight="1"/>
    <x:row r="458" s="23" customFormat="1" ht="15.75" customHeight="1"/>
    <x:row r="459" s="23" customFormat="1" ht="15.75" customHeight="1"/>
    <x:row r="460" s="23" customFormat="1" ht="15.75" customHeight="1"/>
    <x:row r="461" s="23" customFormat="1" ht="15.75" customHeight="1"/>
    <x:row r="462" s="23" customFormat="1" ht="15.75" customHeight="1"/>
    <x:row r="463" s="23" customFormat="1" ht="15.75" customHeight="1"/>
    <x:row r="464" s="23" customFormat="1" ht="15.75" customHeight="1"/>
    <x:row r="465" s="23" customFormat="1" ht="15.75" customHeight="1"/>
    <x:row r="466" s="23" customFormat="1" ht="15.75" customHeight="1"/>
    <x:row r="467" s="23" customFormat="1" ht="15.75" customHeight="1"/>
    <x:row r="468" s="23" customFormat="1" ht="15.75" customHeight="1"/>
    <x:row r="469" s="23" customFormat="1" ht="15.75" customHeight="1"/>
    <x:row r="470" s="23" customFormat="1" ht="15.75" customHeight="1"/>
    <x:row r="471" s="23" customFormat="1" ht="15.75" customHeight="1"/>
    <x:row r="472" s="23" customFormat="1" ht="15.75" customHeight="1"/>
    <x:row r="473" s="23" customFormat="1" ht="15.75" customHeight="1"/>
    <x:row r="474" s="23" customFormat="1" ht="15.75" customHeight="1"/>
    <x:row r="475" s="23" customFormat="1" ht="15.75" customHeight="1"/>
    <x:row r="476" s="23" customFormat="1" ht="15.75" customHeight="1"/>
    <x:row r="477" s="23" customFormat="1" ht="15.75" customHeight="1"/>
    <x:row r="478" s="23" customFormat="1" ht="15.75" customHeight="1"/>
    <x:row r="479" s="23" customFormat="1" ht="15.75" customHeight="1"/>
    <x:row r="480" s="23" customFormat="1" ht="15.75" customHeight="1"/>
    <x:row r="481" s="23" customFormat="1" ht="15.75" customHeight="1"/>
    <x:row r="482" s="23" customFormat="1" ht="15.75" customHeight="1"/>
    <x:row r="483" s="23" customFormat="1" ht="15.75" customHeight="1"/>
    <x:row r="484" s="23" customFormat="1" ht="15.75" customHeight="1"/>
    <x:row r="485" s="23" customFormat="1" ht="15.75" customHeight="1"/>
    <x:row r="486" s="23" customFormat="1" ht="15.75" customHeight="1"/>
    <x:row r="487" s="23" customFormat="1" ht="15.75" customHeight="1"/>
    <x:row r="488" s="23" customFormat="1" ht="15.75" customHeight="1"/>
    <x:row r="489" s="23" customFormat="1" ht="15.75" customHeight="1"/>
    <x:row r="490" s="23" customFormat="1" ht="15.75" customHeight="1"/>
    <x:row r="491" s="23" customFormat="1" ht="15.75" customHeight="1"/>
    <x:row r="492" s="23" customFormat="1" ht="15.75" customHeight="1"/>
    <x:row r="493" s="23" customFormat="1" ht="15.75" customHeight="1"/>
    <x:row r="494" s="23" customFormat="1" ht="15.75" customHeight="1"/>
    <x:row r="495" s="23" customFormat="1" ht="15.75" customHeight="1"/>
    <x:row r="496" s="23" customFormat="1" ht="15.75" customHeight="1"/>
    <x:row r="497" s="23" customFormat="1" ht="15.75" customHeight="1"/>
    <x:row r="498" s="23" customFormat="1" ht="15.75" customHeight="1"/>
    <x:row r="499" s="23" customFormat="1" ht="15.75" customHeight="1"/>
    <x:row r="500" s="23" customFormat="1" ht="15.75" customHeight="1"/>
    <x:row r="501" s="23" customFormat="1" ht="15.75" customHeight="1"/>
    <x:row r="502" s="23" customFormat="1" ht="15.75" customHeight="1"/>
    <x:row r="503" s="23" customFormat="1" ht="15.75" customHeight="1"/>
    <x:row r="504" s="23" customFormat="1" ht="15.75" customHeight="1"/>
    <x:row r="505" s="23" customFormat="1" ht="15.75" customHeight="1"/>
    <x:row r="506" s="23" customFormat="1" ht="15.75" customHeight="1"/>
    <x:row r="507" s="23" customFormat="1" ht="15.75" customHeight="1"/>
    <x:row r="508" s="23" customFormat="1" ht="15.75" customHeight="1"/>
    <x:row r="509" s="23" customFormat="1" ht="15.75" customHeight="1"/>
    <x:row r="510" s="23" customFormat="1" ht="15.75" customHeight="1"/>
    <x:row r="511" s="23" customFormat="1" ht="15.75" customHeight="1"/>
    <x:row r="512" s="23" customFormat="1" ht="15.75" customHeight="1"/>
    <x:row r="513" s="23" customFormat="1" ht="15.75" customHeight="1"/>
    <x:row r="514" s="23" customFormat="1" ht="15.75" customHeight="1"/>
    <x:row r="515" s="23" customFormat="1" ht="15.75" customHeight="1"/>
    <x:row r="516" s="23" customFormat="1" ht="15.75" customHeight="1"/>
    <x:row r="517" s="23" customFormat="1" ht="15.75" customHeight="1"/>
    <x:row r="518" s="23" customFormat="1" ht="15.75" customHeight="1"/>
    <x:row r="519" s="23" customFormat="1" ht="15.75" customHeight="1"/>
    <x:row r="520" s="23" customFormat="1" ht="15.75" customHeight="1"/>
    <x:row r="521" s="23" customFormat="1" ht="15.75" customHeight="1"/>
    <x:row r="522" s="23" customFormat="1" ht="15.75" customHeight="1"/>
    <x:row r="523" s="23" customFormat="1" ht="15.75" customHeight="1"/>
    <x:row r="524" s="23" customFormat="1" ht="15.75" customHeight="1"/>
    <x:row r="525" s="23" customFormat="1" ht="15.75" customHeight="1"/>
    <x:row r="526" s="23" customFormat="1" ht="15.75" customHeight="1"/>
    <x:row r="527" s="23" customFormat="1" ht="15.75" customHeight="1"/>
    <x:row r="528" s="23" customFormat="1" ht="15.75" customHeight="1"/>
    <x:row r="529" s="23" customFormat="1" ht="15.75" customHeight="1"/>
    <x:row r="530" s="23" customFormat="1" ht="15.75" customHeight="1"/>
    <x:row r="531" s="23" customFormat="1" ht="15.75" customHeight="1"/>
    <x:row r="532" s="23" customFormat="1" ht="15.75" customHeight="1"/>
    <x:row r="533" s="23" customFormat="1" ht="15.75" customHeight="1"/>
    <x:row r="534" s="23" customFormat="1" ht="15.75" customHeight="1"/>
    <x:row r="535" s="23" customFormat="1" ht="15.75" customHeight="1"/>
    <x:row r="536" s="23" customFormat="1" ht="15.75" customHeight="1"/>
    <x:row r="537" s="23" customFormat="1" ht="15.75" customHeight="1"/>
    <x:row r="538" s="23" customFormat="1" ht="15.75" customHeight="1"/>
    <x:row r="539" s="23" customFormat="1" ht="15.75" customHeight="1"/>
    <x:row r="540" s="23" customFormat="1" ht="15.75" customHeight="1"/>
    <x:row r="541" s="23" customFormat="1" ht="15.75" customHeight="1"/>
    <x:row r="542" s="23" customFormat="1" ht="15.75" customHeight="1"/>
    <x:row r="543" s="23" customFormat="1" ht="15.75" customHeight="1"/>
    <x:row r="544" s="23" customFormat="1" ht="15.75" customHeight="1"/>
    <x:row r="545" s="23" customFormat="1" ht="15.75" customHeight="1"/>
    <x:row r="546" s="23" customFormat="1" ht="15.75" customHeight="1"/>
    <x:row r="547" s="23" customFormat="1" ht="15.75" customHeight="1"/>
    <x:row r="548" s="23" customFormat="1" ht="15.75" customHeight="1"/>
    <x:row r="549" s="23" customFormat="1" ht="15.75" customHeight="1"/>
    <x:row r="550" s="23" customFormat="1" ht="15.75" customHeight="1"/>
    <x:row r="551" s="23" customFormat="1" ht="15.75" customHeight="1"/>
    <x:row r="552" s="23" customFormat="1" ht="15.75" customHeight="1"/>
    <x:row r="553" s="23" customFormat="1" ht="15.75" customHeight="1"/>
    <x:row r="554" s="23" customFormat="1" ht="15.75" customHeight="1"/>
    <x:row r="555" s="23" customFormat="1" ht="15.75" customHeight="1"/>
    <x:row r="556" s="23" customFormat="1" ht="15.75" customHeight="1"/>
    <x:row r="557" s="23" customFormat="1" ht="15.75" customHeight="1"/>
    <x:row r="558" s="23" customFormat="1" ht="15.75" customHeight="1"/>
    <x:row r="559" s="23" customFormat="1" ht="15.75" customHeight="1"/>
    <x:row r="560" s="23" customFormat="1" ht="15.75" customHeight="1"/>
    <x:row r="561" s="23" customFormat="1" ht="15.75" customHeight="1"/>
    <x:row r="562" s="23" customFormat="1" ht="15.75" customHeight="1"/>
    <x:row r="563" s="23" customFormat="1" ht="15.75" customHeight="1"/>
    <x:row r="564" s="23" customFormat="1" ht="15.75" customHeight="1"/>
    <x:row r="565" s="23" customFormat="1" ht="15.75" customHeight="1"/>
    <x:row r="566" s="23" customFormat="1" ht="15.75" customHeight="1"/>
    <x:row r="567" s="23" customFormat="1" ht="15.75" customHeight="1"/>
    <x:row r="568" s="23" customFormat="1" ht="15.75" customHeight="1"/>
    <x:row r="569" s="23" customFormat="1" ht="15.75" customHeight="1"/>
    <x:row r="570" s="23" customFormat="1" ht="15.75" customHeight="1"/>
    <x:row r="571" s="23" customFormat="1" ht="15.75" customHeight="1"/>
    <x:row r="572" s="23" customFormat="1" ht="15.75" customHeight="1"/>
    <x:row r="573" s="23" customFormat="1" ht="15.75" customHeight="1"/>
    <x:row r="574" s="23" customFormat="1" ht="15.75" customHeight="1"/>
    <x:row r="575" s="23" customFormat="1" ht="15.75" customHeight="1"/>
    <x:row r="576" s="23" customFormat="1" ht="15.75" customHeight="1"/>
    <x:row r="577" s="23" customFormat="1" ht="15.75" customHeight="1"/>
    <x:row r="578" s="23" customFormat="1" ht="15.75" customHeight="1"/>
    <x:row r="579" s="23" customFormat="1" ht="15.75" customHeight="1"/>
    <x:row r="580" s="23" customFormat="1" ht="15.75" customHeight="1"/>
    <x:row r="581" s="23" customFormat="1" ht="15.75" customHeight="1"/>
    <x:row r="582" s="23" customFormat="1" ht="15.75" customHeight="1"/>
    <x:row r="583" s="23" customFormat="1" ht="15.75" customHeight="1"/>
    <x:row r="584" s="23" customFormat="1" ht="15.75" customHeight="1"/>
    <x:row r="585" s="23" customFormat="1" ht="15.75" customHeight="1"/>
    <x:row r="586" s="23" customFormat="1" ht="15.75" customHeight="1"/>
    <x:row r="587" s="23" customFormat="1" ht="15.75" customHeight="1"/>
    <x:row r="588" s="23" customFormat="1" ht="15.75" customHeight="1"/>
    <x:row r="589" s="23" customFormat="1" ht="15.75" customHeight="1"/>
    <x:row r="590" s="23" customFormat="1" ht="15.75" customHeight="1"/>
    <x:row r="591" s="23" customFormat="1" ht="15.75" customHeight="1"/>
    <x:row r="592" s="23" customFormat="1" ht="15.75" customHeight="1"/>
    <x:row r="593" s="23" customFormat="1" ht="15.75" customHeight="1"/>
    <x:row r="594" s="23" customFormat="1" ht="15.75" customHeight="1"/>
    <x:row r="595" s="23" customFormat="1" ht="15.75" customHeight="1"/>
    <x:row r="596" s="23" customFormat="1" ht="15.75" customHeight="1"/>
    <x:row r="597" s="23" customFormat="1" ht="15.75" customHeight="1"/>
    <x:row r="598" s="23" customFormat="1" ht="15.75" customHeight="1"/>
    <x:row r="599" s="23" customFormat="1" ht="15.75" customHeight="1"/>
    <x:row r="600" s="23" customFormat="1" ht="15.75" customHeight="1"/>
    <x:row r="601" s="23" customFormat="1" ht="15.75" customHeight="1"/>
    <x:row r="602" s="23" customFormat="1" ht="15.75" customHeight="1"/>
    <x:row r="603" s="23" customFormat="1" ht="15.75" customHeight="1"/>
    <x:row r="604" s="23" customFormat="1" ht="15.75" customHeight="1"/>
    <x:row r="605" s="23" customFormat="1" ht="15.75" customHeight="1"/>
    <x:row r="606" s="23" customFormat="1" ht="15.75" customHeight="1"/>
    <x:row r="607" s="23" customFormat="1" ht="15.75" customHeight="1"/>
    <x:row r="608" s="23" customFormat="1" ht="15.75" customHeight="1"/>
    <x:row r="609" s="23" customFormat="1" ht="15.75" customHeight="1"/>
    <x:row r="610" s="23" customFormat="1" ht="15.75" customHeight="1"/>
    <x:row r="611" s="23" customFormat="1" ht="15.75" customHeight="1"/>
    <x:row r="612" s="23" customFormat="1" ht="15.75" customHeight="1"/>
    <x:row r="613" s="23" customFormat="1" ht="15.75" customHeight="1"/>
    <x:row r="614" s="23" customFormat="1" ht="15.75" customHeight="1"/>
    <x:row r="615" s="23" customFormat="1" ht="15.75" customHeight="1"/>
    <x:row r="616" s="23" customFormat="1" ht="15.75" customHeight="1"/>
    <x:row r="617" s="23" customFormat="1" ht="15.75" customHeight="1"/>
    <x:row r="618" s="23" customFormat="1" ht="15.75" customHeight="1"/>
    <x:row r="619" s="23" customFormat="1" ht="15.75" customHeight="1"/>
    <x:row r="620" s="23" customFormat="1" ht="15.75" customHeight="1"/>
    <x:row r="621" s="23" customFormat="1" ht="15.75" customHeight="1"/>
    <x:row r="622" s="23" customFormat="1" ht="15.75" customHeight="1"/>
    <x:row r="623" s="23" customFormat="1" ht="15.75" customHeight="1"/>
    <x:row r="624" s="23" customFormat="1" ht="15.75" customHeight="1"/>
    <x:row r="625" s="23" customFormat="1" ht="15.75" customHeight="1"/>
    <x:row r="626" s="23" customFormat="1" ht="15.75" customHeight="1"/>
    <x:row r="627" s="23" customFormat="1" ht="15.75" customHeight="1"/>
    <x:row r="628" s="23" customFormat="1" ht="15.75" customHeight="1"/>
    <x:row r="629" s="23" customFormat="1" ht="15.75" customHeight="1"/>
    <x:row r="630" s="23" customFormat="1" ht="15.75" customHeight="1"/>
    <x:row r="631" s="23" customFormat="1" ht="15.75" customHeight="1"/>
    <x:row r="632" s="23" customFormat="1" ht="15.75" customHeight="1"/>
    <x:row r="633" s="23" customFormat="1" ht="15.75" customHeight="1"/>
    <x:row r="634" s="23" customFormat="1" ht="15.75" customHeight="1"/>
    <x:row r="635" s="23" customFormat="1" ht="15.75" customHeight="1"/>
    <x:row r="636" s="23" customFormat="1" ht="15.75" customHeight="1"/>
    <x:row r="637" s="23" customFormat="1" ht="15.75" customHeight="1"/>
    <x:row r="638" s="23" customFormat="1" ht="15.75" customHeight="1"/>
    <x:row r="639" s="23" customFormat="1" ht="15.75" customHeight="1"/>
    <x:row r="640" s="23" customFormat="1" ht="15.75" customHeight="1"/>
    <x:row r="641" s="23" customFormat="1" ht="15.75" customHeight="1"/>
    <x:row r="642" s="23" customFormat="1" ht="15.75" customHeight="1"/>
    <x:row r="643" s="23" customFormat="1" ht="15.75" customHeight="1"/>
    <x:row r="644" s="23" customFormat="1" ht="15.75" customHeight="1"/>
    <x:row r="645" s="23" customFormat="1" ht="15.75" customHeight="1"/>
    <x:row r="646" s="23" customFormat="1" ht="15.75" customHeight="1"/>
    <x:row r="647" s="23" customFormat="1" ht="15.75" customHeight="1"/>
    <x:row r="648" s="23" customFormat="1" ht="15.75" customHeight="1"/>
    <x:row r="649" s="23" customFormat="1" ht="15.75" customHeight="1"/>
    <x:row r="650" s="23" customFormat="1" ht="15.75" customHeight="1"/>
    <x:row r="651" s="23" customFormat="1" ht="15.75" customHeight="1"/>
    <x:row r="652" s="23" customFormat="1" ht="15.75" customHeight="1"/>
    <x:row r="653" s="23" customFormat="1" ht="15.75" customHeight="1"/>
    <x:row r="654" s="23" customFormat="1" ht="15.75" customHeight="1"/>
    <x:row r="655" s="23" customFormat="1" ht="15.75" customHeight="1"/>
    <x:row r="656" s="23" customFormat="1" ht="15.75" customHeight="1"/>
    <x:row r="657" s="23" customFormat="1" ht="15.75" customHeight="1"/>
    <x:row r="658" s="23" customFormat="1" ht="15.75" customHeight="1"/>
    <x:row r="659" s="23" customFormat="1" ht="15.75" customHeight="1"/>
    <x:row r="660" s="23" customFormat="1" ht="15.75" customHeight="1"/>
    <x:row r="661" s="23" customFormat="1" ht="15.75" customHeight="1"/>
    <x:row r="662" s="23" customFormat="1" ht="15.75" customHeight="1"/>
    <x:row r="663" s="23" customFormat="1" ht="15.75" customHeight="1"/>
    <x:row r="664" s="23" customFormat="1" ht="15.75" customHeight="1"/>
    <x:row r="665" s="23" customFormat="1" ht="15.75" customHeight="1"/>
    <x:row r="666" s="23" customFormat="1" ht="15.75" customHeight="1"/>
    <x:row r="667" s="23" customFormat="1" ht="15.75" customHeight="1"/>
    <x:row r="668" s="23" customFormat="1" ht="15.75" customHeight="1"/>
    <x:row r="669" s="23" customFormat="1" ht="15.75" customHeight="1"/>
    <x:row r="670" s="23" customFormat="1" ht="15.75" customHeight="1"/>
    <x:row r="671" s="23" customFormat="1" ht="15.75" customHeight="1"/>
    <x:row r="672" s="23" customFormat="1" ht="15.75" customHeight="1"/>
    <x:row r="673" s="23" customFormat="1" ht="15.75" customHeight="1"/>
    <x:row r="674" s="23" customFormat="1" ht="15.75" customHeight="1"/>
    <x:row r="675" s="23" customFormat="1" ht="15.75" customHeight="1"/>
    <x:row r="676" s="23" customFormat="1" ht="15.75" customHeight="1"/>
    <x:row r="677" s="23" customFormat="1" ht="15.75" customHeight="1"/>
    <x:row r="678" s="23" customFormat="1" ht="15.75" customHeight="1"/>
    <x:row r="679" s="23" customFormat="1" ht="15.75" customHeight="1"/>
    <x:row r="680" s="23" customFormat="1" ht="15.75" customHeight="1"/>
    <x:row r="681" s="23" customFormat="1" ht="15.75" customHeight="1"/>
    <x:row r="682" s="23" customFormat="1" ht="15.75" customHeight="1"/>
    <x:row r="683" s="23" customFormat="1" ht="15.75" customHeight="1"/>
    <x:row r="684" s="23" customFormat="1" ht="15.75" customHeight="1"/>
    <x:row r="685" s="23" customFormat="1" ht="15.75" customHeight="1"/>
    <x:row r="686" s="23" customFormat="1" ht="15.75" customHeight="1"/>
    <x:row r="687" s="23" customFormat="1" ht="15.75" customHeight="1"/>
    <x:row r="688" s="23" customFormat="1" ht="15.75" customHeight="1"/>
    <x:row r="689" s="23" customFormat="1" ht="15.75" customHeight="1"/>
    <x:row r="690" s="23" customFormat="1" ht="15.75" customHeight="1"/>
    <x:row r="691" s="23" customFormat="1" ht="15.75" customHeight="1"/>
    <x:row r="692" s="23" customFormat="1" ht="15.75" customHeight="1"/>
    <x:row r="693" s="23" customFormat="1" ht="15.75" customHeight="1"/>
    <x:row r="694" s="23" customFormat="1" ht="15.75" customHeight="1"/>
    <x:row r="695" s="23" customFormat="1" ht="15.75" customHeight="1"/>
    <x:row r="696" s="23" customFormat="1" ht="15.75" customHeight="1"/>
    <x:row r="697" s="23" customFormat="1" ht="15.75" customHeight="1"/>
    <x:row r="698" s="23" customFormat="1" ht="15.75" customHeight="1"/>
    <x:row r="699" s="23" customFormat="1" ht="15.75" customHeight="1"/>
    <x:row r="700" s="23" customFormat="1" ht="15.75" customHeight="1"/>
    <x:row r="701" s="23" customFormat="1" ht="15.75" customHeight="1"/>
    <x:row r="702" s="23" customFormat="1" ht="15.75" customHeight="1"/>
    <x:row r="703" s="23" customFormat="1" ht="15.75" customHeight="1"/>
    <x:row r="704" s="23" customFormat="1" ht="15.75" customHeight="1"/>
    <x:row r="705" s="23" customFormat="1" ht="15.75" customHeight="1"/>
    <x:row r="706" s="23" customFormat="1" ht="15.75" customHeight="1"/>
    <x:row r="707" s="23" customFormat="1" ht="15.75" customHeight="1"/>
    <x:row r="708" s="23" customFormat="1" ht="15.75" customHeight="1"/>
    <x:row r="709" s="23" customFormat="1" ht="15.75" customHeight="1"/>
    <x:row r="710" s="23" customFormat="1" ht="15.75" customHeight="1"/>
    <x:row r="711" s="23" customFormat="1" ht="15.75" customHeight="1"/>
    <x:row r="712" s="23" customFormat="1" ht="15.75" customHeight="1"/>
    <x:row r="713" s="23" customFormat="1" ht="15.75" customHeight="1"/>
    <x:row r="714" s="23" customFormat="1" ht="15.75" customHeight="1"/>
    <x:row r="715" s="23" customFormat="1" ht="15.75" customHeight="1"/>
    <x:row r="716" s="23" customFormat="1" ht="15.75" customHeight="1"/>
    <x:row r="717" s="23" customFormat="1" ht="15.75" customHeight="1"/>
    <x:row r="718" s="23" customFormat="1" ht="15.75" customHeight="1"/>
    <x:row r="719" s="23" customFormat="1" ht="15.75" customHeight="1"/>
    <x:row r="720" s="23" customFormat="1" ht="15.75" customHeight="1"/>
    <x:row r="721" s="23" customFormat="1" ht="15.75" customHeight="1"/>
    <x:row r="722" s="23" customFormat="1" ht="15.75" customHeight="1"/>
    <x:row r="723" s="23" customFormat="1" ht="15.75" customHeight="1"/>
    <x:row r="724" s="23" customFormat="1" ht="15.75" customHeight="1"/>
    <x:row r="725" s="23" customFormat="1" ht="15.75" customHeight="1"/>
    <x:row r="726" s="23" customFormat="1" ht="15.75" customHeight="1"/>
    <x:row r="727" s="23" customFormat="1" ht="15.75" customHeight="1"/>
    <x:row r="728" s="23" customFormat="1" ht="15.75" customHeight="1"/>
    <x:row r="729" s="23" customFormat="1" ht="15.75" customHeight="1"/>
    <x:row r="730" s="23" customFormat="1" ht="15.75" customHeight="1"/>
    <x:row r="731" s="23" customFormat="1" ht="15.75" customHeight="1"/>
    <x:row r="732" s="23" customFormat="1" ht="15.75" customHeight="1"/>
    <x:row r="733" s="23" customFormat="1" ht="15.75" customHeight="1"/>
    <x:row r="734" s="23" customFormat="1" ht="15.75" customHeight="1"/>
    <x:row r="735" s="23" customFormat="1" ht="15.75" customHeight="1"/>
    <x:row r="736" s="23" customFormat="1" ht="15.75" customHeight="1"/>
    <x:row r="737" s="23" customFormat="1" ht="15.75" customHeight="1"/>
    <x:row r="738" s="23" customFormat="1" ht="15.75" customHeight="1"/>
    <x:row r="739" s="23" customFormat="1" ht="15.75" customHeight="1"/>
    <x:row r="740" s="23" customFormat="1" ht="15.75" customHeight="1"/>
    <x:row r="741" s="23" customFormat="1" ht="15.75" customHeight="1"/>
    <x:row r="742" s="23" customFormat="1" ht="15.75" customHeight="1"/>
    <x:row r="743" s="23" customFormat="1" ht="15.75" customHeight="1"/>
    <x:row r="744" s="23" customFormat="1" ht="15.75" customHeight="1"/>
    <x:row r="745" s="23" customFormat="1" ht="15.75" customHeight="1"/>
    <x:row r="746" s="23" customFormat="1" ht="15.75" customHeight="1"/>
    <x:row r="747" s="23" customFormat="1" ht="15.75" customHeight="1"/>
    <x:row r="748" s="23" customFormat="1" ht="15.75" customHeight="1"/>
    <x:row r="749" s="23" customFormat="1" ht="15.75" customHeight="1"/>
    <x:row r="750" s="23" customFormat="1" ht="15.75" customHeight="1"/>
    <x:row r="751" s="23" customFormat="1" ht="15.75" customHeight="1"/>
    <x:row r="752" s="23" customFormat="1" ht="15.75" customHeight="1"/>
    <x:row r="753" s="23" customFormat="1" ht="15.75" customHeight="1"/>
    <x:row r="754" s="23" customFormat="1" ht="15.75" customHeight="1"/>
    <x:row r="755" s="23" customFormat="1" ht="15.75" customHeight="1"/>
    <x:row r="756" s="23" customFormat="1" ht="15.75" customHeight="1"/>
    <x:row r="757" s="23" customFormat="1" ht="15.75" customHeight="1"/>
    <x:row r="758" s="23" customFormat="1" ht="15.75" customHeight="1"/>
    <x:row r="759" s="23" customFormat="1" ht="15.75" customHeight="1"/>
    <x:row r="760" s="23" customFormat="1" ht="15.75" customHeight="1"/>
    <x:row r="761" s="23" customFormat="1" ht="15.75" customHeight="1"/>
    <x:row r="762" s="23" customFormat="1" ht="15.75" customHeight="1"/>
    <x:row r="763" s="23" customFormat="1" ht="15.75" customHeight="1"/>
    <x:row r="764" s="23" customFormat="1" ht="15.75" customHeight="1"/>
    <x:row r="765" s="23" customFormat="1" ht="15.75" customHeight="1"/>
    <x:row r="766" s="23" customFormat="1" ht="15.75" customHeight="1"/>
    <x:row r="767" s="23" customFormat="1" ht="15.75" customHeight="1"/>
    <x:row r="768" s="23" customFormat="1" ht="15.75" customHeight="1"/>
    <x:row r="769" s="23" customFormat="1" ht="15.75" customHeight="1"/>
    <x:row r="770" s="23" customFormat="1" ht="15.75" customHeight="1"/>
    <x:row r="771" s="23" customFormat="1" ht="15.75" customHeight="1"/>
    <x:row r="772" s="23" customFormat="1" ht="15.75" customHeight="1"/>
    <x:row r="773" s="23" customFormat="1" ht="15.75" customHeight="1"/>
    <x:row r="774" s="23" customFormat="1" ht="15.75" customHeight="1"/>
    <x:row r="775" s="23" customFormat="1" ht="15.75" customHeight="1"/>
    <x:row r="776" s="23" customFormat="1" ht="15.75" customHeight="1"/>
    <x:row r="777" s="23" customFormat="1" ht="15.75" customHeight="1"/>
    <x:row r="778" s="23" customFormat="1" ht="15.75" customHeight="1"/>
    <x:row r="779" s="23" customFormat="1" ht="15.75" customHeight="1"/>
    <x:row r="780" s="23" customFormat="1" ht="15.75" customHeight="1"/>
    <x:row r="781" s="23" customFormat="1" ht="15.75" customHeight="1"/>
    <x:row r="782" s="23" customFormat="1" ht="15.75" customHeight="1"/>
    <x:row r="783" s="23" customFormat="1" ht="15.75" customHeight="1"/>
    <x:row r="784" s="23" customFormat="1" ht="15.75" customHeight="1"/>
    <x:row r="785" s="23" customFormat="1" ht="15.75" customHeight="1"/>
    <x:row r="786" s="23" customFormat="1" ht="15.75" customHeight="1"/>
    <x:row r="787" s="23" customFormat="1" ht="15.75" customHeight="1"/>
    <x:row r="788" s="23" customFormat="1" ht="15.75" customHeight="1"/>
    <x:row r="789" s="23" customFormat="1" ht="15.75" customHeight="1"/>
    <x:row r="790" s="23" customFormat="1" ht="15.75" customHeight="1"/>
    <x:row r="791" s="23" customFormat="1" ht="15.75" customHeight="1"/>
    <x:row r="792" s="23" customFormat="1" ht="15.75" customHeight="1"/>
    <x:row r="793" s="23" customFormat="1" ht="15.75" customHeight="1"/>
    <x:row r="794" s="23" customFormat="1" ht="15.75" customHeight="1"/>
    <x:row r="795" s="23" customFormat="1" ht="15.75" customHeight="1"/>
    <x:row r="796" s="23" customFormat="1" ht="15.75" customHeight="1"/>
    <x:row r="797" s="23" customFormat="1" ht="15.75" customHeight="1"/>
    <x:row r="798" s="23" customFormat="1" ht="15.75" customHeight="1"/>
    <x:row r="799" s="23" customFormat="1" ht="15.75" customHeight="1"/>
    <x:row r="800" s="23" customFormat="1" ht="15.75" customHeight="1"/>
    <x:row r="801" s="23" customFormat="1" ht="15.75" customHeight="1"/>
    <x:row r="802" s="23" customFormat="1" ht="15.75" customHeight="1"/>
    <x:row r="803" s="23" customFormat="1" ht="15.75" customHeight="1"/>
    <x:row r="804" s="23" customFormat="1" ht="15.75" customHeight="1"/>
    <x:row r="805" s="23" customFormat="1" ht="15.75" customHeight="1"/>
    <x:row r="806" s="23" customFormat="1" ht="15.75" customHeight="1"/>
    <x:row r="807" s="23" customFormat="1" ht="15.75" customHeight="1"/>
    <x:row r="808" s="23" customFormat="1" ht="15.75" customHeight="1"/>
    <x:row r="809" s="23" customFormat="1" ht="15.75" customHeight="1"/>
    <x:row r="810" s="23" customFormat="1" ht="15.75" customHeight="1"/>
    <x:row r="811" s="23" customFormat="1" ht="15.75" customHeight="1"/>
    <x:row r="812" s="23" customFormat="1" ht="15.75" customHeight="1"/>
    <x:row r="813" s="23" customFormat="1" ht="15.75" customHeight="1"/>
    <x:row r="814" s="23" customFormat="1" ht="15.75" customHeight="1"/>
    <x:row r="815" s="23" customFormat="1" ht="15.75" customHeight="1"/>
    <x:row r="816" s="23" customFormat="1" ht="15.75" customHeight="1"/>
    <x:row r="817" s="23" customFormat="1" ht="15.75" customHeight="1"/>
    <x:row r="818" s="23" customFormat="1" ht="15.75" customHeight="1"/>
    <x:row r="819" s="23" customFormat="1" ht="15.75" customHeight="1"/>
    <x:row r="820" s="23" customFormat="1" ht="15.75" customHeight="1"/>
    <x:row r="821" s="23" customFormat="1" ht="15.75" customHeight="1"/>
    <x:row r="822" s="23" customFormat="1" ht="15.75" customHeight="1"/>
    <x:row r="823" s="23" customFormat="1" ht="15.75" customHeight="1"/>
    <x:row r="824" s="23" customFormat="1" ht="15.75" customHeight="1"/>
    <x:row r="825" s="23" customFormat="1" ht="15.75" customHeight="1"/>
    <x:row r="826" s="23" customFormat="1" ht="15.75" customHeight="1"/>
    <x:row r="827" s="23" customFormat="1" ht="15.75" customHeight="1"/>
    <x:row r="828" s="23" customFormat="1" ht="15.75" customHeight="1"/>
    <x:row r="829" s="23" customFormat="1" ht="15.75" customHeight="1"/>
    <x:row r="830" s="23" customFormat="1" ht="15.75" customHeight="1"/>
    <x:row r="831" s="23" customFormat="1" ht="15.75" customHeight="1"/>
    <x:row r="832" s="23" customFormat="1" ht="15.75" customHeight="1"/>
    <x:row r="833" s="23" customFormat="1" ht="15.75" customHeight="1"/>
    <x:row r="834" s="23" customFormat="1" ht="15.75" customHeight="1"/>
    <x:row r="835" s="23" customFormat="1" ht="15.75" customHeight="1"/>
    <x:row r="836" s="23" customFormat="1" ht="15.75" customHeight="1"/>
    <x:row r="837" s="23" customFormat="1" ht="15.75" customHeight="1"/>
    <x:row r="838" s="23" customFormat="1" ht="15.75" customHeight="1"/>
    <x:row r="839" s="23" customFormat="1" ht="15.75" customHeight="1"/>
    <x:row r="840" s="23" customFormat="1" ht="15.75" customHeight="1"/>
    <x:row r="841" s="23" customFormat="1" ht="15.75" customHeight="1"/>
    <x:row r="842" s="23" customFormat="1" ht="15.75" customHeight="1"/>
    <x:row r="843" s="23" customFormat="1" ht="15.75" customHeight="1"/>
    <x:row r="844" s="23" customFormat="1" ht="15.75" customHeight="1"/>
    <x:row r="845" s="23" customFormat="1" ht="15.75" customHeight="1"/>
    <x:row r="846" s="23" customFormat="1" ht="15.75" customHeight="1"/>
    <x:row r="847" s="23" customFormat="1" ht="15.75" customHeight="1"/>
    <x:row r="848" s="23" customFormat="1" ht="15.75" customHeight="1"/>
    <x:row r="849" s="23" customFormat="1" ht="15.75" customHeight="1"/>
    <x:row r="850" s="23" customFormat="1" ht="15.75" customHeight="1"/>
    <x:row r="851" s="23" customFormat="1" ht="15.75" customHeight="1"/>
    <x:row r="852" s="23" customFormat="1" ht="15.75" customHeight="1"/>
    <x:row r="853" s="23" customFormat="1" ht="15.75" customHeight="1"/>
    <x:row r="854" s="23" customFormat="1" ht="15.75" customHeight="1"/>
    <x:row r="855" s="23" customFormat="1" ht="15.75" customHeight="1"/>
    <x:row r="856" s="23" customFormat="1" ht="15.75" customHeight="1"/>
    <x:row r="857" s="23" customFormat="1" ht="15.75" customHeight="1"/>
    <x:row r="858" s="23" customFormat="1" ht="15.75" customHeight="1"/>
    <x:row r="859" s="23" customFormat="1" ht="15.75" customHeight="1"/>
    <x:row r="860" s="23" customFormat="1" ht="15.75" customHeight="1"/>
    <x:row r="861" s="23" customFormat="1" ht="15.75" customHeight="1"/>
    <x:row r="862" s="23" customFormat="1" ht="15.75" customHeight="1"/>
    <x:row r="863" s="23" customFormat="1" ht="15.75" customHeight="1"/>
    <x:row r="864" s="23" customFormat="1" ht="15.75" customHeight="1"/>
    <x:row r="865" s="23" customFormat="1" ht="15.75" customHeight="1"/>
    <x:row r="866" s="23" customFormat="1" ht="15.75" customHeight="1"/>
    <x:row r="867" s="23" customFormat="1" ht="15.75" customHeight="1"/>
    <x:row r="868" s="23" customFormat="1" ht="15.75" customHeight="1"/>
    <x:row r="869" s="23" customFormat="1" ht="15.75" customHeight="1"/>
    <x:row r="870" s="23" customFormat="1" ht="15.75" customHeight="1"/>
    <x:row r="871" s="23" customFormat="1" ht="15.75" customHeight="1"/>
    <x:row r="872" s="23" customFormat="1" ht="15.75" customHeight="1"/>
    <x:row r="873" s="23" customFormat="1" ht="15.75" customHeight="1"/>
    <x:row r="874" s="23" customFormat="1" ht="15.75" customHeight="1"/>
    <x:row r="875" s="23" customFormat="1" ht="15.75" customHeight="1"/>
    <x:row r="876" s="23" customFormat="1" ht="15.75" customHeight="1"/>
    <x:row r="877" s="23" customFormat="1" ht="15.75" customHeight="1"/>
    <x:row r="878" s="23" customFormat="1" ht="15.75" customHeight="1"/>
    <x:row r="879" s="23" customFormat="1" ht="15.75" customHeight="1"/>
    <x:row r="880" s="23" customFormat="1" ht="15.75" customHeight="1"/>
    <x:row r="881" s="23" customFormat="1" ht="15.75" customHeight="1"/>
    <x:row r="882" s="23" customFormat="1" ht="15.75" customHeight="1"/>
    <x:row r="883" s="23" customFormat="1" ht="15.75" customHeight="1"/>
    <x:row r="884" s="23" customFormat="1" ht="15.75" customHeight="1"/>
    <x:row r="885" s="23" customFormat="1" ht="15.75" customHeight="1"/>
    <x:row r="886" s="23" customFormat="1" ht="15.75" customHeight="1"/>
    <x:row r="887" s="23" customFormat="1" ht="15.75" customHeight="1"/>
    <x:row r="888" s="23" customFormat="1" ht="15.75" customHeight="1"/>
    <x:row r="889" s="23" customFormat="1" ht="15.75" customHeight="1"/>
    <x:row r="890" s="23" customFormat="1" ht="15.75" customHeight="1"/>
    <x:row r="891" s="23" customFormat="1" ht="15.75" customHeight="1"/>
    <x:row r="892" s="23" customFormat="1" ht="15.75" customHeight="1"/>
    <x:row r="893" s="23" customFormat="1" ht="15.75" customHeight="1"/>
    <x:row r="894" s="23" customFormat="1" ht="15.75" customHeight="1"/>
    <x:row r="895" s="23" customFormat="1" ht="15.75" customHeight="1"/>
    <x:row r="896" s="23" customFormat="1" ht="15.75" customHeight="1"/>
    <x:row r="897" s="23" customFormat="1" ht="15.75" customHeight="1"/>
    <x:row r="898" s="23" customFormat="1" ht="15.75" customHeight="1"/>
    <x:row r="899" s="23" customFormat="1" ht="15.75" customHeight="1"/>
    <x:row r="900" s="23" customFormat="1" ht="15.75" customHeight="1"/>
    <x:row r="901" s="23" customFormat="1" ht="15.75" customHeight="1"/>
    <x:row r="902" s="23" customFormat="1" ht="15.75" customHeight="1"/>
    <x:row r="903" s="23" customFormat="1" ht="15.75" customHeight="1"/>
    <x:row r="904" s="23" customFormat="1" ht="15.75" customHeight="1"/>
    <x:row r="905" s="23" customFormat="1" ht="15.75" customHeight="1"/>
    <x:row r="906" s="23" customFormat="1" ht="15.75" customHeight="1"/>
    <x:row r="907" s="23" customFormat="1" ht="15.75" customHeight="1"/>
    <x:row r="908" s="23" customFormat="1" ht="15.75" customHeight="1"/>
    <x:row r="909" s="23" customFormat="1" ht="15.75" customHeight="1"/>
    <x:row r="910" s="23" customFormat="1" ht="15.75" customHeight="1"/>
    <x:row r="911" s="23" customFormat="1" ht="15.75" customHeight="1"/>
    <x:row r="912" s="23" customFormat="1" ht="15.75" customHeight="1"/>
    <x:row r="913" s="23" customFormat="1" ht="15.75" customHeight="1"/>
    <x:row r="914" s="23" customFormat="1" ht="15.75" customHeight="1"/>
    <x:row r="915" s="23" customFormat="1" ht="15.75" customHeight="1"/>
    <x:row r="916" s="23" customFormat="1" ht="15.75" customHeight="1"/>
    <x:row r="917" s="23" customFormat="1" ht="15.75" customHeight="1"/>
    <x:row r="918" s="23" customFormat="1" ht="15.75" customHeight="1"/>
    <x:row r="919" s="23" customFormat="1" ht="15.75" customHeight="1"/>
    <x:row r="920" s="23" customFormat="1" ht="15.75" customHeight="1"/>
    <x:row r="921" s="23" customFormat="1" ht="15.75" customHeight="1"/>
    <x:row r="922" s="23" customFormat="1" ht="15.75" customHeight="1"/>
    <x:row r="923" s="23" customFormat="1" ht="15.75" customHeight="1"/>
    <x:row r="924" s="23" customFormat="1" ht="15.75" customHeight="1"/>
    <x:row r="925" s="23" customFormat="1" ht="15.75" customHeight="1"/>
    <x:row r="926" s="23" customFormat="1" ht="15.75" customHeight="1"/>
    <x:row r="927" s="23" customFormat="1" ht="15.75" customHeight="1"/>
    <x:row r="928" s="23" customFormat="1" ht="15.75" customHeight="1"/>
    <x:row r="929" s="23" customFormat="1" ht="15.75" customHeight="1"/>
    <x:row r="930" s="23" customFormat="1" ht="15.75" customHeight="1"/>
    <x:row r="931" s="23" customFormat="1" ht="15.75" customHeight="1"/>
    <x:row r="932" s="23" customFormat="1" ht="15.75" customHeight="1"/>
    <x:row r="933" s="23" customFormat="1" ht="15.75" customHeight="1"/>
    <x:row r="934" s="23" customFormat="1" ht="15.75" customHeight="1"/>
    <x:row r="935" s="23" customFormat="1" ht="15.75" customHeight="1"/>
    <x:row r="936" s="23" customFormat="1" ht="15.75" customHeight="1"/>
    <x:row r="937" s="23" customFormat="1" ht="15.75" customHeight="1"/>
    <x:row r="938" s="23" customFormat="1" ht="15.75" customHeight="1"/>
    <x:row r="939" s="23" customFormat="1" ht="15.75" customHeight="1"/>
    <x:row r="940" s="23" customFormat="1" ht="15.75" customHeight="1"/>
    <x:row r="941" s="23" customFormat="1" ht="15.75" customHeight="1"/>
    <x:row r="942" s="23" customFormat="1" ht="15.75" customHeight="1"/>
    <x:row r="943" s="23" customFormat="1" ht="15.75" customHeight="1"/>
    <x:row r="944" s="23" customFormat="1" ht="15.75" customHeight="1"/>
    <x:row r="945" s="23" customFormat="1" ht="15.75" customHeight="1"/>
    <x:row r="946" s="23" customFormat="1" ht="15.75" customHeight="1"/>
    <x:row r="947" s="23" customFormat="1" ht="15.75" customHeight="1"/>
    <x:row r="948" s="23" customFormat="1" ht="15.75" customHeight="1"/>
    <x:row r="949" s="23" customFormat="1" ht="15.75" customHeight="1"/>
    <x:row r="950" s="23" customFormat="1" ht="15.75" customHeight="1"/>
    <x:row r="951" s="23" customFormat="1" ht="15.75" customHeight="1"/>
    <x:row r="952" s="23" customFormat="1" ht="15.75" customHeight="1"/>
    <x:row r="953" s="23" customFormat="1" ht="15.75" customHeight="1"/>
    <x:row r="954" s="23" customFormat="1" ht="15.75" customHeight="1"/>
    <x:row r="955" s="23" customFormat="1" ht="15.75" customHeight="1"/>
    <x:row r="956" s="23" customFormat="1" ht="15.75" customHeight="1"/>
    <x:row r="957" s="23" customFormat="1" ht="15.75" customHeight="1"/>
    <x:row r="958" s="23" customFormat="1" ht="15.75" customHeight="1"/>
    <x:row r="959" s="23" customFormat="1" ht="15.75" customHeight="1"/>
    <x:row r="960" s="23" customFormat="1" ht="15.75" customHeight="1"/>
    <x:row r="961" s="23" customFormat="1" ht="15.75" customHeight="1"/>
    <x:row r="962" s="23" customFormat="1" ht="15.75" customHeight="1"/>
    <x:row r="963" s="23" customFormat="1" ht="15.75" customHeight="1"/>
    <x:row r="964" s="23" customFormat="1" ht="15.75" customHeight="1"/>
    <x:row r="965" s="23" customFormat="1" ht="15.75" customHeight="1"/>
    <x:row r="966" s="23" customFormat="1" ht="15.75" customHeight="1"/>
    <x:row r="967" s="23" customFormat="1" ht="15.75" customHeight="1"/>
    <x:row r="968" s="23" customFormat="1" ht="15.75" customHeight="1"/>
    <x:row r="969" s="23" customFormat="1" ht="15.75" customHeight="1"/>
    <x:row r="970" s="23" customFormat="1" ht="15.75" customHeight="1"/>
    <x:row r="971" s="23" customFormat="1" ht="15.75" customHeight="1"/>
    <x:row r="972" s="23" customFormat="1" ht="15.75" customHeight="1"/>
    <x:row r="973" s="23" customFormat="1" ht="15.75" customHeight="1"/>
    <x:row r="974" s="23" customFormat="1" ht="15.75" customHeight="1"/>
    <x:row r="975" s="23" customFormat="1" ht="15.75" customHeight="1"/>
    <x:row r="976" s="23" customFormat="1" ht="15.75" customHeight="1"/>
    <x:row r="977" s="23" customFormat="1" ht="15.75" customHeight="1"/>
    <x:row r="978" s="23" customFormat="1" ht="15.75" customHeight="1"/>
    <x:row r="979" s="23" customFormat="1" ht="15.75" customHeight="1"/>
    <x:row r="980" s="23" customFormat="1" ht="15.75" customHeight="1"/>
    <x:row r="981" s="23" customFormat="1" ht="15.75" customHeight="1"/>
    <x:row r="982" s="23" customFormat="1" ht="15.75" customHeight="1"/>
    <x:row r="983" s="23" customFormat="1" ht="15.75" customHeight="1"/>
    <x:row r="984" s="23" customFormat="1" ht="15.75" customHeight="1"/>
    <x:row r="985" s="23" customFormat="1" ht="15.75" customHeight="1"/>
    <x:row r="986" s="23" customFormat="1" ht="15.75" customHeight="1"/>
    <x:row r="987" s="23" customFormat="1" ht="15.75" customHeight="1"/>
    <x:row r="988" s="23" customFormat="1" ht="15.75" customHeight="1"/>
    <x:row r="989" s="23" customFormat="1" ht="15.75" customHeight="1"/>
    <x:row r="990" s="23" customFormat="1" ht="15.75" customHeight="1"/>
    <x:row r="991" s="23" customFormat="1" ht="15.75" customHeight="1"/>
    <x:row r="992" s="23" customFormat="1" ht="15.75" customHeight="1"/>
    <x:row r="993" s="23" customFormat="1" ht="15.75" customHeight="1"/>
    <x:row r="994" s="23" customFormat="1" ht="15.75" customHeight="1"/>
    <x:row r="995" s="23" customFormat="1" ht="15.75" customHeight="1"/>
    <x:row r="996" s="23" customFormat="1" ht="15.75" customHeight="1"/>
    <x:row r="997" s="23" customFormat="1" ht="15.75" customHeight="1"/>
    <x:row r="998" s="23" customFormat="1" ht="15.75" customHeight="1"/>
    <x:row r="999" s="23" customFormat="1" ht="15.75" customHeight="1"/>
    <x:row r="1000" s="23" customFormat="1" ht="15.75" customHeight="1"/>
  </x:sheetData>
  <x:conditionalFormatting sqref="A7:G140">
    <x:cfRule type="expression" dxfId="0" priority="1">
      <x:formula>$A7=TRUE</x:formula>
    </x:cfRule>
  </x:conditionalFormatting>
  <x:pageMargins left="0.7" right="0.7" top="0.75" bottom="0.75" header="0.3" footer="0.3"/>
</x:worksheet>
</file>